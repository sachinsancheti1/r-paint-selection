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y Drive\Sketches\Sketches 3D\New 2024 Project\Renders\paint finishes textures\"/>
    </mc:Choice>
  </mc:AlternateContent>
  <xr:revisionPtr revIDLastSave="0" documentId="13_ncr:1_{DE04DE5D-27B0-4BB2-B82E-86015C05746C}" xr6:coauthVersionLast="47" xr6:coauthVersionMax="47" xr10:uidLastSave="{00000000-0000-0000-0000-000000000000}"/>
  <bookViews>
    <workbookView xWindow="-110" yWindow="-110" windowWidth="25820" windowHeight="13900" activeTab="4" xr2:uid="{94BA59F8-7D8A-41AF-A2EB-07AE4FA6ACCF}"/>
  </bookViews>
  <sheets>
    <sheet name="Pallette" sheetId="1" r:id="rId1"/>
    <sheet name="Proposed Colours" sheetId="2" r:id="rId2"/>
    <sheet name="Wall Options" sheetId="6" r:id="rId3"/>
    <sheet name="Berger Closest" sheetId="7" r:id="rId4"/>
    <sheet name="Asian Closest" sheetId="8" r:id="rId5"/>
  </sheets>
  <definedNames>
    <definedName name="_xlnm.Print_Area" localSheetId="1">'Proposed Colours'!$A$1:$H$6</definedName>
    <definedName name="_xlnm.Print_Area" localSheetId="2">'Wall Options'!$A$1:$I$7</definedName>
    <definedName name="_xlnm.Print_Titles" localSheetId="1">'Proposed Colours'!$1:$1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6" l="1"/>
  <c r="G7" i="6"/>
  <c r="S7" i="6"/>
  <c r="T7" i="6"/>
  <c r="E6" i="6"/>
  <c r="G6" i="6"/>
  <c r="S6" i="6"/>
  <c r="T6" i="6" s="1"/>
  <c r="C1518" i="8"/>
  <c r="D1518" i="8" s="1"/>
  <c r="C1739" i="8"/>
  <c r="C1912" i="8"/>
  <c r="D1912" i="8" s="1"/>
  <c r="C1850" i="8"/>
  <c r="D1850" i="8" s="1"/>
  <c r="C1104" i="8"/>
  <c r="D1104" i="8" s="1"/>
  <c r="C259" i="8"/>
  <c r="D259" i="8" s="1"/>
  <c r="C475" i="8"/>
  <c r="D475" i="8" s="1"/>
  <c r="C1497" i="8"/>
  <c r="D1497" i="8" s="1"/>
  <c r="C1803" i="8"/>
  <c r="D1803" i="8" s="1"/>
  <c r="C1980" i="8"/>
  <c r="D1980" i="8" s="1"/>
  <c r="C2027" i="8"/>
  <c r="D2027" i="8" s="1"/>
  <c r="C2123" i="8"/>
  <c r="D2123" i="8" s="1"/>
  <c r="C1272" i="8"/>
  <c r="D1272" i="8" s="1"/>
  <c r="C377" i="8"/>
  <c r="D377" i="8" s="1"/>
  <c r="C607" i="8"/>
  <c r="D607" i="8" s="1"/>
  <c r="C1341" i="8"/>
  <c r="D1341" i="8" s="1"/>
  <c r="C1388" i="8"/>
  <c r="D1388" i="8" s="1"/>
  <c r="C1467" i="8"/>
  <c r="D1467" i="8" s="1"/>
  <c r="C1630" i="8"/>
  <c r="D1630" i="8" s="1"/>
  <c r="C1963" i="8"/>
  <c r="D1963" i="8" s="1"/>
  <c r="C570" i="8"/>
  <c r="C338" i="8"/>
  <c r="C631" i="8"/>
  <c r="C978" i="8"/>
  <c r="C1375" i="8"/>
  <c r="D1375" i="8" s="1"/>
  <c r="C1315" i="8"/>
  <c r="D1315" i="8" s="1"/>
  <c r="C1450" i="8"/>
  <c r="D1450" i="8" s="1"/>
  <c r="C1642" i="8"/>
  <c r="D1642" i="8" s="1"/>
  <c r="C1278" i="8"/>
  <c r="D1278" i="8" s="1"/>
  <c r="C1124" i="8"/>
  <c r="D1124" i="8" s="1"/>
  <c r="C872" i="8"/>
  <c r="D872" i="8" s="1"/>
  <c r="C693" i="8"/>
  <c r="D693" i="8" s="1"/>
  <c r="C446" i="8"/>
  <c r="D446" i="8" s="1"/>
  <c r="C370" i="8"/>
  <c r="D370" i="8" s="1"/>
  <c r="C813" i="8"/>
  <c r="D813" i="8" s="1"/>
  <c r="C858" i="8"/>
  <c r="D858" i="8" s="1"/>
  <c r="C388" i="8"/>
  <c r="D388" i="8" s="1"/>
  <c r="C549" i="8"/>
  <c r="D549" i="8" s="1"/>
  <c r="C1283" i="8"/>
  <c r="D1283" i="8" s="1"/>
  <c r="C1352" i="8"/>
  <c r="D1352" i="8" s="1"/>
  <c r="C1235" i="8"/>
  <c r="C1045" i="8"/>
  <c r="C1346" i="8"/>
  <c r="C1790" i="8"/>
  <c r="C248" i="8"/>
  <c r="D248" i="8" s="1"/>
  <c r="C110" i="8"/>
  <c r="D110" i="8" s="1"/>
  <c r="C364" i="8"/>
  <c r="D364" i="8" s="1"/>
  <c r="C1224" i="8"/>
  <c r="D1224" i="8" s="1"/>
  <c r="C1530" i="8"/>
  <c r="D1530" i="8" s="1"/>
  <c r="C1861" i="8"/>
  <c r="D1861" i="8" s="1"/>
  <c r="C1877" i="8"/>
  <c r="C1958" i="8"/>
  <c r="C1116" i="8"/>
  <c r="D1116" i="8" s="1"/>
  <c r="C986" i="8"/>
  <c r="D986" i="8" s="1"/>
  <c r="C687" i="8"/>
  <c r="D687" i="8" s="1"/>
  <c r="C551" i="8"/>
  <c r="D551" i="8" s="1"/>
  <c r="C223" i="8"/>
  <c r="D223" i="8" s="1"/>
  <c r="C204" i="8"/>
  <c r="D204" i="8" s="1"/>
  <c r="C574" i="8"/>
  <c r="D574" i="8" s="1"/>
  <c r="C1328" i="8"/>
  <c r="D1328" i="8" s="1"/>
  <c r="C1246" i="8"/>
  <c r="D1246" i="8" s="1"/>
  <c r="C652" i="8"/>
  <c r="D652" i="8" s="1"/>
  <c r="C685" i="8"/>
  <c r="C1392" i="8"/>
  <c r="D1392" i="8" s="1"/>
  <c r="C1330" i="8"/>
  <c r="D1330" i="8" s="1"/>
  <c r="C1336" i="8"/>
  <c r="D1336" i="8" s="1"/>
  <c r="C1438" i="8"/>
  <c r="D1438" i="8" s="1"/>
  <c r="C1986" i="8"/>
  <c r="D1986" i="8" s="1"/>
  <c r="C1179" i="8"/>
  <c r="D1179" i="8" s="1"/>
  <c r="C923" i="8"/>
  <c r="D923" i="8" s="1"/>
  <c r="C763" i="8"/>
  <c r="C409" i="8"/>
  <c r="C468" i="8"/>
  <c r="D468" i="8" s="1"/>
  <c r="C569" i="8"/>
  <c r="D569" i="8" s="1"/>
  <c r="C499" i="8"/>
  <c r="D499" i="8" s="1"/>
  <c r="C622" i="8"/>
  <c r="D622" i="8" s="1"/>
  <c r="C904" i="8"/>
  <c r="D904" i="8" s="1"/>
  <c r="C584" i="8"/>
  <c r="D584" i="8" s="1"/>
  <c r="C130" i="8"/>
  <c r="D130" i="8" s="1"/>
  <c r="C6" i="8"/>
  <c r="D6" i="8" s="1"/>
  <c r="C100" i="8"/>
  <c r="C402" i="8"/>
  <c r="C968" i="8"/>
  <c r="C1648" i="8"/>
  <c r="C822" i="8"/>
  <c r="D822" i="8" s="1"/>
  <c r="C541" i="8"/>
  <c r="D541" i="8" s="1"/>
  <c r="C144" i="8"/>
  <c r="D144" i="8" s="1"/>
  <c r="C9" i="8"/>
  <c r="D9" i="8" s="1"/>
  <c r="C210" i="8"/>
  <c r="D210" i="8" s="1"/>
  <c r="C592" i="8"/>
  <c r="D592" i="8" s="1"/>
  <c r="C1034" i="8"/>
  <c r="C1589" i="8"/>
  <c r="C951" i="8"/>
  <c r="C681" i="8"/>
  <c r="D681" i="8" s="1"/>
  <c r="C321" i="8"/>
  <c r="D321" i="8" s="1"/>
  <c r="C83" i="8"/>
  <c r="D83" i="8" s="1"/>
  <c r="C135" i="8"/>
  <c r="C407" i="8"/>
  <c r="C729" i="8"/>
  <c r="D729" i="8" s="1"/>
  <c r="C1181" i="8"/>
  <c r="D1181" i="8" s="1"/>
  <c r="C840" i="8"/>
  <c r="C628" i="8"/>
  <c r="C308" i="8"/>
  <c r="C215" i="8"/>
  <c r="C228" i="8"/>
  <c r="D228" i="8" s="1"/>
  <c r="C487" i="8"/>
  <c r="D487" i="8" s="1"/>
  <c r="C1295" i="8"/>
  <c r="D1295" i="8" s="1"/>
  <c r="C1664" i="8"/>
  <c r="D1664" i="8" s="1"/>
  <c r="C546" i="8"/>
  <c r="D546" i="8" s="1"/>
  <c r="C1523" i="8"/>
  <c r="D1523" i="8" s="1"/>
  <c r="C1169" i="8"/>
  <c r="C1595" i="8"/>
  <c r="D1595" i="8" s="1"/>
  <c r="C1645" i="8"/>
  <c r="D1645" i="8" s="1"/>
  <c r="C1671" i="8"/>
  <c r="D1671" i="8" s="1"/>
  <c r="C1829" i="8"/>
  <c r="D1829" i="8" s="1"/>
  <c r="C1934" i="8"/>
  <c r="D1934" i="8" s="1"/>
  <c r="C1379" i="8"/>
  <c r="D1379" i="8" s="1"/>
  <c r="C1190" i="8"/>
  <c r="D1190" i="8" s="1"/>
  <c r="C1005" i="8"/>
  <c r="D1005" i="8" s="1"/>
  <c r="C660" i="8"/>
  <c r="D660" i="8" s="1"/>
  <c r="C808" i="8"/>
  <c r="C1498" i="8"/>
  <c r="C1563" i="8"/>
  <c r="C1575" i="8"/>
  <c r="C1255" i="8"/>
  <c r="D1255" i="8" s="1"/>
  <c r="C1128" i="8"/>
  <c r="D1128" i="8" s="1"/>
  <c r="C935" i="8"/>
  <c r="D935" i="8" s="1"/>
  <c r="C602" i="8"/>
  <c r="D602" i="8" s="1"/>
  <c r="C227" i="8"/>
  <c r="D227" i="8" s="1"/>
  <c r="C150" i="8"/>
  <c r="D150" i="8" s="1"/>
  <c r="C497" i="8"/>
  <c r="C1264" i="8"/>
  <c r="C1189" i="8"/>
  <c r="C680" i="8"/>
  <c r="D680" i="8" s="1"/>
  <c r="C378" i="8"/>
  <c r="D378" i="8" s="1"/>
  <c r="C80" i="8"/>
  <c r="D80" i="8" s="1"/>
  <c r="C19" i="8"/>
  <c r="D19" i="8" s="1"/>
  <c r="C207" i="8"/>
  <c r="D207" i="8" s="1"/>
  <c r="C611" i="8"/>
  <c r="D611" i="8" s="1"/>
  <c r="C1649" i="8"/>
  <c r="D1649" i="8" s="1"/>
  <c r="C1006" i="8"/>
  <c r="C615" i="8"/>
  <c r="C712" i="8"/>
  <c r="C1670" i="8"/>
  <c r="C1411" i="8"/>
  <c r="D1411" i="8" s="1"/>
  <c r="C1303" i="8"/>
  <c r="D1303" i="8" s="1"/>
  <c r="C1527" i="8"/>
  <c r="D1527" i="8" s="1"/>
  <c r="C1285" i="8"/>
  <c r="D1285" i="8" s="1"/>
  <c r="C1186" i="8"/>
  <c r="D1186" i="8" s="1"/>
  <c r="C1002" i="8"/>
  <c r="D1002" i="8" s="1"/>
  <c r="C769" i="8"/>
  <c r="C443" i="8"/>
  <c r="D443" i="8" s="1"/>
  <c r="C393" i="8"/>
  <c r="D393" i="8" s="1"/>
  <c r="C330" i="8"/>
  <c r="D330" i="8" s="1"/>
  <c r="C633" i="8"/>
  <c r="D633" i="8" s="1"/>
  <c r="C1134" i="8"/>
  <c r="D1134" i="8" s="1"/>
  <c r="C1432" i="8"/>
  <c r="D1432" i="8" s="1"/>
  <c r="C1270" i="8"/>
  <c r="D1270" i="8" s="1"/>
  <c r="C1155" i="8"/>
  <c r="D1155" i="8" s="1"/>
  <c r="C1012" i="8"/>
  <c r="D1012" i="8" s="1"/>
  <c r="C903" i="8"/>
  <c r="C953" i="8"/>
  <c r="C958" i="8"/>
  <c r="C1515" i="8"/>
  <c r="C1484" i="8"/>
  <c r="D1484" i="8" s="1"/>
  <c r="C1365" i="8"/>
  <c r="D1365" i="8" s="1"/>
  <c r="C1021" i="8"/>
  <c r="D1021" i="8" s="1"/>
  <c r="C1030" i="8"/>
  <c r="D1030" i="8" s="1"/>
  <c r="C860" i="8"/>
  <c r="D860" i="8" s="1"/>
  <c r="C947" i="8"/>
  <c r="D947" i="8" s="1"/>
  <c r="C899" i="8"/>
  <c r="C998" i="8"/>
  <c r="C1403" i="8"/>
  <c r="C1243" i="8"/>
  <c r="C732" i="8"/>
  <c r="D732" i="8" s="1"/>
  <c r="C538" i="8"/>
  <c r="D538" i="8" s="1"/>
  <c r="C339" i="8"/>
  <c r="D339" i="8" s="1"/>
  <c r="C491" i="8"/>
  <c r="D491" i="8" s="1"/>
  <c r="C726" i="8"/>
  <c r="D726" i="8" s="1"/>
  <c r="C1144" i="8"/>
  <c r="D1144" i="8" s="1"/>
  <c r="C1122" i="8"/>
  <c r="C252" i="8"/>
  <c r="C202" i="8"/>
  <c r="C266" i="8"/>
  <c r="C1311" i="8"/>
  <c r="D1311" i="8" s="1"/>
  <c r="C1176" i="8"/>
  <c r="D1176" i="8" s="1"/>
  <c r="C1755" i="8"/>
  <c r="D1755" i="8" s="1"/>
  <c r="C1886" i="8"/>
  <c r="D1886" i="8" s="1"/>
  <c r="C743" i="8"/>
  <c r="D743" i="8" s="1"/>
  <c r="C479" i="8"/>
  <c r="D479" i="8" s="1"/>
  <c r="C216" i="8"/>
  <c r="C172" i="8"/>
  <c r="D172" i="8" s="1"/>
  <c r="C381" i="8"/>
  <c r="D381" i="8" s="1"/>
  <c r="C624" i="8"/>
  <c r="D624" i="8" s="1"/>
  <c r="C1244" i="8"/>
  <c r="D1244" i="8" s="1"/>
  <c r="C1870" i="8"/>
  <c r="D1870" i="8" s="1"/>
  <c r="C1364" i="8"/>
  <c r="D1364" i="8" s="1"/>
  <c r="C1218" i="8"/>
  <c r="D1218" i="8" s="1"/>
  <c r="C1117" i="8"/>
  <c r="D1117" i="8" s="1"/>
  <c r="C1007" i="8"/>
  <c r="D1007" i="8" s="1"/>
  <c r="C733" i="8"/>
  <c r="C762" i="8"/>
  <c r="C1094" i="8"/>
  <c r="C1160" i="8"/>
  <c r="C1306" i="8"/>
  <c r="D1306" i="8" s="1"/>
  <c r="C1152" i="8"/>
  <c r="D1152" i="8" s="1"/>
  <c r="C1018" i="8"/>
  <c r="D1018" i="8" s="1"/>
  <c r="C842" i="8"/>
  <c r="D842" i="8" s="1"/>
  <c r="C683" i="8"/>
  <c r="D683" i="8" s="1"/>
  <c r="C708" i="8"/>
  <c r="D708" i="8" s="1"/>
  <c r="C1044" i="8"/>
  <c r="D1044" i="8" s="1"/>
  <c r="C1257" i="8"/>
  <c r="D1257" i="8" s="1"/>
  <c r="C1249" i="8"/>
  <c r="D1249" i="8" s="1"/>
  <c r="C1333" i="8"/>
  <c r="D1333" i="8" s="1"/>
  <c r="C1087" i="8"/>
  <c r="D1087" i="8" s="1"/>
  <c r="C972" i="8"/>
  <c r="D972" i="8" s="1"/>
  <c r="C812" i="8"/>
  <c r="D812" i="8" s="1"/>
  <c r="C821" i="8"/>
  <c r="D821" i="8" s="1"/>
  <c r="C848" i="8"/>
  <c r="D848" i="8" s="1"/>
  <c r="C1474" i="8"/>
  <c r="D1474" i="8" s="1"/>
  <c r="C1145" i="8"/>
  <c r="C1026" i="8"/>
  <c r="C771" i="8"/>
  <c r="C663" i="8"/>
  <c r="C892" i="8"/>
  <c r="D892" i="8" s="1"/>
  <c r="C1358" i="8"/>
  <c r="D1358" i="8" s="1"/>
  <c r="C1603" i="8"/>
  <c r="D1603" i="8" s="1"/>
  <c r="C1245" i="8"/>
  <c r="D1245" i="8" s="1"/>
  <c r="C1198" i="8"/>
  <c r="D1198" i="8" s="1"/>
  <c r="C934" i="8"/>
  <c r="D934" i="8" s="1"/>
  <c r="C737" i="8"/>
  <c r="C540" i="8"/>
  <c r="C563" i="8"/>
  <c r="C495" i="8"/>
  <c r="D495" i="8" s="1"/>
  <c r="C804" i="8"/>
  <c r="D804" i="8" s="1"/>
  <c r="C1263" i="8"/>
  <c r="D1263" i="8" s="1"/>
  <c r="C1183" i="8"/>
  <c r="D1183" i="8" s="1"/>
  <c r="C881" i="8"/>
  <c r="D881" i="8" s="1"/>
  <c r="C606" i="8"/>
  <c r="D606" i="8" s="1"/>
  <c r="C332" i="8"/>
  <c r="D332" i="8" s="1"/>
  <c r="C368" i="8"/>
  <c r="C703" i="8"/>
  <c r="C1135" i="8"/>
  <c r="C1367" i="8"/>
  <c r="C1157" i="8"/>
  <c r="D1157" i="8" s="1"/>
  <c r="C1017" i="8"/>
  <c r="D1017" i="8" s="1"/>
  <c r="C864" i="8"/>
  <c r="D864" i="8" s="1"/>
  <c r="C734" i="8"/>
  <c r="D734" i="8" s="1"/>
  <c r="C928" i="8"/>
  <c r="D928" i="8" s="1"/>
  <c r="C1590" i="8"/>
  <c r="D1590" i="8" s="1"/>
  <c r="C1562" i="8"/>
  <c r="C1734" i="8"/>
  <c r="C1711" i="8"/>
  <c r="D1711" i="8" s="1"/>
  <c r="C1488" i="8"/>
  <c r="D1488" i="8" s="1"/>
  <c r="C1471" i="8"/>
  <c r="D1471" i="8" s="1"/>
  <c r="C1644" i="8"/>
  <c r="D1644" i="8" s="1"/>
  <c r="C1302" i="8"/>
  <c r="D1302" i="8" s="1"/>
  <c r="C1126" i="8"/>
  <c r="D1126" i="8" s="1"/>
  <c r="C929" i="8"/>
  <c r="D929" i="8" s="1"/>
  <c r="C791" i="8"/>
  <c r="D791" i="8" s="1"/>
  <c r="C644" i="8"/>
  <c r="C980" i="8"/>
  <c r="C1854" i="8"/>
  <c r="C1477" i="8"/>
  <c r="C1376" i="8"/>
  <c r="D1376" i="8" s="1"/>
  <c r="C1226" i="8"/>
  <c r="D1226" i="8" s="1"/>
  <c r="C941" i="8"/>
  <c r="D941" i="8" s="1"/>
  <c r="C721" i="8"/>
  <c r="D721" i="8" s="1"/>
  <c r="C645" i="8"/>
  <c r="D645" i="8" s="1"/>
  <c r="C825" i="8"/>
  <c r="D825" i="8" s="1"/>
  <c r="C1430" i="8"/>
  <c r="D1430" i="8" s="1"/>
  <c r="C1387" i="8"/>
  <c r="C1319" i="8"/>
  <c r="C877" i="8"/>
  <c r="C697" i="8"/>
  <c r="D697" i="8" s="1"/>
  <c r="C397" i="8"/>
  <c r="D397" i="8" s="1"/>
  <c r="C387" i="8"/>
  <c r="C774" i="8"/>
  <c r="D774" i="8" s="1"/>
  <c r="C1345" i="8"/>
  <c r="D1345" i="8" s="1"/>
  <c r="C1682" i="8"/>
  <c r="D1682" i="8" s="1"/>
  <c r="C1291" i="8"/>
  <c r="C1171" i="8"/>
  <c r="C1023" i="8"/>
  <c r="C800" i="8"/>
  <c r="C599" i="8"/>
  <c r="D599" i="8" s="1"/>
  <c r="C779" i="8"/>
  <c r="D779" i="8" s="1"/>
  <c r="C1567" i="8"/>
  <c r="D1567" i="8" s="1"/>
  <c r="C1491" i="8"/>
  <c r="D1491" i="8" s="1"/>
  <c r="C802" i="8"/>
  <c r="D802" i="8" s="1"/>
  <c r="C614" i="8"/>
  <c r="D614" i="8" s="1"/>
  <c r="C461" i="8"/>
  <c r="C441" i="8"/>
  <c r="D441" i="8" s="1"/>
  <c r="C794" i="8"/>
  <c r="D794" i="8" s="1"/>
  <c r="C1309" i="8"/>
  <c r="D1309" i="8" s="1"/>
  <c r="C1639" i="8"/>
  <c r="D1639" i="8" s="1"/>
  <c r="C1749" i="8"/>
  <c r="D1749" i="8" s="1"/>
  <c r="C1081" i="8"/>
  <c r="D1081" i="8" s="1"/>
  <c r="C533" i="8"/>
  <c r="D533" i="8" s="1"/>
  <c r="C522" i="8"/>
  <c r="D522" i="8" s="1"/>
  <c r="C484" i="8"/>
  <c r="D484" i="8" s="1"/>
  <c r="C1560" i="8"/>
  <c r="C1617" i="8"/>
  <c r="C1735" i="8"/>
  <c r="C1964" i="8"/>
  <c r="C669" i="8"/>
  <c r="D669" i="8" s="1"/>
  <c r="C629" i="8"/>
  <c r="D629" i="8" s="1"/>
  <c r="C651" i="8"/>
  <c r="D651" i="8" s="1"/>
  <c r="C824" i="8"/>
  <c r="D824" i="8" s="1"/>
  <c r="C1495" i="8"/>
  <c r="D1495" i="8" s="1"/>
  <c r="C1556" i="8"/>
  <c r="D1556" i="8" s="1"/>
  <c r="C1653" i="8"/>
  <c r="C1772" i="8"/>
  <c r="C617" i="8"/>
  <c r="C542" i="8"/>
  <c r="D542" i="8" s="1"/>
  <c r="C580" i="8"/>
  <c r="D580" i="8" s="1"/>
  <c r="C1041" i="8"/>
  <c r="D1041" i="8" s="1"/>
  <c r="C1558" i="8"/>
  <c r="D1558" i="8" s="1"/>
  <c r="C1835" i="8"/>
  <c r="D1835" i="8" s="1"/>
  <c r="C1778" i="8"/>
  <c r="D1778" i="8" s="1"/>
  <c r="C1769" i="8"/>
  <c r="D1769" i="8" s="1"/>
  <c r="C667" i="8"/>
  <c r="C586" i="8"/>
  <c r="C568" i="8"/>
  <c r="C572" i="8"/>
  <c r="C1520" i="8"/>
  <c r="D1520" i="8" s="1"/>
  <c r="C1574" i="8"/>
  <c r="D1574" i="8" s="1"/>
  <c r="C1895" i="8"/>
  <c r="D1895" i="8" s="1"/>
  <c r="C1995" i="8"/>
  <c r="D1995" i="8" s="1"/>
  <c r="C1229" i="8"/>
  <c r="D1229" i="8" s="1"/>
  <c r="C1557" i="8"/>
  <c r="D1557" i="8" s="1"/>
  <c r="C1665" i="8"/>
  <c r="C1496" i="8"/>
  <c r="D1496" i="8" s="1"/>
  <c r="C1729" i="8"/>
  <c r="D1729" i="8" s="1"/>
  <c r="C1863" i="8"/>
  <c r="D1863" i="8" s="1"/>
  <c r="C1905" i="8"/>
  <c r="D1905" i="8" s="1"/>
  <c r="C1997" i="8"/>
  <c r="D1997" i="8" s="1"/>
  <c r="C1289" i="8"/>
  <c r="D1289" i="8" s="1"/>
  <c r="C1099" i="8"/>
  <c r="D1099" i="8" s="1"/>
  <c r="C765" i="8"/>
  <c r="D765" i="8" s="1"/>
  <c r="C516" i="8"/>
  <c r="D516" i="8" s="1"/>
  <c r="C656" i="8"/>
  <c r="C1108" i="8"/>
  <c r="C1580" i="8"/>
  <c r="C1845" i="8"/>
  <c r="C1301" i="8"/>
  <c r="D1301" i="8" s="1"/>
  <c r="C836" i="8"/>
  <c r="D836" i="8" s="1"/>
  <c r="C621" i="8"/>
  <c r="D621" i="8" s="1"/>
  <c r="C401" i="8"/>
  <c r="D401" i="8" s="1"/>
  <c r="C425" i="8"/>
  <c r="D425" i="8" s="1"/>
  <c r="C782" i="8"/>
  <c r="D782" i="8" s="1"/>
  <c r="C1521" i="8"/>
  <c r="C1694" i="8"/>
  <c r="C898" i="8"/>
  <c r="D898" i="8" s="1"/>
  <c r="C630" i="8"/>
  <c r="D630" i="8" s="1"/>
  <c r="C424" i="8"/>
  <c r="D424" i="8" s="1"/>
  <c r="C258" i="8"/>
  <c r="D258" i="8" s="1"/>
  <c r="C323" i="8"/>
  <c r="D323" i="8" s="1"/>
  <c r="C930" i="8"/>
  <c r="D930" i="8" s="1"/>
  <c r="C1526" i="8"/>
  <c r="D1526" i="8" s="1"/>
  <c r="C1806" i="8"/>
  <c r="D1806" i="8" s="1"/>
  <c r="C887" i="8"/>
  <c r="C505" i="8"/>
  <c r="C290" i="8"/>
  <c r="C195" i="8"/>
  <c r="C365" i="8"/>
  <c r="D365" i="8" s="1"/>
  <c r="C1056" i="8"/>
  <c r="D1056" i="8" s="1"/>
  <c r="C1517" i="8"/>
  <c r="D1517" i="8" s="1"/>
  <c r="C1646" i="8"/>
  <c r="D1646" i="8" s="1"/>
  <c r="C1357" i="8"/>
  <c r="D1357" i="8" s="1"/>
  <c r="C1232" i="8"/>
  <c r="D1232" i="8" s="1"/>
  <c r="C1620" i="8"/>
  <c r="C1822" i="8"/>
  <c r="C1858" i="8"/>
  <c r="C1885" i="8"/>
  <c r="D1885" i="8" s="1"/>
  <c r="C1921" i="8"/>
  <c r="D1921" i="8" s="1"/>
  <c r="C1999" i="8"/>
  <c r="D1999" i="8" s="1"/>
  <c r="C760" i="8"/>
  <c r="D760" i="8" s="1"/>
  <c r="C553" i="8"/>
  <c r="D553" i="8" s="1"/>
  <c r="C506" i="8"/>
  <c r="D506" i="8" s="1"/>
  <c r="C376" i="8"/>
  <c r="D376" i="8" s="1"/>
  <c r="C458" i="8"/>
  <c r="C295" i="8"/>
  <c r="C1307" i="8"/>
  <c r="C1396" i="8"/>
  <c r="C1290" i="8"/>
  <c r="D1290" i="8" s="1"/>
  <c r="C1027" i="8"/>
  <c r="D1027" i="8" s="1"/>
  <c r="C753" i="8"/>
  <c r="D753" i="8" s="1"/>
  <c r="C473" i="8"/>
  <c r="D473" i="8" s="1"/>
  <c r="C501" i="8"/>
  <c r="D501" i="8" s="1"/>
  <c r="C1019" i="8"/>
  <c r="D1019" i="8" s="1"/>
  <c r="C1390" i="8"/>
  <c r="C1640" i="8"/>
  <c r="C1213" i="8"/>
  <c r="D1213" i="8" s="1"/>
  <c r="C863" i="8"/>
  <c r="D863" i="8" s="1"/>
  <c r="C561" i="8"/>
  <c r="D561" i="8" s="1"/>
  <c r="C329" i="8"/>
  <c r="D329" i="8" s="1"/>
  <c r="C291" i="8"/>
  <c r="D291" i="8" s="1"/>
  <c r="C711" i="8"/>
  <c r="D711" i="8" s="1"/>
  <c r="C1602" i="8"/>
  <c r="D1602" i="8" s="1"/>
  <c r="C1259" i="8"/>
  <c r="D1259" i="8" s="1"/>
  <c r="C1570" i="8"/>
  <c r="C1612" i="8"/>
  <c r="C1720" i="8"/>
  <c r="C1529" i="8"/>
  <c r="C1759" i="8"/>
  <c r="D1759" i="8" s="1"/>
  <c r="C1728" i="8"/>
  <c r="D1728" i="8" s="1"/>
  <c r="C1961" i="8"/>
  <c r="D1961" i="8" s="1"/>
  <c r="C2064" i="8"/>
  <c r="D2064" i="8" s="1"/>
  <c r="C1731" i="8"/>
  <c r="D1731" i="8" s="1"/>
  <c r="C1761" i="8"/>
  <c r="D1761" i="8" s="1"/>
  <c r="C1427" i="8"/>
  <c r="C1424" i="8"/>
  <c r="C1650" i="8"/>
  <c r="C1758" i="8"/>
  <c r="D1758" i="8" s="1"/>
  <c r="C1843" i="8"/>
  <c r="D1843" i="8" s="1"/>
  <c r="C2041" i="8"/>
  <c r="D2041" i="8" s="1"/>
  <c r="C1217" i="8"/>
  <c r="D1217" i="8" s="1"/>
  <c r="C1048" i="8"/>
  <c r="D1048" i="8" s="1"/>
  <c r="C695" i="8"/>
  <c r="D695" i="8" s="1"/>
  <c r="C427" i="8"/>
  <c r="D427" i="8" s="1"/>
  <c r="C413" i="8"/>
  <c r="C793" i="8"/>
  <c r="C1286" i="8"/>
  <c r="C1684" i="8"/>
  <c r="C174" i="8"/>
  <c r="D174" i="8" s="1"/>
  <c r="C357" i="8"/>
  <c r="D357" i="8" s="1"/>
  <c r="C559" i="8"/>
  <c r="D559" i="8" s="1"/>
  <c r="C1165" i="8"/>
  <c r="D1165" i="8" s="1"/>
  <c r="C1565" i="8"/>
  <c r="D1565" i="8" s="1"/>
  <c r="C1740" i="8"/>
  <c r="D1740" i="8" s="1"/>
  <c r="C1718" i="8"/>
  <c r="C2029" i="8"/>
  <c r="D2029" i="8" s="1"/>
  <c r="C1133" i="8"/>
  <c r="D1133" i="8" s="1"/>
  <c r="C831" i="8"/>
  <c r="D831" i="8" s="1"/>
  <c r="C686" i="8"/>
  <c r="D686" i="8" s="1"/>
  <c r="C362" i="8"/>
  <c r="D362" i="8" s="1"/>
  <c r="C274" i="8"/>
  <c r="D274" i="8" s="1"/>
  <c r="C517" i="8"/>
  <c r="D517" i="8" s="1"/>
  <c r="C1510" i="8"/>
  <c r="D1510" i="8" s="1"/>
  <c r="C1788" i="8"/>
  <c r="D1788" i="8" s="1"/>
  <c r="C1158" i="8"/>
  <c r="C1054" i="8"/>
  <c r="C781" i="8"/>
  <c r="C451" i="8"/>
  <c r="C403" i="8"/>
  <c r="D403" i="8" s="1"/>
  <c r="C759" i="8"/>
  <c r="D759" i="8" s="1"/>
  <c r="C1382" i="8"/>
  <c r="D1382" i="8" s="1"/>
  <c r="C1679" i="8"/>
  <c r="D1679" i="8" s="1"/>
  <c r="C949" i="8"/>
  <c r="D949" i="8" s="1"/>
  <c r="C620" i="8"/>
  <c r="D620" i="8" s="1"/>
  <c r="C372" i="8"/>
  <c r="D372" i="8" s="1"/>
  <c r="C192" i="8"/>
  <c r="D192" i="8" s="1"/>
  <c r="C312" i="8"/>
  <c r="D312" i="8" s="1"/>
  <c r="C853" i="8"/>
  <c r="D853" i="8" s="1"/>
  <c r="C1607" i="8"/>
  <c r="D1607" i="8" s="1"/>
  <c r="C1569" i="8"/>
  <c r="D1569" i="8" s="1"/>
  <c r="C1483" i="8"/>
  <c r="D1483" i="8" s="1"/>
  <c r="C1184" i="8"/>
  <c r="D1184" i="8" s="1"/>
  <c r="C700" i="8"/>
  <c r="D700" i="8" s="1"/>
  <c r="C445" i="8"/>
  <c r="D445" i="8" s="1"/>
  <c r="C214" i="8"/>
  <c r="C299" i="8"/>
  <c r="C957" i="8"/>
  <c r="C1706" i="8"/>
  <c r="C1150" i="8"/>
  <c r="D1150" i="8" s="1"/>
  <c r="C1004" i="8"/>
  <c r="D1004" i="8" s="1"/>
  <c r="C576" i="8"/>
  <c r="D576" i="8" s="1"/>
  <c r="C420" i="8"/>
  <c r="D420" i="8" s="1"/>
  <c r="C300" i="8"/>
  <c r="D300" i="8" s="1"/>
  <c r="C659" i="8"/>
  <c r="D659" i="8" s="1"/>
  <c r="C1716" i="8"/>
  <c r="C1767" i="8"/>
  <c r="D1767" i="8" s="1"/>
  <c r="C1137" i="8"/>
  <c r="D1137" i="8" s="1"/>
  <c r="C834" i="8"/>
  <c r="D834" i="8" s="1"/>
  <c r="C593" i="8"/>
  <c r="D593" i="8" s="1"/>
  <c r="C389" i="8"/>
  <c r="D389" i="8" s="1"/>
  <c r="C469" i="8"/>
  <c r="D469" i="8" s="1"/>
  <c r="C1610" i="8"/>
  <c r="D1610" i="8" s="1"/>
  <c r="C1705" i="8"/>
  <c r="D1705" i="8" s="1"/>
  <c r="C1879" i="8"/>
  <c r="D1879" i="8" s="1"/>
  <c r="C867" i="8"/>
  <c r="C356" i="8"/>
  <c r="C87" i="8"/>
  <c r="C78" i="8"/>
  <c r="C583" i="8"/>
  <c r="D583" i="8" s="1"/>
  <c r="C1046" i="8"/>
  <c r="D1046" i="8" s="1"/>
  <c r="C1840" i="8"/>
  <c r="D1840" i="8" s="1"/>
  <c r="C1976" i="8"/>
  <c r="D1976" i="8" s="1"/>
  <c r="C1031" i="8"/>
  <c r="D1031" i="8" s="1"/>
  <c r="C512" i="8"/>
  <c r="D512" i="8" s="1"/>
  <c r="C178" i="8"/>
  <c r="C129" i="8"/>
  <c r="D129" i="8" s="1"/>
  <c r="C196" i="8"/>
  <c r="D196" i="8" s="1"/>
  <c r="C303" i="8"/>
  <c r="D303" i="8" s="1"/>
  <c r="C741" i="8"/>
  <c r="D741" i="8" s="1"/>
  <c r="C1931" i="8"/>
  <c r="D1931" i="8" s="1"/>
  <c r="C896" i="8"/>
  <c r="D896" i="8" s="1"/>
  <c r="C604" i="8"/>
  <c r="D604" i="8" s="1"/>
  <c r="C366" i="8"/>
  <c r="D366" i="8" s="1"/>
  <c r="C125" i="8"/>
  <c r="D125" i="8" s="1"/>
  <c r="C160" i="8"/>
  <c r="C933" i="8"/>
  <c r="C1874" i="8"/>
  <c r="C1800" i="8"/>
  <c r="C679" i="8"/>
  <c r="D679" i="8" s="1"/>
  <c r="C704" i="8"/>
  <c r="D704" i="8" s="1"/>
  <c r="C337" i="8"/>
  <c r="D337" i="8" s="1"/>
  <c r="C271" i="8"/>
  <c r="D271" i="8" s="1"/>
  <c r="C177" i="8"/>
  <c r="D177" i="8" s="1"/>
  <c r="C996" i="8"/>
  <c r="D996" i="8" s="1"/>
  <c r="C1271" i="8"/>
  <c r="C1889" i="8"/>
  <c r="C1277" i="8"/>
  <c r="C1029" i="8"/>
  <c r="D1029" i="8" s="1"/>
  <c r="C705" i="8"/>
  <c r="D705" i="8" s="1"/>
  <c r="C477" i="8"/>
  <c r="D477" i="8" s="1"/>
  <c r="C298" i="8"/>
  <c r="D298" i="8" s="1"/>
  <c r="C790" i="8"/>
  <c r="D790" i="8" s="1"/>
  <c r="C1216" i="8"/>
  <c r="D1216" i="8" s="1"/>
  <c r="C1780" i="8"/>
  <c r="D1780" i="8" s="1"/>
  <c r="C991" i="8"/>
  <c r="C1221" i="8"/>
  <c r="C944" i="8"/>
  <c r="C657" i="8"/>
  <c r="C279" i="8"/>
  <c r="D279" i="8" s="1"/>
  <c r="C164" i="8"/>
  <c r="D164" i="8" s="1"/>
  <c r="C550" i="8"/>
  <c r="D550" i="8" s="1"/>
  <c r="C1871" i="8"/>
  <c r="D1871" i="8" s="1"/>
  <c r="C1230" i="8"/>
  <c r="D1230" i="8" s="1"/>
  <c r="C251" i="8"/>
  <c r="D251" i="8" s="1"/>
  <c r="C239" i="8"/>
  <c r="C701" i="8"/>
  <c r="D701" i="8" s="1"/>
  <c r="C1340" i="8"/>
  <c r="D1340" i="8" s="1"/>
  <c r="C1915" i="8"/>
  <c r="D1915" i="8" s="1"/>
  <c r="C2028" i="8"/>
  <c r="D2028" i="8" s="1"/>
  <c r="C2043" i="8"/>
  <c r="D2043" i="8" s="1"/>
  <c r="C943" i="8"/>
  <c r="D943" i="8" s="1"/>
  <c r="C152" i="8"/>
  <c r="D152" i="8" s="1"/>
  <c r="C44" i="8"/>
  <c r="D44" i="8" s="1"/>
  <c r="C126" i="8"/>
  <c r="D126" i="8" s="1"/>
  <c r="C225" i="8"/>
  <c r="C359" i="8"/>
  <c r="C1548" i="8"/>
  <c r="C1751" i="8"/>
  <c r="C1100" i="8"/>
  <c r="D1100" i="8" s="1"/>
  <c r="C820" i="8"/>
  <c r="D820" i="8" s="1"/>
  <c r="C661" i="8"/>
  <c r="D661" i="8" s="1"/>
  <c r="C235" i="8"/>
  <c r="D235" i="8" s="1"/>
  <c r="C205" i="8"/>
  <c r="D205" i="8" s="1"/>
  <c r="C442" i="8"/>
  <c r="D442" i="8" s="1"/>
  <c r="C1743" i="8"/>
  <c r="C1996" i="8"/>
  <c r="C1130" i="8"/>
  <c r="C874" i="8"/>
  <c r="D874" i="8" s="1"/>
  <c r="C826" i="8"/>
  <c r="D826" i="8" s="1"/>
  <c r="C688" i="8"/>
  <c r="D688" i="8" s="1"/>
  <c r="C345" i="8"/>
  <c r="D345" i="8" s="1"/>
  <c r="C230" i="8"/>
  <c r="D230" i="8" s="1"/>
  <c r="C455" i="8"/>
  <c r="D455" i="8" s="1"/>
  <c r="C1601" i="8"/>
  <c r="D1601" i="8" s="1"/>
  <c r="C716" i="8"/>
  <c r="C260" i="8"/>
  <c r="C71" i="8"/>
  <c r="C510" i="8"/>
  <c r="C642" i="8"/>
  <c r="D642" i="8" s="1"/>
  <c r="C950" i="8"/>
  <c r="D950" i="8" s="1"/>
  <c r="C1827" i="8"/>
  <c r="D1827" i="8" s="1"/>
  <c r="C2030" i="8"/>
  <c r="D2030" i="8" s="1"/>
  <c r="C504" i="8"/>
  <c r="D504" i="8" s="1"/>
  <c r="C520" i="8"/>
  <c r="D520" i="8" s="1"/>
  <c r="C398" i="8"/>
  <c r="C138" i="8"/>
  <c r="D138" i="8" s="1"/>
  <c r="C114" i="8"/>
  <c r="D114" i="8" s="1"/>
  <c r="C453" i="8"/>
  <c r="D453" i="8" s="1"/>
  <c r="C508" i="8"/>
  <c r="D508" i="8" s="1"/>
  <c r="C1725" i="8"/>
  <c r="D1725" i="8" s="1"/>
  <c r="C857" i="8"/>
  <c r="D857" i="8" s="1"/>
  <c r="C999" i="8"/>
  <c r="D999" i="8" s="1"/>
  <c r="C297" i="8"/>
  <c r="D297" i="8" s="1"/>
  <c r="C96" i="8"/>
  <c r="D96" i="8" s="1"/>
  <c r="C256" i="8"/>
  <c r="C635" i="8"/>
  <c r="C1080" i="8"/>
  <c r="C2048" i="8"/>
  <c r="C93" i="8"/>
  <c r="D93" i="8" s="1"/>
  <c r="C134" i="8"/>
  <c r="D134" i="8" s="1"/>
  <c r="C45" i="8"/>
  <c r="D45" i="8" s="1"/>
  <c r="C99" i="8"/>
  <c r="D99" i="8" s="1"/>
  <c r="C392" i="8"/>
  <c r="D392" i="8" s="1"/>
  <c r="C1125" i="8"/>
  <c r="D1125" i="8" s="1"/>
  <c r="C1776" i="8"/>
  <c r="C2016" i="8"/>
  <c r="C55" i="8"/>
  <c r="C73" i="8"/>
  <c r="D73" i="8" s="1"/>
  <c r="C1148" i="8"/>
  <c r="D1148" i="8" s="1"/>
  <c r="C1201" i="8"/>
  <c r="D1201" i="8" s="1"/>
  <c r="C1431" i="8"/>
  <c r="D1431" i="8" s="1"/>
  <c r="C1371" i="8"/>
  <c r="D1371" i="8" s="1"/>
  <c r="C1260" i="8"/>
  <c r="D1260" i="8" s="1"/>
  <c r="C1924" i="8"/>
  <c r="D1924" i="8" s="1"/>
  <c r="C573" i="8"/>
  <c r="C861" i="8"/>
  <c r="C921" i="8"/>
  <c r="C945" i="8"/>
  <c r="C1626" i="8"/>
  <c r="D1626" i="8" s="1"/>
  <c r="C1816" i="8"/>
  <c r="D1816" i="8" s="1"/>
  <c r="C1892" i="8"/>
  <c r="D1892" i="8" s="1"/>
  <c r="C1965" i="8"/>
  <c r="D1965" i="8" s="1"/>
  <c r="C888" i="8"/>
  <c r="D888" i="8" s="1"/>
  <c r="C342" i="8"/>
  <c r="D342" i="8" s="1"/>
  <c r="C109" i="8"/>
  <c r="C190" i="8"/>
  <c r="D190" i="8" s="1"/>
  <c r="C514" i="8"/>
  <c r="D514" i="8" s="1"/>
  <c r="C1110" i="8"/>
  <c r="D1110" i="8" s="1"/>
  <c r="C1927" i="8"/>
  <c r="D1927" i="8" s="1"/>
  <c r="C1990" i="8"/>
  <c r="D1990" i="8" s="1"/>
  <c r="C47" i="8"/>
  <c r="D47" i="8" s="1"/>
  <c r="C180" i="8"/>
  <c r="D180" i="8" s="1"/>
  <c r="C326" i="8"/>
  <c r="D326" i="8" s="1"/>
  <c r="C626" i="8"/>
  <c r="D626" i="8" s="1"/>
  <c r="C1068" i="8"/>
  <c r="C1293" i="8"/>
  <c r="C1625" i="8"/>
  <c r="C2104" i="8"/>
  <c r="C1118" i="8"/>
  <c r="D1118" i="8" s="1"/>
  <c r="C665" i="8"/>
  <c r="D665" i="8" s="1"/>
  <c r="C322" i="8"/>
  <c r="D322" i="8" s="1"/>
  <c r="C86" i="8"/>
  <c r="D86" i="8" s="1"/>
  <c r="C69" i="8"/>
  <c r="D69" i="8" s="1"/>
  <c r="C476" i="8"/>
  <c r="D476" i="8" s="1"/>
  <c r="C1204" i="8"/>
  <c r="C2111" i="8"/>
  <c r="D2111" i="8" s="1"/>
  <c r="C1143" i="8"/>
  <c r="D1143" i="8" s="1"/>
  <c r="C588" i="8"/>
  <c r="D588" i="8" s="1"/>
  <c r="C77" i="8"/>
  <c r="D77" i="8" s="1"/>
  <c r="C141" i="8"/>
  <c r="D141" i="8" s="1"/>
  <c r="C662" i="8"/>
  <c r="D662" i="8" s="1"/>
  <c r="C1442" i="8"/>
  <c r="D1442" i="8" s="1"/>
  <c r="C1792" i="8"/>
  <c r="D1792" i="8" s="1"/>
  <c r="C2097" i="8"/>
  <c r="D2097" i="8" s="1"/>
  <c r="C829" i="8"/>
  <c r="C526" i="8"/>
  <c r="C159" i="8"/>
  <c r="C163" i="8"/>
  <c r="C792" i="8"/>
  <c r="D792" i="8" s="1"/>
  <c r="C1391" i="8"/>
  <c r="D1391" i="8" s="1"/>
  <c r="C1748" i="8"/>
  <c r="D1748" i="8" s="1"/>
  <c r="C2109" i="8"/>
  <c r="D2109" i="8" s="1"/>
  <c r="C1077" i="8"/>
  <c r="D1077" i="8" s="1"/>
  <c r="C833" i="8"/>
  <c r="D833" i="8" s="1"/>
  <c r="C124" i="8"/>
  <c r="C201" i="8"/>
  <c r="C485" i="8"/>
  <c r="D485" i="8" s="1"/>
  <c r="C845" i="8"/>
  <c r="D845" i="8" s="1"/>
  <c r="C976" i="8"/>
  <c r="D976" i="8" s="1"/>
  <c r="C1899" i="8"/>
  <c r="D1899" i="8" s="1"/>
  <c r="C798" i="8"/>
  <c r="D798" i="8" s="1"/>
  <c r="C924" i="8"/>
  <c r="D924" i="8" s="1"/>
  <c r="C374" i="8"/>
  <c r="D374" i="8" s="1"/>
  <c r="C127" i="8"/>
  <c r="D127" i="8" s="1"/>
  <c r="C276" i="8"/>
  <c r="C1350" i="8"/>
  <c r="C1766" i="8"/>
  <c r="C2143" i="8"/>
  <c r="C262" i="8"/>
  <c r="D262" i="8" s="1"/>
  <c r="C382" i="8"/>
  <c r="D382" i="8" s="1"/>
  <c r="C247" i="8"/>
  <c r="D247" i="8" s="1"/>
  <c r="C351" i="8"/>
  <c r="D351" i="8" s="1"/>
  <c r="C906" i="8"/>
  <c r="D906" i="8" s="1"/>
  <c r="C1502" i="8"/>
  <c r="D1502" i="8" s="1"/>
  <c r="C1713" i="8"/>
  <c r="C1978" i="8"/>
  <c r="C103" i="8"/>
  <c r="D103" i="8" s="1"/>
  <c r="C145" i="8"/>
  <c r="D145" i="8" s="1"/>
  <c r="C817" i="8"/>
  <c r="D817" i="8" s="1"/>
  <c r="C1568" i="8"/>
  <c r="D1568" i="8" s="1"/>
  <c r="C1869" i="8"/>
  <c r="D1869" i="8" s="1"/>
  <c r="C1922" i="8"/>
  <c r="D1922" i="8" s="1"/>
  <c r="C2080" i="8"/>
  <c r="D2080" i="8" s="1"/>
  <c r="C2149" i="8"/>
  <c r="D2149" i="8" s="1"/>
  <c r="C1436" i="8"/>
  <c r="C1215" i="8"/>
  <c r="C710" i="8"/>
  <c r="C220" i="8"/>
  <c r="C457" i="8"/>
  <c r="D457" i="8" s="1"/>
  <c r="C1105" i="8"/>
  <c r="D1105" i="8" s="1"/>
  <c r="C1824" i="8"/>
  <c r="D1824" i="8" s="1"/>
  <c r="C2107" i="8"/>
  <c r="D2107" i="8" s="1"/>
  <c r="C730" i="8"/>
  <c r="D730" i="8" s="1"/>
  <c r="C373" i="8"/>
  <c r="D373" i="8" s="1"/>
  <c r="C278" i="8"/>
  <c r="C380" i="8"/>
  <c r="C1036" i="8"/>
  <c r="C1808" i="8"/>
  <c r="D1808" i="8" s="1"/>
  <c r="C2099" i="8"/>
  <c r="D2099" i="8" s="1"/>
  <c r="C2137" i="8"/>
  <c r="D2137" i="8" s="1"/>
  <c r="C719" i="8"/>
  <c r="D719" i="8" s="1"/>
  <c r="C480" i="8"/>
  <c r="D480" i="8" s="1"/>
  <c r="C158" i="8"/>
  <c r="D158" i="8" s="1"/>
  <c r="C157" i="8"/>
  <c r="D157" i="8" s="1"/>
  <c r="C682" i="8"/>
  <c r="C1577" i="8"/>
  <c r="C1794" i="8"/>
  <c r="C2105" i="8"/>
  <c r="C438" i="8"/>
  <c r="D438" i="8" s="1"/>
  <c r="C548" i="8"/>
  <c r="D548" i="8" s="1"/>
  <c r="C245" i="8"/>
  <c r="D245" i="8" s="1"/>
  <c r="C52" i="8"/>
  <c r="D52" i="8" s="1"/>
  <c r="C136" i="8"/>
  <c r="D136" i="8" s="1"/>
  <c r="C702" i="8"/>
  <c r="D702" i="8" s="1"/>
  <c r="C1723" i="8"/>
  <c r="C2108" i="8"/>
  <c r="D2108" i="8" s="1"/>
  <c r="C111" i="8"/>
  <c r="D111" i="8" s="1"/>
  <c r="C97" i="8"/>
  <c r="D97" i="8" s="1"/>
  <c r="C437" i="8"/>
  <c r="D437" i="8" s="1"/>
  <c r="C740" i="8"/>
  <c r="D740" i="8" s="1"/>
  <c r="C960" i="8"/>
  <c r="D960" i="8" s="1"/>
  <c r="C1207" i="8"/>
  <c r="D1207" i="8" s="1"/>
  <c r="C1312" i="8"/>
  <c r="D1312" i="8" s="1"/>
  <c r="C1880" i="8"/>
  <c r="D1880" i="8" s="1"/>
  <c r="C587" i="8"/>
  <c r="C257" i="8"/>
  <c r="C81" i="8"/>
  <c r="C133" i="8"/>
  <c r="C772" i="8"/>
  <c r="D772" i="8" s="1"/>
  <c r="C1469" i="8"/>
  <c r="D1469" i="8" s="1"/>
  <c r="C1741" i="8"/>
  <c r="D1741" i="8" s="1"/>
  <c r="C2036" i="8"/>
  <c r="D2036" i="8" s="1"/>
  <c r="C405" i="8"/>
  <c r="D405" i="8" s="1"/>
  <c r="C194" i="8"/>
  <c r="D194" i="8" s="1"/>
  <c r="C747" i="8"/>
  <c r="C1408" i="8"/>
  <c r="C1420" i="8"/>
  <c r="C1698" i="8"/>
  <c r="D1698" i="8" s="1"/>
  <c r="C1765" i="8"/>
  <c r="D1765" i="8" s="1"/>
  <c r="C1918" i="8"/>
  <c r="D1918" i="8" s="1"/>
  <c r="C183" i="8"/>
  <c r="D183" i="8" s="1"/>
  <c r="C367" i="8"/>
  <c r="D367" i="8" s="1"/>
  <c r="C1378" i="8"/>
  <c r="D1378" i="8" s="1"/>
  <c r="C1305" i="8"/>
  <c r="D1305" i="8" s="1"/>
  <c r="C1757" i="8"/>
  <c r="C1876" i="8"/>
  <c r="C1982" i="8"/>
  <c r="C2078" i="8"/>
  <c r="C56" i="8"/>
  <c r="D56" i="8" s="1"/>
  <c r="C153" i="8"/>
  <c r="D153" i="8" s="1"/>
  <c r="C240" i="8"/>
  <c r="D240" i="8" s="1"/>
  <c r="C647" i="8"/>
  <c r="D647" i="8" s="1"/>
  <c r="C969" i="8"/>
  <c r="D969" i="8" s="1"/>
  <c r="C1599" i="8"/>
  <c r="D1599" i="8" s="1"/>
  <c r="C1930" i="8"/>
  <c r="C2015" i="8"/>
  <c r="D2015" i="8" s="1"/>
  <c r="C234" i="8"/>
  <c r="D234" i="8" s="1"/>
  <c r="C170" i="8"/>
  <c r="D170" i="8" s="1"/>
  <c r="C98" i="8"/>
  <c r="D98" i="8" s="1"/>
  <c r="C198" i="8"/>
  <c r="D198" i="8" s="1"/>
  <c r="C749" i="8"/>
  <c r="D749" i="8" s="1"/>
  <c r="C1417" i="8"/>
  <c r="D1417" i="8" s="1"/>
  <c r="C1726" i="8"/>
  <c r="D1726" i="8" s="1"/>
  <c r="C2069" i="8"/>
  <c r="D2069" i="8" s="1"/>
  <c r="C189" i="8"/>
  <c r="C53" i="8"/>
  <c r="C32" i="8"/>
  <c r="C184" i="8"/>
  <c r="C654" i="8"/>
  <c r="D654" i="8" s="1"/>
  <c r="C1377" i="8"/>
  <c r="D1377" i="8" s="1"/>
  <c r="C1673" i="8"/>
  <c r="D1673" i="8" s="1"/>
  <c r="C1988" i="8"/>
  <c r="D1988" i="8" s="1"/>
  <c r="C690" i="8"/>
  <c r="D690" i="8" s="1"/>
  <c r="C379" i="8"/>
  <c r="D379" i="8" s="1"/>
  <c r="C212" i="8"/>
  <c r="C156" i="8"/>
  <c r="C530" i="8"/>
  <c r="D530" i="8" s="1"/>
  <c r="C1193" i="8"/>
  <c r="D1193" i="8" s="1"/>
  <c r="C1616" i="8"/>
  <c r="D1616" i="8" s="1"/>
  <c r="C2093" i="8"/>
  <c r="D2093" i="8" s="1"/>
  <c r="C431" i="8"/>
  <c r="D431" i="8" s="1"/>
  <c r="C217" i="8"/>
  <c r="D217" i="8" s="1"/>
  <c r="C187" i="8"/>
  <c r="D187" i="8" s="1"/>
  <c r="C581" i="8"/>
  <c r="D581" i="8" s="1"/>
  <c r="C1609" i="8"/>
  <c r="C1957" i="8"/>
  <c r="C2113" i="8"/>
  <c r="C2133" i="8"/>
  <c r="C76" i="8"/>
  <c r="D76" i="8" s="1"/>
  <c r="C315" i="8"/>
  <c r="D315" i="8" s="1"/>
  <c r="C795" i="8"/>
  <c r="D795" i="8" s="1"/>
  <c r="C1659" i="8"/>
  <c r="D1659" i="8" s="1"/>
  <c r="C1789" i="8"/>
  <c r="D1789" i="8" s="1"/>
  <c r="C1868" i="8"/>
  <c r="D1868" i="8" s="1"/>
  <c r="C1774" i="8"/>
  <c r="C2088" i="8"/>
  <c r="C75" i="8"/>
  <c r="C191" i="8"/>
  <c r="D191" i="8" s="1"/>
  <c r="C283" i="8"/>
  <c r="D283" i="8" s="1"/>
  <c r="C623" i="8"/>
  <c r="D623" i="8" s="1"/>
  <c r="C1149" i="8"/>
  <c r="D1149" i="8" s="1"/>
  <c r="C1771" i="8"/>
  <c r="D1771" i="8" s="1"/>
  <c r="C1809" i="8"/>
  <c r="D1809" i="8" s="1"/>
  <c r="C1920" i="8"/>
  <c r="D1920" i="8" s="1"/>
  <c r="C1174" i="8"/>
  <c r="C591" i="8"/>
  <c r="C167" i="8"/>
  <c r="C106" i="8"/>
  <c r="C465" i="8"/>
  <c r="D465" i="8" s="1"/>
  <c r="C1014" i="8"/>
  <c r="D1014" i="8" s="1"/>
  <c r="C1621" i="8"/>
  <c r="D1621" i="8" s="1"/>
  <c r="C1994" i="8"/>
  <c r="D1994" i="8" s="1"/>
  <c r="C440" i="8"/>
  <c r="D440" i="8" s="1"/>
  <c r="C575" i="8"/>
  <c r="D575" i="8" s="1"/>
  <c r="C1188" i="8"/>
  <c r="C1802" i="8"/>
  <c r="D1802" i="8" s="1"/>
  <c r="C1752" i="8"/>
  <c r="D1752" i="8" s="1"/>
  <c r="C1793" i="8"/>
  <c r="D1793" i="8" s="1"/>
  <c r="C2003" i="8"/>
  <c r="D2003" i="8" s="1"/>
  <c r="C2103" i="8"/>
  <c r="D2103" i="8" s="1"/>
  <c r="C500" i="8"/>
  <c r="D500" i="8" s="1"/>
  <c r="C131" i="8"/>
  <c r="D131" i="8" s="1"/>
  <c r="C118" i="8"/>
  <c r="D118" i="8" s="1"/>
  <c r="C61" i="8"/>
  <c r="D61" i="8" s="1"/>
  <c r="C254" i="8"/>
  <c r="C846" i="8"/>
  <c r="C1369" i="8"/>
  <c r="C1902" i="8"/>
  <c r="C361" i="8"/>
  <c r="D361" i="8" s="1"/>
  <c r="C90" i="8"/>
  <c r="D90" i="8" s="1"/>
  <c r="C91" i="8"/>
  <c r="D91" i="8" s="1"/>
  <c r="C650" i="8"/>
  <c r="D650" i="8" s="1"/>
  <c r="C1114" i="8"/>
  <c r="D1114" i="8" s="1"/>
  <c r="C1593" i="8"/>
  <c r="D1593" i="8" s="1"/>
  <c r="C1940" i="8"/>
  <c r="C1998" i="8"/>
  <c r="C281" i="8"/>
  <c r="C67" i="8"/>
  <c r="D67" i="8" s="1"/>
  <c r="C36" i="8"/>
  <c r="D36" i="8" s="1"/>
  <c r="C270" i="8"/>
  <c r="D270" i="8" s="1"/>
  <c r="C527" i="8"/>
  <c r="D527" i="8" s="1"/>
  <c r="C1559" i="8"/>
  <c r="D1559" i="8" s="1"/>
  <c r="C1866" i="8"/>
  <c r="D1866" i="8" s="1"/>
  <c r="C2051" i="8"/>
  <c r="D2051" i="8" s="1"/>
  <c r="C643" i="8"/>
  <c r="C121" i="8"/>
  <c r="C34" i="8"/>
  <c r="C20" i="8"/>
  <c r="C147" i="8"/>
  <c r="D147" i="8" s="1"/>
  <c r="C699" i="8"/>
  <c r="D699" i="8" s="1"/>
  <c r="C1288" i="8"/>
  <c r="D1288" i="8" s="1"/>
  <c r="C1844" i="8"/>
  <c r="D1844" i="8" s="1"/>
  <c r="C738" i="8"/>
  <c r="D738" i="8" s="1"/>
  <c r="C346" i="8"/>
  <c r="D346" i="8" s="1"/>
  <c r="C148" i="8"/>
  <c r="C31" i="8"/>
  <c r="D31" i="8" s="1"/>
  <c r="C406" i="8"/>
  <c r="D406" i="8" s="1"/>
  <c r="C828" i="8"/>
  <c r="D828" i="8" s="1"/>
  <c r="C1268" i="8"/>
  <c r="D1268" i="8" s="1"/>
  <c r="C1622" i="8"/>
  <c r="D1622" i="8" s="1"/>
  <c r="C511" i="8"/>
  <c r="D511" i="8" s="1"/>
  <c r="C72" i="8"/>
  <c r="D72" i="8" s="1"/>
  <c r="C37" i="8"/>
  <c r="D37" i="8" s="1"/>
  <c r="C275" i="8"/>
  <c r="D275" i="8" s="1"/>
  <c r="C547" i="8"/>
  <c r="C1587" i="8"/>
  <c r="C1883" i="8"/>
  <c r="C2011" i="8"/>
  <c r="C412" i="8"/>
  <c r="D412" i="8" s="1"/>
  <c r="C48" i="8"/>
  <c r="D48" i="8" s="1"/>
  <c r="C68" i="8"/>
  <c r="D68" i="8" s="1"/>
  <c r="C605" i="8"/>
  <c r="D605" i="8" s="1"/>
  <c r="C952" i="8"/>
  <c r="D952" i="8" s="1"/>
  <c r="C1297" i="8"/>
  <c r="D1297" i="8" s="1"/>
  <c r="C1553" i="8"/>
  <c r="C2026" i="8"/>
  <c r="C577" i="8"/>
  <c r="D577" i="8" s="1"/>
  <c r="C244" i="8"/>
  <c r="D244" i="8" s="1"/>
  <c r="C23" i="8"/>
  <c r="D23" i="8" s="1"/>
  <c r="C404" i="8"/>
  <c r="D404" i="8" s="1"/>
  <c r="C987" i="8"/>
  <c r="D987" i="8" s="1"/>
  <c r="C1598" i="8"/>
  <c r="D1598" i="8" s="1"/>
  <c r="C1585" i="8"/>
  <c r="D1585" i="8" s="1"/>
  <c r="C1909" i="8"/>
  <c r="D1909" i="8" s="1"/>
  <c r="C529" i="8"/>
  <c r="C182" i="8"/>
  <c r="C66" i="8"/>
  <c r="C16" i="8"/>
  <c r="C38" i="8"/>
  <c r="D38" i="8" s="1"/>
  <c r="C464" i="8"/>
  <c r="D464" i="8" s="1"/>
  <c r="C1524" i="8"/>
  <c r="D1524" i="8" s="1"/>
  <c r="C1884" i="8"/>
  <c r="D1884" i="8" s="1"/>
  <c r="C296" i="8"/>
  <c r="D296" i="8" s="1"/>
  <c r="C54" i="8"/>
  <c r="D54" i="8" s="1"/>
  <c r="C13" i="8"/>
  <c r="C65" i="8"/>
  <c r="C408" i="8"/>
  <c r="C1028" i="8"/>
  <c r="D1028" i="8" s="1"/>
  <c r="C1588" i="8"/>
  <c r="D1588" i="8" s="1"/>
  <c r="C1846" i="8"/>
  <c r="D1846" i="8" s="1"/>
  <c r="C564" i="8"/>
  <c r="C226" i="8"/>
  <c r="D226" i="8" s="1"/>
  <c r="C60" i="8"/>
  <c r="D60" i="8" s="1"/>
  <c r="C14" i="8"/>
  <c r="D14" i="8" s="1"/>
  <c r="C85" i="8"/>
  <c r="C963" i="8"/>
  <c r="C1084" i="8"/>
  <c r="C1532" i="8"/>
  <c r="C249" i="8"/>
  <c r="D249" i="8" s="1"/>
  <c r="C112" i="8"/>
  <c r="D112" i="8" s="1"/>
  <c r="C62" i="8"/>
  <c r="D62" i="8" s="1"/>
  <c r="C188" i="8"/>
  <c r="D188" i="8" s="1"/>
  <c r="C677" i="8"/>
  <c r="D677" i="8" s="1"/>
  <c r="C1163" i="8"/>
  <c r="D1163" i="8" s="1"/>
  <c r="C1681" i="8"/>
  <c r="C2017" i="8"/>
  <c r="C777" i="8"/>
  <c r="D777" i="8" s="1"/>
  <c r="C531" i="8"/>
  <c r="D531" i="8" s="1"/>
  <c r="C15" i="8"/>
  <c r="D15" i="8" s="1"/>
  <c r="C79" i="8"/>
  <c r="D79" i="8" s="1"/>
  <c r="C395" i="8"/>
  <c r="D395" i="8" s="1"/>
  <c r="C852" i="8"/>
  <c r="D852" i="8" s="1"/>
  <c r="C1950" i="8"/>
  <c r="D1950" i="8" s="1"/>
  <c r="C2073" i="8"/>
  <c r="D2073" i="8" s="1"/>
  <c r="C1636" i="8"/>
  <c r="C1732" i="8"/>
  <c r="C1813" i="8"/>
  <c r="C1826" i="8"/>
  <c r="C1901" i="8"/>
  <c r="D1901" i="8" s="1"/>
  <c r="C1797" i="8"/>
  <c r="D1797" i="8" s="1"/>
  <c r="C1807" i="8"/>
  <c r="D1807" i="8" s="1"/>
  <c r="C2037" i="8"/>
  <c r="D2037" i="8" s="1"/>
  <c r="C1473" i="8"/>
  <c r="D1473" i="8" s="1"/>
  <c r="C1361" i="8"/>
  <c r="C1704" i="8"/>
  <c r="C1838" i="8"/>
  <c r="C1882" i="8"/>
  <c r="C1819" i="8"/>
  <c r="D1819" i="8" s="1"/>
  <c r="C1890" i="8"/>
  <c r="D1890" i="8" s="1"/>
  <c r="C1942" i="8"/>
  <c r="D1942" i="8" s="1"/>
  <c r="C1073" i="8"/>
  <c r="D1073" i="8" s="1"/>
  <c r="C843" i="8"/>
  <c r="D843" i="8" s="1"/>
  <c r="C243" i="8"/>
  <c r="D243" i="8" s="1"/>
  <c r="C40" i="8"/>
  <c r="D40" i="8" s="1"/>
  <c r="C101" i="8"/>
  <c r="C399" i="8"/>
  <c r="C746" i="8"/>
  <c r="C1476" i="8"/>
  <c r="C1061" i="8"/>
  <c r="D1061" i="8" s="1"/>
  <c r="C766" i="8"/>
  <c r="D766" i="8" s="1"/>
  <c r="C269" i="8"/>
  <c r="D269" i="8" s="1"/>
  <c r="C39" i="8"/>
  <c r="D39" i="8" s="1"/>
  <c r="C88" i="8"/>
  <c r="D88" i="8" s="1"/>
  <c r="C292" i="8"/>
  <c r="D292" i="8" s="1"/>
  <c r="C788" i="8"/>
  <c r="C1618" i="8"/>
  <c r="D1618" i="8" s="1"/>
  <c r="C1015" i="8"/>
  <c r="D1015" i="8" s="1"/>
  <c r="C696" i="8"/>
  <c r="D696" i="8" s="1"/>
  <c r="C340" i="8"/>
  <c r="D340" i="8" s="1"/>
  <c r="C122" i="8"/>
  <c r="D122" i="8" s="1"/>
  <c r="C166" i="8"/>
  <c r="D166" i="8" s="1"/>
  <c r="C545" i="8"/>
  <c r="D545" i="8" s="1"/>
  <c r="C778" i="8"/>
  <c r="D778" i="8" s="1"/>
  <c r="C1418" i="8"/>
  <c r="D1418" i="8" s="1"/>
  <c r="C893" i="8"/>
  <c r="C596" i="8"/>
  <c r="C286" i="8"/>
  <c r="C50" i="8"/>
  <c r="C104" i="8"/>
  <c r="D104" i="8" s="1"/>
  <c r="C333" i="8"/>
  <c r="D333" i="8" s="1"/>
  <c r="C751" i="8"/>
  <c r="D751" i="8" s="1"/>
  <c r="C1480" i="8"/>
  <c r="D1480" i="8" s="1"/>
  <c r="C897" i="8"/>
  <c r="D897" i="8" s="1"/>
  <c r="C849" i="8"/>
  <c r="D849" i="8" s="1"/>
  <c r="C1492" i="8"/>
  <c r="C1724" i="8"/>
  <c r="C1823" i="8"/>
  <c r="C1834" i="8"/>
  <c r="C1873" i="8"/>
  <c r="D1873" i="8" s="1"/>
  <c r="C2021" i="8"/>
  <c r="D2021" i="8" s="1"/>
  <c r="C875" i="8"/>
  <c r="C488" i="8"/>
  <c r="D488" i="8" s="1"/>
  <c r="C211" i="8"/>
  <c r="D211" i="8" s="1"/>
  <c r="C28" i="8"/>
  <c r="D28" i="8" s="1"/>
  <c r="C128" i="8"/>
  <c r="C481" i="8"/>
  <c r="C981" i="8"/>
  <c r="C1539" i="8"/>
  <c r="C819" i="8"/>
  <c r="D819" i="8" s="1"/>
  <c r="C470" i="8"/>
  <c r="D470" i="8" s="1"/>
  <c r="C179" i="8"/>
  <c r="D179" i="8" s="1"/>
  <c r="C51" i="8"/>
  <c r="D51" i="8" s="1"/>
  <c r="C8" i="8"/>
  <c r="D8" i="8" s="1"/>
  <c r="C415" i="8"/>
  <c r="D415" i="8" s="1"/>
  <c r="C1433" i="8"/>
  <c r="C1747" i="8"/>
  <c r="D1747" i="8" s="1"/>
  <c r="C1050" i="8"/>
  <c r="D1050" i="8" s="1"/>
  <c r="C797" i="8"/>
  <c r="D797" i="8" s="1"/>
  <c r="C428" i="8"/>
  <c r="D428" i="8" s="1"/>
  <c r="C277" i="8"/>
  <c r="D277" i="8" s="1"/>
  <c r="C82" i="8"/>
  <c r="D82" i="8" s="1"/>
  <c r="C139" i="8"/>
  <c r="D139" i="8" s="1"/>
  <c r="C916" i="8"/>
  <c r="D916" i="8" s="1"/>
  <c r="C1470" i="8"/>
  <c r="D1470" i="8" s="1"/>
  <c r="C1060" i="8"/>
  <c r="C456" i="8"/>
  <c r="C288" i="8"/>
  <c r="C25" i="8"/>
  <c r="C165" i="8"/>
  <c r="D165" i="8" s="1"/>
  <c r="C507" i="8"/>
  <c r="D507" i="8" s="1"/>
  <c r="C984" i="8"/>
  <c r="D984" i="8" s="1"/>
  <c r="C1678" i="8"/>
  <c r="D1678" i="8" s="1"/>
  <c r="C913" i="8"/>
  <c r="D913" i="8" s="1"/>
  <c r="C411" i="8"/>
  <c r="D411" i="8" s="1"/>
  <c r="C119" i="8"/>
  <c r="C7" i="8"/>
  <c r="C268" i="8"/>
  <c r="C713" i="8"/>
  <c r="C1146" i="8"/>
  <c r="D1146" i="8" s="1"/>
  <c r="C1600" i="8"/>
  <c r="D1600" i="8" s="1"/>
  <c r="C534" i="8"/>
  <c r="C107" i="8"/>
  <c r="C10" i="8"/>
  <c r="D10" i="8" s="1"/>
  <c r="C302" i="8"/>
  <c r="D302" i="8" s="1"/>
  <c r="C641" i="8"/>
  <c r="C1175" i="8"/>
  <c r="C1768" i="8"/>
  <c r="C1960" i="8"/>
  <c r="C1634" i="8"/>
  <c r="D1634" i="8" s="1"/>
  <c r="C1738" i="8"/>
  <c r="D1738" i="8" s="1"/>
  <c r="C1685" i="8"/>
  <c r="D1685" i="8" s="1"/>
  <c r="C1764" i="8"/>
  <c r="D1764" i="8" s="1"/>
  <c r="C1782" i="8"/>
  <c r="D1782" i="8" s="1"/>
  <c r="C1815" i="8"/>
  <c r="D1815" i="8" s="1"/>
  <c r="C1941" i="8"/>
  <c r="C2050" i="8"/>
  <c r="D2050" i="8" s="1"/>
  <c r="C909" i="8"/>
  <c r="D909" i="8" s="1"/>
  <c r="C905" i="8"/>
  <c r="D905" i="8" s="1"/>
  <c r="C1446" i="8"/>
  <c r="D1446" i="8" s="1"/>
  <c r="C1702" i="8"/>
  <c r="D1702" i="8" s="1"/>
  <c r="C1721" i="8"/>
  <c r="D1721" i="8" s="1"/>
  <c r="C1777" i="8"/>
  <c r="D1777" i="8" s="1"/>
  <c r="C1791" i="8"/>
  <c r="D1791" i="8" s="1"/>
  <c r="C1891" i="8"/>
  <c r="D1891" i="8" s="1"/>
  <c r="C70" i="8"/>
  <c r="C454" i="8"/>
  <c r="C671" i="8"/>
  <c r="C1318" i="8"/>
  <c r="C1688" i="8"/>
  <c r="D1688" i="8" s="1"/>
  <c r="C1847" i="8"/>
  <c r="D1847" i="8" s="1"/>
  <c r="C2008" i="8"/>
  <c r="D2008" i="8" s="1"/>
  <c r="C2005" i="8"/>
  <c r="D2005" i="8" s="1"/>
  <c r="C1121" i="8"/>
  <c r="D1121" i="8" s="1"/>
  <c r="C603" i="8"/>
  <c r="D603" i="8" s="1"/>
  <c r="C385" i="8"/>
  <c r="C253" i="8"/>
  <c r="C105" i="8"/>
  <c r="D105" i="8" s="1"/>
  <c r="C282" i="8"/>
  <c r="D282" i="8" s="1"/>
  <c r="C1020" i="8"/>
  <c r="D1020" i="8" s="1"/>
  <c r="C1586" i="8"/>
  <c r="D1586" i="8" s="1"/>
  <c r="C982" i="8"/>
  <c r="D982" i="8" s="1"/>
  <c r="C632" i="8"/>
  <c r="D632" i="8" s="1"/>
  <c r="C123" i="8"/>
  <c r="D123" i="8" s="1"/>
  <c r="C22" i="8"/>
  <c r="D22" i="8" s="1"/>
  <c r="C162" i="8"/>
  <c r="C515" i="8"/>
  <c r="C1040" i="8"/>
  <c r="C1903" i="8"/>
  <c r="C878" i="8"/>
  <c r="D878" i="8" s="1"/>
  <c r="C430" i="8"/>
  <c r="D430" i="8" s="1"/>
  <c r="C193" i="8"/>
  <c r="D193" i="8" s="1"/>
  <c r="C175" i="8"/>
  <c r="D175" i="8" s="1"/>
  <c r="C92" i="8"/>
  <c r="D92" i="8" s="1"/>
  <c r="C462" i="8"/>
  <c r="D462" i="8" s="1"/>
  <c r="C1314" i="8"/>
  <c r="C1709" i="8"/>
  <c r="D1709" i="8" s="1"/>
  <c r="C757" i="8"/>
  <c r="D757" i="8" s="1"/>
  <c r="C608" i="8"/>
  <c r="D608" i="8" s="1"/>
  <c r="C149" i="8"/>
  <c r="D149" i="8" s="1"/>
  <c r="C49" i="8"/>
  <c r="D49" i="8" s="1"/>
  <c r="C161" i="8"/>
  <c r="D161" i="8" s="1"/>
  <c r="C799" i="8"/>
  <c r="D799" i="8" s="1"/>
  <c r="C1332" i="8"/>
  <c r="D1332" i="8" s="1"/>
  <c r="C1811" i="8"/>
  <c r="D1811" i="8" s="1"/>
  <c r="C1197" i="8"/>
  <c r="C1770" i="8"/>
  <c r="C1935" i="8"/>
  <c r="C1946" i="8"/>
  <c r="C1943" i="8"/>
  <c r="D1943" i="8" s="1"/>
  <c r="C1971" i="8"/>
  <c r="D1971" i="8" s="1"/>
  <c r="C2059" i="8"/>
  <c r="D2059" i="8" s="1"/>
  <c r="C2075" i="8"/>
  <c r="D2075" i="8" s="1"/>
  <c r="C1003" i="8"/>
  <c r="D1003" i="8" s="1"/>
  <c r="C400" i="8"/>
  <c r="D400" i="8" s="1"/>
  <c r="C171" i="8"/>
  <c r="C173" i="8"/>
  <c r="C601" i="8"/>
  <c r="D601" i="8" s="1"/>
  <c r="C938" i="8"/>
  <c r="D938" i="8" s="1"/>
  <c r="C1435" i="8"/>
  <c r="D1435" i="8" s="1"/>
  <c r="C1878" i="8"/>
  <c r="D1878" i="8" s="1"/>
  <c r="C417" i="8"/>
  <c r="D417" i="8" s="1"/>
  <c r="C176" i="8"/>
  <c r="D176" i="8" s="1"/>
  <c r="C46" i="8"/>
  <c r="D46" i="8" s="1"/>
  <c r="C117" i="8"/>
  <c r="D117" i="8" s="1"/>
  <c r="C1000" i="8"/>
  <c r="C1572" i="8"/>
  <c r="C1974" i="8"/>
  <c r="C2033" i="8"/>
  <c r="C841" i="8"/>
  <c r="D841" i="8" s="1"/>
  <c r="C232" i="8"/>
  <c r="D232" i="8" s="1"/>
  <c r="C30" i="8"/>
  <c r="D30" i="8" s="1"/>
  <c r="C21" i="8"/>
  <c r="D21" i="8" s="1"/>
  <c r="C261" i="8"/>
  <c r="D261" i="8" s="1"/>
  <c r="C736" i="8"/>
  <c r="D736" i="8" s="1"/>
  <c r="C1561" i="8"/>
  <c r="C1947" i="8"/>
  <c r="C318" i="8"/>
  <c r="C64" i="8"/>
  <c r="D64" i="8" s="1"/>
  <c r="C5" i="8"/>
  <c r="D5" i="8" s="1"/>
  <c r="C102" i="8"/>
  <c r="D102" i="8" s="1"/>
  <c r="C1025" i="8"/>
  <c r="D1025" i="8" s="1"/>
  <c r="C1689" i="8"/>
  <c r="D1689" i="8" s="1"/>
  <c r="C1801" i="8"/>
  <c r="D1801" i="8" s="1"/>
  <c r="C2061" i="8"/>
  <c r="D2061" i="8" s="1"/>
  <c r="C807" i="8"/>
  <c r="C320" i="8"/>
  <c r="C181" i="8"/>
  <c r="C306" i="8"/>
  <c r="C391" i="8"/>
  <c r="D391" i="8" s="1"/>
  <c r="C979" i="8"/>
  <c r="D979" i="8" s="1"/>
  <c r="C1584" i="8"/>
  <c r="D1584" i="8" s="1"/>
  <c r="C1862" i="8"/>
  <c r="D1862" i="8" s="1"/>
  <c r="C348" i="8"/>
  <c r="D348" i="8" s="1"/>
  <c r="C739" i="8"/>
  <c r="D739" i="8" s="1"/>
  <c r="C489" i="8"/>
  <c r="C209" i="8"/>
  <c r="D209" i="8" s="1"/>
  <c r="C600" i="8"/>
  <c r="D600" i="8" s="1"/>
  <c r="C977" i="8"/>
  <c r="D977" i="8" s="1"/>
  <c r="C1652" i="8"/>
  <c r="D1652" i="8" s="1"/>
  <c r="C1929" i="8"/>
  <c r="D1929" i="8" s="1"/>
  <c r="C625" i="8"/>
  <c r="D625" i="8" s="1"/>
  <c r="C856" i="8"/>
  <c r="D856" i="8" s="1"/>
  <c r="C649" i="8"/>
  <c r="D649" i="8" s="1"/>
  <c r="C264" i="8"/>
  <c r="D264" i="8" s="1"/>
  <c r="C142" i="8"/>
  <c r="C58" i="8"/>
  <c r="C720" i="8"/>
  <c r="C1170" i="8"/>
  <c r="C263" i="8"/>
  <c r="D263" i="8" s="1"/>
  <c r="C218" i="8"/>
  <c r="D218" i="8" s="1"/>
  <c r="C237" i="8"/>
  <c r="D237" i="8" s="1"/>
  <c r="C314" i="8"/>
  <c r="D314" i="8" s="1"/>
  <c r="C113" i="8"/>
  <c r="D113" i="8" s="1"/>
  <c r="C715" i="8"/>
  <c r="D715" i="8" s="1"/>
  <c r="C796" i="8"/>
  <c r="C1525" i="8"/>
  <c r="C985" i="8"/>
  <c r="C917" i="8"/>
  <c r="C862" i="8"/>
  <c r="D862" i="8" s="1"/>
  <c r="C639" i="8"/>
  <c r="D639" i="8" s="1"/>
  <c r="C168" i="8"/>
  <c r="C17" i="8"/>
  <c r="D17" i="8" s="1"/>
  <c r="C229" i="8"/>
  <c r="D229" i="8" s="1"/>
  <c r="C1955" i="8"/>
  <c r="D1955" i="8" s="1"/>
  <c r="C539" i="8"/>
  <c r="C1253" i="8"/>
  <c r="C1274" i="8"/>
  <c r="C811" i="8"/>
  <c r="C140" i="8"/>
  <c r="D140" i="8" s="1"/>
  <c r="C12" i="8"/>
  <c r="D12" i="8" s="1"/>
  <c r="C94" i="8"/>
  <c r="D94" i="8" s="1"/>
  <c r="C1814" i="8"/>
  <c r="D1814" i="8" s="1"/>
  <c r="C1107" i="8"/>
  <c r="D1107" i="8" s="1"/>
  <c r="C327" i="8"/>
  <c r="D327" i="8" s="1"/>
  <c r="C95" i="8"/>
  <c r="C35" i="8"/>
  <c r="D35" i="8" s="1"/>
  <c r="C383" i="8"/>
  <c r="D383" i="8" s="1"/>
  <c r="C1281" i="8"/>
  <c r="D1281" i="8" s="1"/>
  <c r="C1906" i="8"/>
  <c r="D1906" i="8" s="1"/>
  <c r="C2022" i="8"/>
  <c r="D2022" i="8" s="1"/>
  <c r="C835" i="8"/>
  <c r="D835" i="8" s="1"/>
  <c r="C519" i="8"/>
  <c r="D519" i="8" s="1"/>
  <c r="C197" i="8"/>
  <c r="D197" i="8" s="1"/>
  <c r="C26" i="8"/>
  <c r="D26" i="8" s="1"/>
  <c r="C74" i="8"/>
  <c r="C714" i="8"/>
  <c r="C1555" i="8"/>
  <c r="C2009" i="8"/>
  <c r="C806" i="8"/>
  <c r="D806" i="8" s="1"/>
  <c r="C558" i="8"/>
  <c r="D558" i="8" s="1"/>
  <c r="C267" i="8"/>
  <c r="D267" i="8" s="1"/>
  <c r="C57" i="8"/>
  <c r="D57" i="8" s="1"/>
  <c r="C208" i="8"/>
  <c r="D208" i="8" s="1"/>
  <c r="C876" i="8"/>
  <c r="D876" i="8" s="1"/>
  <c r="C1904" i="8"/>
  <c r="C1945" i="8"/>
  <c r="C723" i="8"/>
  <c r="D723" i="8" s="1"/>
  <c r="C206" i="8"/>
  <c r="D206" i="8" s="1"/>
  <c r="C120" i="8"/>
  <c r="D120" i="8" s="1"/>
  <c r="C33" i="8"/>
  <c r="D33" i="8" s="1"/>
  <c r="C355" i="8"/>
  <c r="D355" i="8" s="1"/>
  <c r="C1227" i="8"/>
  <c r="D1227" i="8" s="1"/>
  <c r="C1798" i="8"/>
  <c r="D1798" i="8" s="1"/>
  <c r="C1888" i="8"/>
  <c r="D1888" i="8" s="1"/>
  <c r="C670" i="8"/>
  <c r="C1075" i="8"/>
  <c r="C1631" i="8"/>
  <c r="C1637" i="8"/>
  <c r="C1781" i="8"/>
  <c r="D1781" i="8" s="1"/>
  <c r="C1865" i="8"/>
  <c r="D1865" i="8" s="1"/>
  <c r="C1962" i="8"/>
  <c r="D1962" i="8" s="1"/>
  <c r="C2100" i="8"/>
  <c r="D2100" i="8" s="1"/>
  <c r="C59" i="8"/>
  <c r="D59" i="8" s="1"/>
  <c r="C89" i="8"/>
  <c r="D89" i="8" s="1"/>
  <c r="C375" i="8"/>
  <c r="C1136" i="8"/>
  <c r="C1182" i="8"/>
  <c r="D1182" i="8" s="1"/>
  <c r="C1582" i="8"/>
  <c r="D1582" i="8" s="1"/>
  <c r="C1853" i="8"/>
  <c r="D1853" i="8" s="1"/>
  <c r="C2054" i="8"/>
  <c r="D2054" i="8" s="1"/>
  <c r="C350" i="8"/>
  <c r="D350" i="8" s="1"/>
  <c r="C354" i="8"/>
  <c r="D354" i="8" s="1"/>
  <c r="C84" i="8"/>
  <c r="D84" i="8" s="1"/>
  <c r="C11" i="8"/>
  <c r="D11" i="8" s="1"/>
  <c r="C219" i="8"/>
  <c r="C971" i="8"/>
  <c r="C1727" i="8"/>
  <c r="C2063" i="8"/>
  <c r="C493" i="8"/>
  <c r="D493" i="8" s="1"/>
  <c r="C222" i="8"/>
  <c r="D222" i="8" s="1"/>
  <c r="C18" i="8"/>
  <c r="D18" i="8" s="1"/>
  <c r="C116" i="8"/>
  <c r="D116" i="8" s="1"/>
  <c r="C664" i="8"/>
  <c r="D664" i="8" s="1"/>
  <c r="C1384" i="8"/>
  <c r="D1384" i="8" s="1"/>
  <c r="C1641" i="8"/>
  <c r="C2086" i="8"/>
  <c r="D2086" i="8" s="1"/>
  <c r="C785" i="8"/>
  <c r="D785" i="8" s="1"/>
  <c r="C343" i="8"/>
  <c r="D343" i="8" s="1"/>
  <c r="C29" i="8"/>
  <c r="D29" i="8" s="1"/>
  <c r="C43" i="8"/>
  <c r="D43" i="8" s="1"/>
  <c r="C450" i="8"/>
  <c r="D450" i="8" s="1"/>
  <c r="C965" i="8"/>
  <c r="D965" i="8" s="1"/>
  <c r="C1578" i="8"/>
  <c r="D1578" i="8" s="1"/>
  <c r="C1938" i="8"/>
  <c r="D1938" i="8" s="1"/>
  <c r="C416" i="8"/>
  <c r="C24" i="8"/>
  <c r="C42" i="8"/>
  <c r="C293" i="8"/>
  <c r="C818" i="8"/>
  <c r="D818" i="8" s="1"/>
  <c r="C1458" i="8"/>
  <c r="D1458" i="8" s="1"/>
  <c r="C1910" i="8"/>
  <c r="D1910" i="8" s="1"/>
  <c r="C1973" i="8"/>
  <c r="D1973" i="8" s="1"/>
  <c r="C472" i="8"/>
  <c r="D472" i="8" s="1"/>
  <c r="C146" i="8"/>
  <c r="D146" i="8" s="1"/>
  <c r="C4" i="8"/>
  <c r="C63" i="8"/>
  <c r="D63" i="8" s="1"/>
  <c r="C566" i="8"/>
  <c r="D566" i="8" s="1"/>
  <c r="C1535" i="8"/>
  <c r="D1535" i="8" s="1"/>
  <c r="C1855" i="8"/>
  <c r="D1855" i="8" s="1"/>
  <c r="C1936" i="8"/>
  <c r="D1936" i="8" s="1"/>
  <c r="C1680" i="8"/>
  <c r="D1680" i="8" s="1"/>
  <c r="C1911" i="8"/>
  <c r="D1911" i="8" s="1"/>
  <c r="C1699" i="8"/>
  <c r="D1699" i="8" s="1"/>
  <c r="C1860" i="8"/>
  <c r="D1860" i="8" s="1"/>
  <c r="C1773" i="8"/>
  <c r="C1799" i="8"/>
  <c r="C1898" i="8"/>
  <c r="C1956" i="8"/>
  <c r="C1513" i="8"/>
  <c r="D1513" i="8" s="1"/>
  <c r="C1537" i="8"/>
  <c r="D1537" i="8" s="1"/>
  <c r="C1546" i="8"/>
  <c r="D1546" i="8" s="1"/>
  <c r="C1633" i="8"/>
  <c r="D1633" i="8" s="1"/>
  <c r="C1643" i="8"/>
  <c r="D1643" i="8" s="1"/>
  <c r="C1756" i="8"/>
  <c r="D1756" i="8" s="1"/>
  <c r="C1893" i="8"/>
  <c r="C1851" i="8"/>
  <c r="D1851" i="8" s="1"/>
  <c r="C1686" i="8"/>
  <c r="D1686" i="8" s="1"/>
  <c r="C1663" i="8"/>
  <c r="D1663" i="8" s="1"/>
  <c r="C1693" i="8"/>
  <c r="D1693" i="8" s="1"/>
  <c r="C1655" i="8"/>
  <c r="D1655" i="8" s="1"/>
  <c r="C1804" i="8"/>
  <c r="D1804" i="8" s="1"/>
  <c r="C1817" i="8"/>
  <c r="D1817" i="8" s="1"/>
  <c r="C1887" i="8"/>
  <c r="D1887" i="8" s="1"/>
  <c r="C1753" i="8"/>
  <c r="D1753" i="8" s="1"/>
  <c r="C1647" i="8"/>
  <c r="C1262" i="8"/>
  <c r="C1736" i="8"/>
  <c r="C1624" i="8"/>
  <c r="C1635" i="8"/>
  <c r="D1635" i="8" s="1"/>
  <c r="C1597" i="8"/>
  <c r="D1597" i="8" s="1"/>
  <c r="C1733" i="8"/>
  <c r="D1733" i="8" s="1"/>
  <c r="C1805" i="8"/>
  <c r="D1805" i="8" s="1"/>
  <c r="C1613" i="8"/>
  <c r="D1613" i="8" s="1"/>
  <c r="C1353" i="8"/>
  <c r="D1353" i="8" s="1"/>
  <c r="C2045" i="8"/>
  <c r="C1831" i="8"/>
  <c r="C1785" i="8"/>
  <c r="D1785" i="8" s="1"/>
  <c r="C1696" i="8"/>
  <c r="D1696" i="8" s="1"/>
  <c r="C1522" i="8"/>
  <c r="D1522" i="8" s="1"/>
  <c r="C1178" i="8"/>
  <c r="D1178" i="8" s="1"/>
  <c r="C1422" i="8"/>
  <c r="D1422" i="8" s="1"/>
  <c r="C1516" i="8"/>
  <c r="D1516" i="8" s="1"/>
  <c r="C2046" i="8"/>
  <c r="D2046" i="8" s="1"/>
  <c r="C1627" i="8"/>
  <c r="D1627" i="8" s="1"/>
  <c r="C1552" i="8"/>
  <c r="C1632" i="8"/>
  <c r="C1564" i="8"/>
  <c r="C775" i="8"/>
  <c r="C1717" i="8"/>
  <c r="D1717" i="8" s="1"/>
  <c r="C1881" i="8"/>
  <c r="D1881" i="8" s="1"/>
  <c r="C1220" i="8"/>
  <c r="D1220" i="8" s="1"/>
  <c r="C1583" i="8"/>
  <c r="D1583" i="8" s="1"/>
  <c r="C1276" i="8"/>
  <c r="D1276" i="8" s="1"/>
  <c r="C1211" i="8"/>
  <c r="D1211" i="8" s="1"/>
  <c r="C1505" i="8"/>
  <c r="C1202" i="8"/>
  <c r="D1202" i="8" s="1"/>
  <c r="C1459" i="8"/>
  <c r="D1459" i="8" s="1"/>
  <c r="C1783" i="8"/>
  <c r="D1783" i="8" s="1"/>
  <c r="C2055" i="8"/>
  <c r="D2055" i="8" s="1"/>
  <c r="C1571" i="8"/>
  <c r="D1571" i="8" s="1"/>
  <c r="C692" i="8"/>
  <c r="D692" i="8" s="1"/>
  <c r="C1463" i="8"/>
  <c r="D1463" i="8" s="1"/>
  <c r="C1506" i="8"/>
  <c r="D1506" i="8" s="1"/>
  <c r="C1335" i="8"/>
  <c r="D1335" i="8" s="1"/>
  <c r="C1410" i="8"/>
  <c r="C1503" i="8"/>
  <c r="C1701" i="8"/>
  <c r="C1796" i="8"/>
  <c r="C1407" i="8"/>
  <c r="D1407" i="8" s="1"/>
  <c r="C1591" i="8"/>
  <c r="D1591" i="8" s="1"/>
  <c r="C1359" i="8"/>
  <c r="D1359" i="8" s="1"/>
  <c r="C1608" i="8"/>
  <c r="D1608" i="8" s="1"/>
  <c r="C1900" i="8"/>
  <c r="D1900" i="8" s="1"/>
  <c r="C1236" i="8"/>
  <c r="D1236" i="8" s="1"/>
  <c r="C1292" i="8"/>
  <c r="C1413" i="8"/>
  <c r="D1413" i="8" s="1"/>
  <c r="C1592" i="8"/>
  <c r="D1592" i="8" s="1"/>
  <c r="C1472" i="8"/>
  <c r="D1472" i="8" s="1"/>
  <c r="C1545" i="8"/>
  <c r="D1545" i="8" s="1"/>
  <c r="C1708" i="8"/>
  <c r="D1708" i="8" s="1"/>
  <c r="C742" i="8"/>
  <c r="D742" i="8" s="1"/>
  <c r="C1011" i="8"/>
  <c r="D1011" i="8" s="1"/>
  <c r="C1489" i="8"/>
  <c r="D1489" i="8" s="1"/>
  <c r="C1043" i="8"/>
  <c r="D1043" i="8" s="1"/>
  <c r="C1666" i="8"/>
  <c r="C1697" i="8"/>
  <c r="C2094" i="8"/>
  <c r="C2035" i="8"/>
  <c r="C1842" i="8"/>
  <c r="D1842" i="8" s="1"/>
  <c r="C2145" i="8"/>
  <c r="D2145" i="8" s="1"/>
  <c r="C2170" i="8"/>
  <c r="D2170" i="8" s="1"/>
  <c r="C2184" i="8"/>
  <c r="D2184" i="8" s="1"/>
  <c r="C2198" i="8"/>
  <c r="C2081" i="8"/>
  <c r="D2081" i="8" s="1"/>
  <c r="C2013" i="8"/>
  <c r="C1984" i="8"/>
  <c r="C2146" i="8"/>
  <c r="C2154" i="8"/>
  <c r="D2154" i="8" s="1"/>
  <c r="C2169" i="8"/>
  <c r="D2169" i="8" s="1"/>
  <c r="C2183" i="8"/>
  <c r="D2183" i="8" s="1"/>
  <c r="C1989" i="8"/>
  <c r="D1989" i="8" s="1"/>
  <c r="C2018" i="8"/>
  <c r="D2018" i="8" s="1"/>
  <c r="C2074" i="8"/>
  <c r="D2074" i="8" s="1"/>
  <c r="C2087" i="8"/>
  <c r="D2087" i="8" s="1"/>
  <c r="C1439" i="8"/>
  <c r="C1662" i="8"/>
  <c r="C2166" i="8"/>
  <c r="C2171" i="8"/>
  <c r="C2177" i="8"/>
  <c r="D2177" i="8" s="1"/>
  <c r="C2190" i="8"/>
  <c r="D2190" i="8" s="1"/>
  <c r="C2193" i="8"/>
  <c r="D2193" i="8" s="1"/>
  <c r="C2083" i="8"/>
  <c r="D2083" i="8" s="1"/>
  <c r="C1406" i="8"/>
  <c r="D1406" i="8" s="1"/>
  <c r="C1629" i="8"/>
  <c r="D1629" i="8" s="1"/>
  <c r="C2065" i="8"/>
  <c r="C2178" i="8"/>
  <c r="C2186" i="8"/>
  <c r="D2186" i="8" s="1"/>
  <c r="C2119" i="8"/>
  <c r="D2119" i="8" s="1"/>
  <c r="C2060" i="8"/>
  <c r="D2060" i="8" s="1"/>
  <c r="C2038" i="8"/>
  <c r="D2038" i="8" s="1"/>
  <c r="C1541" i="8"/>
  <c r="D1541" i="8" s="1"/>
  <c r="C1722" i="8"/>
  <c r="D1722" i="8" s="1"/>
  <c r="C1848" i="8"/>
  <c r="D1848" i="8" s="1"/>
  <c r="C1925" i="8"/>
  <c r="D1925" i="8" s="1"/>
  <c r="C1985" i="8"/>
  <c r="C2012" i="8"/>
  <c r="C1981" i="8"/>
  <c r="C2039" i="8"/>
  <c r="C554" i="8"/>
  <c r="D554" i="8" s="1"/>
  <c r="C725" i="8"/>
  <c r="D725" i="8" s="1"/>
  <c r="C1462" i="8"/>
  <c r="D1462" i="8" s="1"/>
  <c r="C1715" i="8"/>
  <c r="D1715" i="8" s="1"/>
  <c r="C1841" i="8"/>
  <c r="D1841" i="8" s="1"/>
  <c r="C1821" i="8"/>
  <c r="D1821" i="8" s="1"/>
  <c r="C1919" i="8"/>
  <c r="C2031" i="8"/>
  <c r="C390" i="8"/>
  <c r="D390" i="8" s="1"/>
  <c r="C562" i="8"/>
  <c r="D562" i="8" s="1"/>
  <c r="C1614" i="8"/>
  <c r="D1614" i="8" s="1"/>
  <c r="C1760" i="8"/>
  <c r="D1760" i="8" s="1"/>
  <c r="C1795" i="8"/>
  <c r="D1795" i="8" s="1"/>
  <c r="C1857" i="8"/>
  <c r="D1857" i="8" s="1"/>
  <c r="C1952" i="8"/>
  <c r="D1952" i="8" s="1"/>
  <c r="C2047" i="8"/>
  <c r="D2047" i="8" s="1"/>
  <c r="C627" i="8"/>
  <c r="C1667" i="8"/>
  <c r="C1606" i="8"/>
  <c r="C1657" i="8"/>
  <c r="C1787" i="8"/>
  <c r="D1787" i="8" s="1"/>
  <c r="C1908" i="8"/>
  <c r="D1908" i="8" s="1"/>
  <c r="C1951" i="8"/>
  <c r="D1951" i="8" s="1"/>
  <c r="C1987" i="8"/>
  <c r="D1987" i="8" s="1"/>
  <c r="C1690" i="8"/>
  <c r="D1690" i="8" s="1"/>
  <c r="C1628" i="8"/>
  <c r="D1628" i="8" s="1"/>
  <c r="C1676" i="8"/>
  <c r="C1700" i="8"/>
  <c r="D1700" i="8" s="1"/>
  <c r="C1744" i="8"/>
  <c r="D1744" i="8" s="1"/>
  <c r="C1784" i="8"/>
  <c r="D1784" i="8" s="1"/>
  <c r="C1856" i="8"/>
  <c r="D1856" i="8" s="1"/>
  <c r="C1254" i="8"/>
  <c r="D1254" i="8" s="1"/>
  <c r="C1482" i="8"/>
  <c r="D1482" i="8" s="1"/>
  <c r="C1208" i="8"/>
  <c r="D1208" i="8" s="1"/>
  <c r="C1344" i="8"/>
  <c r="D1344" i="8" s="1"/>
  <c r="C1308" i="8"/>
  <c r="D1308" i="8" s="1"/>
  <c r="C1320" i="8"/>
  <c r="D1320" i="8" s="1"/>
  <c r="C758" i="8"/>
  <c r="D758" i="8" s="1"/>
  <c r="C1551" i="8"/>
  <c r="D1551" i="8" s="1"/>
  <c r="C1543" i="8"/>
  <c r="D1543" i="8" s="1"/>
  <c r="C1490" i="8"/>
  <c r="D1490" i="8" s="1"/>
  <c r="C1355" i="8"/>
  <c r="D1355" i="8" s="1"/>
  <c r="C1394" i="8"/>
  <c r="D1394" i="8" s="1"/>
  <c r="C1273" i="8"/>
  <c r="D1273" i="8" s="1"/>
  <c r="C1138" i="8"/>
  <c r="D1138" i="8" s="1"/>
  <c r="C1147" i="8"/>
  <c r="D1147" i="8" s="1"/>
  <c r="C1310" i="8"/>
  <c r="D1310" i="8" s="1"/>
  <c r="C1338" i="8"/>
  <c r="D1338" i="8" s="1"/>
  <c r="C1414" i="8"/>
  <c r="D1414" i="8" s="1"/>
  <c r="C1481" i="8"/>
  <c r="D1481" i="8" s="1"/>
  <c r="C1457" i="8"/>
  <c r="D1457" i="8" s="1"/>
  <c r="C1423" i="8"/>
  <c r="D1423" i="8" s="1"/>
  <c r="C940" i="8"/>
  <c r="D940" i="8" s="1"/>
  <c r="C823" i="8"/>
  <c r="D823" i="8" s="1"/>
  <c r="C1241" i="8"/>
  <c r="D1241" i="8" s="1"/>
  <c r="C1547" i="8"/>
  <c r="D1547" i="8" s="1"/>
  <c r="C1363" i="8"/>
  <c r="D1363" i="8" s="1"/>
  <c r="C1266" i="8"/>
  <c r="D1266" i="8" s="1"/>
  <c r="C1282" i="8"/>
  <c r="D1282" i="8" s="1"/>
  <c r="C1106" i="8"/>
  <c r="D1106" i="8" s="1"/>
  <c r="C1252" i="8"/>
  <c r="D1252" i="8" s="1"/>
  <c r="C1035" i="8"/>
  <c r="D1035" i="8" s="1"/>
  <c r="C1326" i="8"/>
  <c r="D1326" i="8" s="1"/>
  <c r="C1453" i="8"/>
  <c r="D1453" i="8" s="1"/>
  <c r="C1067" i="8"/>
  <c r="D1067" i="8" s="1"/>
  <c r="C1368" i="8"/>
  <c r="D1368" i="8" s="1"/>
  <c r="C1409" i="8"/>
  <c r="D1409" i="8" s="1"/>
  <c r="C1102" i="8"/>
  <c r="D1102" i="8" s="1"/>
  <c r="C962" i="8"/>
  <c r="D962" i="8" s="1"/>
  <c r="C894" i="8"/>
  <c r="D894" i="8" s="1"/>
  <c r="C1445" i="8"/>
  <c r="D1445" i="8" s="1"/>
  <c r="C1325" i="8"/>
  <c r="D1325" i="8" s="1"/>
  <c r="C918" i="8"/>
  <c r="D918" i="8" s="1"/>
  <c r="C767" i="8"/>
  <c r="D767" i="8" s="1"/>
  <c r="C653" i="8"/>
  <c r="D653" i="8" s="1"/>
  <c r="C490" i="8"/>
  <c r="D490" i="8" s="1"/>
  <c r="C525" i="8"/>
  <c r="D525" i="8" s="1"/>
  <c r="C528" i="8"/>
  <c r="D528" i="8" s="1"/>
  <c r="C1514" i="8"/>
  <c r="D1514" i="8" s="1"/>
  <c r="C1448" i="8"/>
  <c r="D1448" i="8" s="1"/>
  <c r="C1300" i="8"/>
  <c r="D1300" i="8" s="1"/>
  <c r="C1372" i="8"/>
  <c r="D1372" i="8" s="1"/>
  <c r="C902" i="8"/>
  <c r="D902" i="8" s="1"/>
  <c r="C959" i="8"/>
  <c r="D959" i="8" s="1"/>
  <c r="C810" i="8"/>
  <c r="D810" i="8" s="1"/>
  <c r="C727" i="8"/>
  <c r="D727" i="8" s="1"/>
  <c r="C1507" i="8"/>
  <c r="D1507" i="8" s="1"/>
  <c r="C1493" i="8"/>
  <c r="D1493" i="8" s="1"/>
  <c r="C1487" i="8"/>
  <c r="D1487" i="8" s="1"/>
  <c r="C1441" i="8"/>
  <c r="D1441" i="8" s="1"/>
  <c r="C1089" i="8"/>
  <c r="D1089" i="8" s="1"/>
  <c r="C1127" i="8"/>
  <c r="D1127" i="8" s="1"/>
  <c r="C1191" i="8"/>
  <c r="D1191" i="8" s="1"/>
  <c r="C873" i="8"/>
  <c r="D873" i="8" s="1"/>
  <c r="C1566" i="8"/>
  <c r="D1566" i="8" s="1"/>
  <c r="C1426" i="8"/>
  <c r="D1426" i="8" s="1"/>
  <c r="C1351" i="8"/>
  <c r="D1351" i="8" s="1"/>
  <c r="C1374" i="8"/>
  <c r="D1374" i="8" s="1"/>
  <c r="C1173" i="8"/>
  <c r="D1173" i="8" s="1"/>
  <c r="C1239" i="8"/>
  <c r="D1239" i="8" s="1"/>
  <c r="C1177" i="8"/>
  <c r="D1177" i="8" s="1"/>
  <c r="C1196" i="8"/>
  <c r="D1196" i="8" s="1"/>
  <c r="C1540" i="8"/>
  <c r="D1540" i="8" s="1"/>
  <c r="C1316" i="8"/>
  <c r="D1316" i="8" s="1"/>
  <c r="C1404" i="8"/>
  <c r="D1404" i="8" s="1"/>
  <c r="C1405" i="8"/>
  <c r="D1405" i="8" s="1"/>
  <c r="C1401" i="8"/>
  <c r="D1401" i="8" s="1"/>
  <c r="C1242" i="8"/>
  <c r="D1242" i="8" s="1"/>
  <c r="C1051" i="8"/>
  <c r="D1051" i="8" s="1"/>
  <c r="C636" i="8"/>
  <c r="D636" i="8" s="1"/>
  <c r="C1451" i="8"/>
  <c r="D1451" i="8" s="1"/>
  <c r="C1402" i="8"/>
  <c r="D1402" i="8" s="1"/>
  <c r="C1454" i="8"/>
  <c r="D1454" i="8" s="1"/>
  <c r="C1468" i="8"/>
  <c r="D1468" i="8" s="1"/>
  <c r="C1261" i="8"/>
  <c r="D1261" i="8" s="1"/>
  <c r="C1222" i="8"/>
  <c r="D1222" i="8" s="1"/>
  <c r="C1058" i="8"/>
  <c r="D1058" i="8" s="1"/>
  <c r="C900" i="8"/>
  <c r="D900" i="8" s="1"/>
  <c r="C1511" i="8"/>
  <c r="D1511" i="8" s="1"/>
  <c r="C1437" i="8"/>
  <c r="D1437" i="8" s="1"/>
  <c r="C1534" i="8"/>
  <c r="D1534" i="8" s="1"/>
  <c r="C1299" i="8"/>
  <c r="D1299" i="8" s="1"/>
  <c r="C1455" i="8"/>
  <c r="C1444" i="8"/>
  <c r="D1444" i="8" s="1"/>
  <c r="C1199" i="8"/>
  <c r="D1199" i="8" s="1"/>
  <c r="C948" i="8"/>
  <c r="D948" i="8" s="1"/>
  <c r="C1581" i="8"/>
  <c r="D1581" i="8" s="1"/>
  <c r="C1549" i="8"/>
  <c r="D1549" i="8" s="1"/>
  <c r="C1400" i="8"/>
  <c r="D1400" i="8" s="1"/>
  <c r="C1324" i="8"/>
  <c r="D1324" i="8" s="1"/>
  <c r="C1275" i="8"/>
  <c r="D1275" i="8" s="1"/>
  <c r="C1086" i="8"/>
  <c r="D1086" i="8" s="1"/>
  <c r="C1069" i="8"/>
  <c r="D1069" i="8" s="1"/>
  <c r="C879" i="8"/>
  <c r="D879" i="8" s="1"/>
  <c r="C1573" i="8"/>
  <c r="D1573" i="8" s="1"/>
  <c r="C1373" i="8"/>
  <c r="D1373" i="8" s="1"/>
  <c r="C1329" i="8"/>
  <c r="D1329" i="8" s="1"/>
  <c r="C1486" i="8"/>
  <c r="D1486" i="8" s="1"/>
  <c r="C1356" i="8"/>
  <c r="D1356" i="8" s="1"/>
  <c r="C1223" i="8"/>
  <c r="D1223" i="8" s="1"/>
  <c r="C1039" i="8"/>
  <c r="D1039" i="8" s="1"/>
  <c r="C637" i="8"/>
  <c r="D637" i="8" s="1"/>
  <c r="C1594" i="8"/>
  <c r="D1594" i="8" s="1"/>
  <c r="C1440" i="8"/>
  <c r="D1440" i="8" s="1"/>
  <c r="C1395" i="8"/>
  <c r="D1395" i="8" s="1"/>
  <c r="C1256" i="8"/>
  <c r="D1256" i="8" s="1"/>
  <c r="C1185" i="8"/>
  <c r="D1185" i="8" s="1"/>
  <c r="C1164" i="8"/>
  <c r="D1164" i="8" s="1"/>
  <c r="C956" i="8"/>
  <c r="D956" i="8" s="1"/>
  <c r="C754" i="8"/>
  <c r="D754" i="8" s="1"/>
  <c r="C1447" i="8"/>
  <c r="D1447" i="8" s="1"/>
  <c r="C1362" i="8"/>
  <c r="D1362" i="8" s="1"/>
  <c r="C1412" i="8"/>
  <c r="D1412" i="8" s="1"/>
  <c r="C1349" i="8"/>
  <c r="D1349" i="8" s="1"/>
  <c r="C1360" i="8"/>
  <c r="D1360" i="8" s="1"/>
  <c r="C1238" i="8"/>
  <c r="D1238" i="8" s="1"/>
  <c r="C1225" i="8"/>
  <c r="D1225" i="8" s="1"/>
  <c r="C1166" i="8"/>
  <c r="D1166" i="8" s="1"/>
  <c r="C1519" i="8"/>
  <c r="D1519" i="8" s="1"/>
  <c r="C1380" i="8"/>
  <c r="D1380" i="8" s="1"/>
  <c r="C1485" i="8"/>
  <c r="D1485" i="8" s="1"/>
  <c r="C1347" i="8"/>
  <c r="D1347" i="8" s="1"/>
  <c r="C1354" i="8"/>
  <c r="D1354" i="8" s="1"/>
  <c r="C1071" i="8"/>
  <c r="D1071" i="8" s="1"/>
  <c r="C1321" i="8"/>
  <c r="D1321" i="8" s="1"/>
  <c r="C1142" i="8"/>
  <c r="D1142" i="8" s="1"/>
  <c r="C1531" i="8"/>
  <c r="D1531" i="8" s="1"/>
  <c r="C1399" i="8"/>
  <c r="D1399" i="8" s="1"/>
  <c r="C1383" i="8"/>
  <c r="D1383" i="8" s="1"/>
  <c r="C1398" i="8"/>
  <c r="D1398" i="8" s="1"/>
  <c r="C1343" i="8"/>
  <c r="D1343" i="8" s="1"/>
  <c r="C1140" i="8"/>
  <c r="D1140" i="8" s="1"/>
  <c r="C748" i="8"/>
  <c r="D748" i="8" s="1"/>
  <c r="C803" i="8"/>
  <c r="D803" i="8" s="1"/>
  <c r="C1499" i="8"/>
  <c r="D1499" i="8" s="1"/>
  <c r="C1250" i="8"/>
  <c r="D1250" i="8" s="1"/>
  <c r="C1381" i="8"/>
  <c r="D1381" i="8" s="1"/>
  <c r="C1334" i="8"/>
  <c r="D1334" i="8" s="1"/>
  <c r="C1370" i="8"/>
  <c r="D1370" i="8" s="1"/>
  <c r="C1219" i="8"/>
  <c r="D1219" i="8" s="1"/>
  <c r="C1180" i="8"/>
  <c r="D1180" i="8" s="1"/>
  <c r="C927" i="8"/>
  <c r="D927" i="8" s="1"/>
  <c r="C973" i="8"/>
  <c r="D973" i="8" s="1"/>
  <c r="C1123" i="8"/>
  <c r="D1123" i="8" s="1"/>
  <c r="C1203" i="8"/>
  <c r="D1203" i="8" s="1"/>
  <c r="C1294" i="8"/>
  <c r="D1294" i="8" s="1"/>
  <c r="C1267" i="8"/>
  <c r="D1267" i="8" s="1"/>
  <c r="C1240" i="8"/>
  <c r="D1240" i="8" s="1"/>
  <c r="C1156" i="8"/>
  <c r="D1156" i="8" s="1"/>
  <c r="C1096" i="8"/>
  <c r="D1096" i="8" s="1"/>
  <c r="C1428" i="8"/>
  <c r="D1428" i="8" s="1"/>
  <c r="C1103" i="8"/>
  <c r="D1103" i="8" s="1"/>
  <c r="C1153" i="8"/>
  <c r="D1153" i="8" s="1"/>
  <c r="C1313" i="8"/>
  <c r="D1313" i="8" s="1"/>
  <c r="C1331" i="8"/>
  <c r="D1331" i="8" s="1"/>
  <c r="C1231" i="8"/>
  <c r="D1231" i="8" s="1"/>
  <c r="C1115" i="8"/>
  <c r="D1115" i="8" s="1"/>
  <c r="C761" i="8"/>
  <c r="D761" i="8" s="1"/>
  <c r="C1452" i="8"/>
  <c r="D1452" i="8" s="1"/>
  <c r="C1248" i="8"/>
  <c r="D1248" i="8" s="1"/>
  <c r="C1151" i="8"/>
  <c r="D1151" i="8" s="1"/>
  <c r="C1279" i="8"/>
  <c r="D1279" i="8" s="1"/>
  <c r="C1078" i="8"/>
  <c r="D1078" i="8" s="1"/>
  <c r="C1284" i="8"/>
  <c r="D1284" i="8" s="1"/>
  <c r="C1317" i="8"/>
  <c r="D1317" i="8" s="1"/>
  <c r="C1091" i="8"/>
  <c r="D1091" i="8" s="1"/>
  <c r="C1209" i="8"/>
  <c r="D1209" i="8" s="1"/>
  <c r="C1205" i="8"/>
  <c r="D1205" i="8" s="1"/>
  <c r="C1195" i="8"/>
  <c r="D1195" i="8" s="1"/>
  <c r="C1111" i="8"/>
  <c r="D1111" i="8" s="1"/>
  <c r="C1131" i="8"/>
  <c r="D1131" i="8" s="1"/>
  <c r="C983" i="8"/>
  <c r="D983" i="8" s="1"/>
  <c r="C1042" i="8"/>
  <c r="D1042" i="8" s="1"/>
  <c r="C1072" i="8"/>
  <c r="D1072" i="8" s="1"/>
  <c r="C1139" i="8"/>
  <c r="D1139" i="8" s="1"/>
  <c r="C1416" i="8"/>
  <c r="D1416" i="8" s="1"/>
  <c r="C1296" i="8"/>
  <c r="D1296" i="8" s="1"/>
  <c r="C1337" i="8"/>
  <c r="D1337" i="8" s="1"/>
  <c r="C1265" i="8"/>
  <c r="D1265" i="8" s="1"/>
  <c r="C1200" i="8"/>
  <c r="D1200" i="8" s="1"/>
  <c r="C1287" i="8"/>
  <c r="D1287" i="8" s="1"/>
  <c r="C1079" i="8"/>
  <c r="D1079" i="8" s="1"/>
  <c r="C1415" i="8"/>
  <c r="D1415" i="8" s="1"/>
  <c r="C1161" i="8"/>
  <c r="D1161" i="8" s="1"/>
  <c r="C1460" i="8"/>
  <c r="D1460" i="8" s="1"/>
  <c r="C1016" i="8"/>
  <c r="D1016" i="8" s="1"/>
  <c r="C1348" i="8"/>
  <c r="D1348" i="8" s="1"/>
  <c r="C1425" i="8"/>
  <c r="D1425" i="8" s="1"/>
  <c r="C1228" i="8"/>
  <c r="D1228" i="8" s="1"/>
  <c r="C1212" i="8"/>
  <c r="D1212" i="8" s="1"/>
  <c r="C851" i="8"/>
  <c r="D851" i="8" s="1"/>
  <c r="C770" i="8"/>
  <c r="D770" i="8" s="1"/>
  <c r="C502" i="8"/>
  <c r="D502" i="8" s="1"/>
  <c r="C419" i="8"/>
  <c r="C313" i="8"/>
  <c r="D313" i="8" s="1"/>
  <c r="C434" i="8"/>
  <c r="D434" i="8" s="1"/>
  <c r="C1024" i="8"/>
  <c r="D1024" i="8" s="1"/>
  <c r="C1894" i="8"/>
  <c r="D1894" i="8" s="1"/>
  <c r="C1512" i="8"/>
  <c r="D1512" i="8" s="1"/>
  <c r="C1386" i="8"/>
  <c r="D1386" i="8" s="1"/>
  <c r="C1085" i="8"/>
  <c r="D1085" i="8" s="1"/>
  <c r="C410" i="8"/>
  <c r="D410" i="8" s="1"/>
  <c r="C328" i="8"/>
  <c r="D328" i="8" s="1"/>
  <c r="C439" i="8"/>
  <c r="D439" i="8" s="1"/>
  <c r="C1712" i="8"/>
  <c r="D1712" i="8" s="1"/>
  <c r="C1939" i="8"/>
  <c r="D1939" i="8" s="1"/>
  <c r="C336" i="8"/>
  <c r="D336" i="8" s="1"/>
  <c r="C331" i="8"/>
  <c r="D331" i="8" s="1"/>
  <c r="C394" i="8"/>
  <c r="D394" i="8" s="1"/>
  <c r="C640" i="8"/>
  <c r="D640" i="8" s="1"/>
  <c r="C1009" i="8"/>
  <c r="D1009" i="8" s="1"/>
  <c r="C1656" i="8"/>
  <c r="D1656" i="8" s="1"/>
  <c r="C1828" i="8"/>
  <c r="C1916" i="8"/>
  <c r="D1916" i="8" s="1"/>
  <c r="C280" i="8"/>
  <c r="D280" i="8" s="1"/>
  <c r="C287" i="8"/>
  <c r="D287" i="8" s="1"/>
  <c r="C444" i="8"/>
  <c r="D444" i="8" s="1"/>
  <c r="C597" i="8"/>
  <c r="D597" i="8" s="1"/>
  <c r="C1109" i="8"/>
  <c r="D1109" i="8" s="1"/>
  <c r="C1298" i="8"/>
  <c r="D1298" i="8" s="1"/>
  <c r="C1775" i="8"/>
  <c r="D1775" i="8" s="1"/>
  <c r="C1969" i="8"/>
  <c r="D1969" i="8" s="1"/>
  <c r="C974" i="8"/>
  <c r="D974" i="8" s="1"/>
  <c r="C745" i="8"/>
  <c r="D745" i="8" s="1"/>
  <c r="C317" i="8"/>
  <c r="D317" i="8" s="1"/>
  <c r="C341" i="8"/>
  <c r="D341" i="8" s="1"/>
  <c r="C273" i="8"/>
  <c r="D273" i="8" s="1"/>
  <c r="C422" i="8"/>
  <c r="D422" i="8" s="1"/>
  <c r="C1280" i="8"/>
  <c r="D1280" i="8" s="1"/>
  <c r="C1820" i="8"/>
  <c r="D1820" i="8" s="1"/>
  <c r="C513" i="8"/>
  <c r="D513" i="8" s="1"/>
  <c r="C246" i="8"/>
  <c r="D246" i="8" s="1"/>
  <c r="C371" i="8"/>
  <c r="D371" i="8" s="1"/>
  <c r="C565" i="8"/>
  <c r="D565" i="8" s="1"/>
  <c r="C1421" i="8"/>
  <c r="D1421" i="8" s="1"/>
  <c r="C1953" i="8"/>
  <c r="D1953" i="8" s="1"/>
  <c r="C1917" i="8"/>
  <c r="D1917" i="8" s="1"/>
  <c r="C2072" i="8"/>
  <c r="D2072" i="8" s="1"/>
  <c r="C838" i="8"/>
  <c r="D838" i="8" s="1"/>
  <c r="C673" i="8"/>
  <c r="D673" i="8" s="1"/>
  <c r="C233" i="8"/>
  <c r="D233" i="8" s="1"/>
  <c r="C503" i="8"/>
  <c r="D503" i="8" s="1"/>
  <c r="C1508" i="8"/>
  <c r="D1508" i="8" s="1"/>
  <c r="C1604" i="8"/>
  <c r="D1604" i="8" s="1"/>
  <c r="C1669" i="8"/>
  <c r="D1669" i="8" s="1"/>
  <c r="C1754" i="8"/>
  <c r="D1754" i="8" s="1"/>
  <c r="C360" i="8"/>
  <c r="D360" i="8" s="1"/>
  <c r="C435" i="8"/>
  <c r="D435" i="8" s="1"/>
  <c r="C1500" i="8"/>
  <c r="D1500" i="8" s="1"/>
  <c r="C1619" i="8"/>
  <c r="D1619" i="8" s="1"/>
  <c r="C1812" i="8"/>
  <c r="D1812" i="8" s="1"/>
  <c r="C1954" i="8"/>
  <c r="D1954" i="8" s="1"/>
  <c r="C1968" i="8"/>
  <c r="D1968" i="8" s="1"/>
  <c r="C2062" i="8"/>
  <c r="D2062" i="8" s="1"/>
  <c r="C855" i="8"/>
  <c r="D855" i="8" s="1"/>
  <c r="C452" i="8"/>
  <c r="D452" i="8" s="1"/>
  <c r="C241" i="8"/>
  <c r="D241" i="8" s="1"/>
  <c r="C154" i="8"/>
  <c r="D154" i="8" s="1"/>
  <c r="C1342" i="8"/>
  <c r="D1342" i="8" s="1"/>
  <c r="C658" i="8"/>
  <c r="D658" i="8" s="1"/>
  <c r="C1327" i="8"/>
  <c r="D1327" i="8" s="1"/>
  <c r="C1977" i="8"/>
  <c r="D1977" i="8" s="1"/>
  <c r="C961" i="8"/>
  <c r="D961" i="8" s="1"/>
  <c r="C557" i="8"/>
  <c r="D557" i="8" s="1"/>
  <c r="C301" i="8"/>
  <c r="D301" i="8" s="1"/>
  <c r="C305" i="8"/>
  <c r="D305" i="8" s="1"/>
  <c r="C447" i="8"/>
  <c r="D447" i="8" s="1"/>
  <c r="C731" i="8"/>
  <c r="D731" i="8" s="1"/>
  <c r="C1872" i="8"/>
  <c r="D1872" i="8" s="1"/>
  <c r="C2023" i="8"/>
  <c r="D2023" i="8" s="1"/>
  <c r="C814" i="8"/>
  <c r="D814" i="8" s="1"/>
  <c r="C1093" i="8"/>
  <c r="D1093" i="8" s="1"/>
  <c r="C886" i="8"/>
  <c r="D886" i="8" s="1"/>
  <c r="C638" i="8"/>
  <c r="D638" i="8" s="1"/>
  <c r="C418" i="8"/>
  <c r="D418" i="8" s="1"/>
  <c r="C421" i="8"/>
  <c r="D421" i="8" s="1"/>
  <c r="C911" i="8"/>
  <c r="D911" i="8" s="1"/>
  <c r="C1839" i="8"/>
  <c r="D1839" i="8" s="1"/>
  <c r="C809" i="8"/>
  <c r="D809" i="8" s="1"/>
  <c r="C524" i="8"/>
  <c r="D524" i="8" s="1"/>
  <c r="C595" i="8"/>
  <c r="D595" i="8" s="1"/>
  <c r="C310" i="8"/>
  <c r="D310" i="8" s="1"/>
  <c r="C349" i="8"/>
  <c r="C414" i="8"/>
  <c r="D414" i="8" s="1"/>
  <c r="C942" i="8"/>
  <c r="D942" i="8" s="1"/>
  <c r="C1948" i="8"/>
  <c r="D1948" i="8" s="1"/>
  <c r="C755" i="8"/>
  <c r="D755" i="8" s="1"/>
  <c r="C471" i="8"/>
  <c r="D471" i="8" s="1"/>
  <c r="C203" i="8"/>
  <c r="D203" i="8" s="1"/>
  <c r="C151" i="8"/>
  <c r="D151" i="8" s="1"/>
  <c r="C496" i="8"/>
  <c r="D496" i="8" s="1"/>
  <c r="C1501" i="8"/>
  <c r="D1501" i="8" s="1"/>
  <c r="C2025" i="8"/>
  <c r="D2025" i="8" s="1"/>
  <c r="C2110" i="8"/>
  <c r="C975" i="8"/>
  <c r="D975" i="8" s="1"/>
  <c r="C646" i="8"/>
  <c r="D646" i="8" s="1"/>
  <c r="C285" i="8"/>
  <c r="D285" i="8" s="1"/>
  <c r="C221" i="8"/>
  <c r="D221" i="8" s="1"/>
  <c r="C311" i="8"/>
  <c r="D311" i="8" s="1"/>
  <c r="C925" i="8"/>
  <c r="D925" i="8" s="1"/>
  <c r="C1479" i="8"/>
  <c r="D1479" i="8" s="1"/>
  <c r="C2010" i="8"/>
  <c r="D2010" i="8" s="1"/>
  <c r="C1090" i="8"/>
  <c r="D1090" i="8" s="1"/>
  <c r="C854" i="8"/>
  <c r="D854" i="8" s="1"/>
  <c r="C613" i="8"/>
  <c r="D613" i="8" s="1"/>
  <c r="C369" i="8"/>
  <c r="D369" i="8" s="1"/>
  <c r="C467" i="8"/>
  <c r="D467" i="8" s="1"/>
  <c r="C773" i="8"/>
  <c r="D773" i="8" s="1"/>
  <c r="C1132" i="8"/>
  <c r="D1132" i="8" s="1"/>
  <c r="C1926" i="8"/>
  <c r="D1926" i="8" s="1"/>
  <c r="C1210" i="8"/>
  <c r="D1210" i="8" s="1"/>
  <c r="C1052" i="8"/>
  <c r="D1052" i="8" s="1"/>
  <c r="C815" i="8"/>
  <c r="C676" i="8"/>
  <c r="D676" i="8" s="1"/>
  <c r="C543" i="8"/>
  <c r="D543" i="8" s="1"/>
  <c r="C684" i="8"/>
  <c r="D684" i="8" s="1"/>
  <c r="C1397" i="8"/>
  <c r="D1397" i="8" s="1"/>
  <c r="C1849" i="8"/>
  <c r="D1849" i="8" s="1"/>
  <c r="C1214" i="8"/>
  <c r="D1214" i="8" s="1"/>
  <c r="C850" i="8"/>
  <c r="D850" i="8" s="1"/>
  <c r="C865" i="8"/>
  <c r="D865" i="8" s="1"/>
  <c r="C698" i="8"/>
  <c r="D698" i="8" s="1"/>
  <c r="C582" i="8"/>
  <c r="D582" i="8" s="1"/>
  <c r="C832" i="8"/>
  <c r="D832" i="8" s="1"/>
  <c r="C1322" i="8"/>
  <c r="D1322" i="8" s="1"/>
  <c r="C1623" i="8"/>
  <c r="D1623" i="8" s="1"/>
  <c r="C784" i="8"/>
  <c r="D784" i="8" s="1"/>
  <c r="C433" i="8"/>
  <c r="D433" i="8" s="1"/>
  <c r="C309" i="8"/>
  <c r="D309" i="8" s="1"/>
  <c r="C537" i="8"/>
  <c r="D537" i="8" s="1"/>
  <c r="C997" i="8"/>
  <c r="D997" i="8" s="1"/>
  <c r="C1456" i="8"/>
  <c r="D1456" i="8" s="1"/>
  <c r="C1763" i="8"/>
  <c r="D1763" i="8" s="1"/>
  <c r="C2014" i="8"/>
  <c r="D2014" i="8" s="1"/>
  <c r="C837" i="8"/>
  <c r="D837" i="8" s="1"/>
  <c r="C449" i="8"/>
  <c r="D449" i="8" s="1"/>
  <c r="C284" i="8"/>
  <c r="D284" i="8" s="1"/>
  <c r="C250" i="8"/>
  <c r="D250" i="8" s="1"/>
  <c r="C674" i="8"/>
  <c r="D674" i="8" s="1"/>
  <c r="C1615" i="8"/>
  <c r="D1615" i="8" s="1"/>
  <c r="C2127" i="8"/>
  <c r="D2127" i="8" s="1"/>
  <c r="C2070" i="8"/>
  <c r="D2070" i="8" s="1"/>
  <c r="C1579" i="8"/>
  <c r="D1579" i="8" s="1"/>
  <c r="C1550" i="8"/>
  <c r="D1550" i="8" s="1"/>
  <c r="C1677" i="8"/>
  <c r="D1677" i="8" s="1"/>
  <c r="C1818" i="8"/>
  <c r="D1818" i="8" s="1"/>
  <c r="C1993" i="8"/>
  <c r="D1993" i="8" s="1"/>
  <c r="C2040" i="8"/>
  <c r="D2040" i="8" s="1"/>
  <c r="C2004" i="8"/>
  <c r="D2004" i="8" s="1"/>
  <c r="C2126" i="8"/>
  <c r="D2126" i="8" s="1"/>
  <c r="C1366" i="8"/>
  <c r="D1366" i="8" s="1"/>
  <c r="C1098" i="8"/>
  <c r="D1098" i="8" s="1"/>
  <c r="C931" i="8"/>
  <c r="D931" i="8" s="1"/>
  <c r="C780" i="8"/>
  <c r="D780" i="8" s="1"/>
  <c r="C724" i="8"/>
  <c r="D724" i="8" s="1"/>
  <c r="C1097" i="8"/>
  <c r="D1097" i="8" s="1"/>
  <c r="C1672" i="8"/>
  <c r="D1672" i="8" s="1"/>
  <c r="C2044" i="8"/>
  <c r="D2044" i="8" s="1"/>
  <c r="C830" i="8"/>
  <c r="D830" i="8" s="1"/>
  <c r="C672" i="8"/>
  <c r="D672" i="8" s="1"/>
  <c r="C634" i="8"/>
  <c r="D634" i="8" s="1"/>
  <c r="C571" i="8"/>
  <c r="D571" i="8" s="1"/>
  <c r="C868" i="8"/>
  <c r="D868" i="8" s="1"/>
  <c r="C1536" i="8"/>
  <c r="D1536" i="8" s="1"/>
  <c r="C2092" i="8"/>
  <c r="D2092" i="8" s="1"/>
  <c r="C2124" i="8"/>
  <c r="D2124" i="8" s="1"/>
  <c r="C895" i="8"/>
  <c r="D895" i="8" s="1"/>
  <c r="C946" i="8"/>
  <c r="D946" i="8" s="1"/>
  <c r="C1466" i="8"/>
  <c r="D1466" i="8" s="1"/>
  <c r="C1833" i="8"/>
  <c r="D1833" i="8" s="1"/>
  <c r="C1914" i="8"/>
  <c r="D1914" i="8" s="1"/>
  <c r="C2076" i="8"/>
  <c r="D2076" i="8" s="1"/>
  <c r="C2098" i="8"/>
  <c r="D2098" i="8" s="1"/>
  <c r="C2056" i="8"/>
  <c r="C866" i="8"/>
  <c r="D866" i="8" s="1"/>
  <c r="C655" i="8"/>
  <c r="D655" i="8" s="1"/>
  <c r="C579" i="8"/>
  <c r="D579" i="8" s="1"/>
  <c r="C612" i="8"/>
  <c r="D612" i="8" s="1"/>
  <c r="C988" i="8"/>
  <c r="D988" i="8" s="1"/>
  <c r="C1737" i="8"/>
  <c r="D1737" i="8" s="1"/>
  <c r="C2089" i="8"/>
  <c r="D2089" i="8" s="1"/>
  <c r="C2136" i="8"/>
  <c r="D2136" i="8" s="1"/>
  <c r="C827" i="8"/>
  <c r="D827" i="8" s="1"/>
  <c r="C567" i="8"/>
  <c r="D567" i="8" s="1"/>
  <c r="C486" i="8"/>
  <c r="D486" i="8" s="1"/>
  <c r="C1049" i="8"/>
  <c r="D1049" i="8" s="1"/>
  <c r="C1528" i="8"/>
  <c r="D1528" i="8" s="1"/>
  <c r="C1683" i="8"/>
  <c r="D1683" i="8" s="1"/>
  <c r="C1654" i="8"/>
  <c r="D1654" i="8" s="1"/>
  <c r="C2066" i="8"/>
  <c r="D2066" i="8" s="1"/>
  <c r="C1120" i="8"/>
  <c r="D1120" i="8" s="1"/>
  <c r="C970" i="8"/>
  <c r="D970" i="8" s="1"/>
  <c r="C1076" i="8"/>
  <c r="C1979" i="8"/>
  <c r="D1979" i="8" s="1"/>
  <c r="C1975" i="8"/>
  <c r="D1975" i="8" s="1"/>
  <c r="C2084" i="8"/>
  <c r="D2084" i="8" s="1"/>
  <c r="C2020" i="8"/>
  <c r="D2020" i="8" s="1"/>
  <c r="C2058" i="8"/>
  <c r="D2058" i="8" s="1"/>
  <c r="C1038" i="8"/>
  <c r="D1038" i="8" s="1"/>
  <c r="C859" i="8"/>
  <c r="D859" i="8" s="1"/>
  <c r="C844" i="8"/>
  <c r="D844" i="8" s="1"/>
  <c r="C816" i="8"/>
  <c r="D816" i="8" s="1"/>
  <c r="C1323" i="8"/>
  <c r="D1323" i="8" s="1"/>
  <c r="C1750" i="8"/>
  <c r="D1750" i="8" s="1"/>
  <c r="C2101" i="8"/>
  <c r="D2101" i="8" s="1"/>
  <c r="C2077" i="8"/>
  <c r="D2077" i="8" s="1"/>
  <c r="C939" i="8"/>
  <c r="D939" i="8" s="1"/>
  <c r="C1101" i="8"/>
  <c r="D1101" i="8" s="1"/>
  <c r="C1443" i="8"/>
  <c r="D1443" i="8" s="1"/>
  <c r="C1083" i="8"/>
  <c r="D1083" i="8" s="1"/>
  <c r="C1779" i="8"/>
  <c r="D1779" i="8" s="1"/>
  <c r="C2002" i="8"/>
  <c r="D2002" i="8" s="1"/>
  <c r="C2152" i="8"/>
  <c r="D2152" i="8" s="1"/>
  <c r="C2106" i="8"/>
  <c r="D2106" i="8" s="1"/>
  <c r="C668" i="8"/>
  <c r="D668" i="8" s="1"/>
  <c r="C560" i="8"/>
  <c r="D560" i="8" s="1"/>
  <c r="C552" i="8"/>
  <c r="D552" i="8" s="1"/>
  <c r="C666" i="8"/>
  <c r="D666" i="8" s="1"/>
  <c r="C1168" i="8"/>
  <c r="D1168" i="8" s="1"/>
  <c r="C1461" i="8"/>
  <c r="D1461" i="8" s="1"/>
  <c r="C1825" i="8"/>
  <c r="D1825" i="8" s="1"/>
  <c r="C2095" i="8"/>
  <c r="D2095" i="8" s="1"/>
  <c r="C694" i="8"/>
  <c r="D694" i="8" s="1"/>
  <c r="C325" i="8"/>
  <c r="D325" i="8" s="1"/>
  <c r="C535" i="8"/>
  <c r="D535" i="8" s="1"/>
  <c r="C335" i="8"/>
  <c r="D335" i="8" s="1"/>
  <c r="C334" i="8"/>
  <c r="D334" i="8" s="1"/>
  <c r="C764" i="8"/>
  <c r="D764" i="8" s="1"/>
  <c r="C1658" i="8"/>
  <c r="D1658" i="8" s="1"/>
  <c r="C2118" i="8"/>
  <c r="D2118" i="8" s="1"/>
  <c r="C1065" i="8"/>
  <c r="D1065" i="8" s="1"/>
  <c r="C1419" i="8"/>
  <c r="D1419" i="8" s="1"/>
  <c r="C1687" i="8"/>
  <c r="D1687" i="8" s="1"/>
  <c r="C2138" i="8"/>
  <c r="D2138" i="8" s="1"/>
  <c r="C2082" i="8"/>
  <c r="D2082" i="8" s="1"/>
  <c r="C2067" i="8"/>
  <c r="D2067" i="8" s="1"/>
  <c r="C2034" i="8"/>
  <c r="D2034" i="8" s="1"/>
  <c r="C2130" i="8"/>
  <c r="D2130" i="8" s="1"/>
  <c r="C1234" i="8"/>
  <c r="D1234" i="8" s="1"/>
  <c r="C1059" i="8"/>
  <c r="D1059" i="8" s="1"/>
  <c r="C992" i="8"/>
  <c r="D992" i="8" s="1"/>
  <c r="C1251" i="8"/>
  <c r="D1251" i="8" s="1"/>
  <c r="C1605" i="8"/>
  <c r="C1972" i="8"/>
  <c r="D1972" i="8" s="1"/>
  <c r="C2155" i="8"/>
  <c r="D2155" i="8" s="1"/>
  <c r="C2196" i="8"/>
  <c r="D2196" i="8" s="1"/>
  <c r="C1194" i="8"/>
  <c r="D1194" i="8" s="1"/>
  <c r="C1710" i="8"/>
  <c r="D1710" i="8" s="1"/>
  <c r="C1983" i="8"/>
  <c r="D1983" i="8" s="1"/>
  <c r="C2172" i="8"/>
  <c r="D2172" i="8" s="1"/>
  <c r="C2173" i="8"/>
  <c r="D2173" i="8" s="1"/>
  <c r="C1966" i="8"/>
  <c r="D1966" i="8" s="1"/>
  <c r="C2114" i="8"/>
  <c r="D2114" i="8" s="1"/>
  <c r="C1970" i="8"/>
  <c r="D1970" i="8" s="1"/>
  <c r="C1247" i="8"/>
  <c r="D1247" i="8" s="1"/>
  <c r="C1434" i="8"/>
  <c r="D1434" i="8" s="1"/>
  <c r="C2157" i="8"/>
  <c r="D2157" i="8" s="1"/>
  <c r="C2161" i="8"/>
  <c r="D2161" i="8" s="1"/>
  <c r="C2168" i="8"/>
  <c r="D2168" i="8" s="1"/>
  <c r="C2091" i="8"/>
  <c r="D2091" i="8" s="1"/>
  <c r="C2102" i="8"/>
  <c r="D2102" i="8" s="1"/>
  <c r="C2079" i="8"/>
  <c r="C609" i="8"/>
  <c r="D609" i="8" s="1"/>
  <c r="C498" i="8"/>
  <c r="D498" i="8" s="1"/>
  <c r="C429" i="8"/>
  <c r="D429" i="8" s="1"/>
  <c r="C889" i="8"/>
  <c r="D889" i="8" s="1"/>
  <c r="C1859" i="8"/>
  <c r="D1859" i="8" s="1"/>
  <c r="C1651" i="8"/>
  <c r="D1651" i="8" s="1"/>
  <c r="C2000" i="8"/>
  <c r="D2000" i="8" s="1"/>
  <c r="C2116" i="8"/>
  <c r="D2116" i="8" s="1"/>
  <c r="C1112" i="8"/>
  <c r="D1112" i="8" s="1"/>
  <c r="C993" i="8"/>
  <c r="D993" i="8" s="1"/>
  <c r="C915" i="8"/>
  <c r="D915" i="8" s="1"/>
  <c r="C1001" i="8"/>
  <c r="D1001" i="8" s="1"/>
  <c r="C1062" i="8"/>
  <c r="D1062" i="8" s="1"/>
  <c r="C1596" i="8"/>
  <c r="D1596" i="8" s="1"/>
  <c r="C2132" i="8"/>
  <c r="D2132" i="8" s="1"/>
  <c r="C2096" i="8"/>
  <c r="D2096" i="8" s="1"/>
  <c r="C1154" i="8"/>
  <c r="D1154" i="8" s="1"/>
  <c r="C995" i="8"/>
  <c r="D995" i="8" s="1"/>
  <c r="C1162" i="8"/>
  <c r="D1162" i="8" s="1"/>
  <c r="C1269" i="8"/>
  <c r="D1269" i="8" s="1"/>
  <c r="C1933" i="8"/>
  <c r="D1933" i="8" s="1"/>
  <c r="C2165" i="8"/>
  <c r="D2165" i="8" s="1"/>
  <c r="C2197" i="8"/>
  <c r="D2197" i="8" s="1"/>
  <c r="C2129" i="8"/>
  <c r="D2129" i="8" s="1"/>
  <c r="C926" i="8"/>
  <c r="D926" i="8" s="1"/>
  <c r="C839" i="8"/>
  <c r="D839" i="8" s="1"/>
  <c r="C869" i="8"/>
  <c r="D869" i="8" s="1"/>
  <c r="C871" i="8"/>
  <c r="D871" i="8" s="1"/>
  <c r="C1504" i="8"/>
  <c r="D1504" i="8" s="1"/>
  <c r="C1913" i="8"/>
  <c r="D1913" i="8" s="1"/>
  <c r="C2182" i="8"/>
  <c r="D2182" i="8" s="1"/>
  <c r="C2134" i="8"/>
  <c r="D2134" i="8" s="1"/>
  <c r="C1013" i="8"/>
  <c r="D1013" i="8" s="1"/>
  <c r="C966" i="8"/>
  <c r="D966" i="8" s="1"/>
  <c r="C1385" i="8"/>
  <c r="D1385" i="8" s="1"/>
  <c r="C2147" i="8"/>
  <c r="D2147" i="8" s="1"/>
  <c r="C2158" i="8"/>
  <c r="D2158" i="8" s="1"/>
  <c r="C2120" i="8"/>
  <c r="D2120" i="8" s="1"/>
  <c r="C2192" i="8"/>
  <c r="D2192" i="8" s="1"/>
  <c r="C2125" i="8"/>
  <c r="D2125" i="8" s="1"/>
  <c r="C1037" i="8"/>
  <c r="D1037" i="8" s="1"/>
  <c r="C1830" i="8"/>
  <c r="D1830" i="8" s="1"/>
  <c r="C1810" i="8"/>
  <c r="D1810" i="8" s="1"/>
  <c r="C2150" i="8"/>
  <c r="D2150" i="8" s="1"/>
  <c r="C2162" i="8"/>
  <c r="D2162" i="8" s="1"/>
  <c r="C2163" i="8"/>
  <c r="D2163" i="8" s="1"/>
  <c r="C2176" i="8"/>
  <c r="D2176" i="8" s="1"/>
  <c r="C2191" i="8"/>
  <c r="D2191" i="8" s="1"/>
  <c r="C964" i="8"/>
  <c r="D964" i="8" s="1"/>
  <c r="C460" i="8"/>
  <c r="D460" i="8" s="1"/>
  <c r="C523" i="8"/>
  <c r="D523" i="8" s="1"/>
  <c r="C556" i="8"/>
  <c r="D556" i="8" s="1"/>
  <c r="C910" i="8"/>
  <c r="D910" i="8" s="1"/>
  <c r="C1010" i="8"/>
  <c r="D1010" i="8" s="1"/>
  <c r="C1762" i="8"/>
  <c r="D1762" i="8" s="1"/>
  <c r="C2071" i="8"/>
  <c r="D2071" i="8" s="1"/>
  <c r="C706" i="8"/>
  <c r="D706" i="8" s="1"/>
  <c r="C474" i="8"/>
  <c r="D474" i="8" s="1"/>
  <c r="C344" i="8"/>
  <c r="D344" i="8" s="1"/>
  <c r="C482" i="8"/>
  <c r="D482" i="8" s="1"/>
  <c r="C884" i="8"/>
  <c r="D884" i="8" s="1"/>
  <c r="C885" i="8"/>
  <c r="D885" i="8" s="1"/>
  <c r="C1707" i="8"/>
  <c r="D1707" i="8" s="1"/>
  <c r="C2052" i="8"/>
  <c r="D2052" i="8" s="1"/>
  <c r="C717" i="8"/>
  <c r="D717" i="8" s="1"/>
  <c r="C578" i="8"/>
  <c r="D578" i="8" s="1"/>
  <c r="C483" i="8"/>
  <c r="D483" i="8" s="1"/>
  <c r="C883" i="8"/>
  <c r="D883" i="8" s="1"/>
  <c r="C1082" i="8"/>
  <c r="D1082" i="8" s="1"/>
  <c r="C1674" i="8"/>
  <c r="D1674" i="8" s="1"/>
  <c r="C2085" i="8"/>
  <c r="D2085" i="8" s="1"/>
  <c r="C2117" i="8"/>
  <c r="D2117" i="8" s="1"/>
  <c r="C1192" i="8"/>
  <c r="D1192" i="8" s="1"/>
  <c r="C1053" i="8"/>
  <c r="D1053" i="8" s="1"/>
  <c r="C990" i="8"/>
  <c r="D990" i="8" s="1"/>
  <c r="C1113" i="8"/>
  <c r="D1113" i="8" s="1"/>
  <c r="C1187" i="8"/>
  <c r="D1187" i="8" s="1"/>
  <c r="C1896" i="8"/>
  <c r="D1896" i="8" s="1"/>
  <c r="C2141" i="8"/>
  <c r="D2141" i="8" s="1"/>
  <c r="C2194" i="8"/>
  <c r="D2194" i="8" s="1"/>
  <c r="C1066" i="8"/>
  <c r="D1066" i="8" s="1"/>
  <c r="C870" i="8"/>
  <c r="D870" i="8" s="1"/>
  <c r="C1742" i="8"/>
  <c r="D1742" i="8" s="1"/>
  <c r="C1746" i="8"/>
  <c r="D1746" i="8" s="1"/>
  <c r="C1692" i="8"/>
  <c r="D1692" i="8" s="1"/>
  <c r="C2151" i="8"/>
  <c r="D2151" i="8" s="1"/>
  <c r="C2185" i="8"/>
  <c r="D2185" i="8" s="1"/>
  <c r="C2068" i="8"/>
  <c r="D2068" i="8" s="1"/>
  <c r="C1129" i="8"/>
  <c r="D1129" i="8" s="1"/>
  <c r="C1032" i="8"/>
  <c r="D1032" i="8" s="1"/>
  <c r="C955" i="8"/>
  <c r="D955" i="8" s="1"/>
  <c r="C1055" i="8"/>
  <c r="D1055" i="8" s="1"/>
  <c r="C1393" i="8"/>
  <c r="D1393" i="8" s="1"/>
  <c r="C1867" i="8"/>
  <c r="D1867" i="8" s="1"/>
  <c r="C2139" i="8"/>
  <c r="D2139" i="8" s="1"/>
  <c r="C2195" i="8"/>
  <c r="D2195" i="8" s="1"/>
  <c r="C707" i="8"/>
  <c r="D707" i="8" s="1"/>
  <c r="C783" i="8"/>
  <c r="D783" i="8" s="1"/>
  <c r="C1070" i="8"/>
  <c r="D1070" i="8" s="1"/>
  <c r="C2144" i="8"/>
  <c r="D2144" i="8" s="1"/>
  <c r="C2156" i="8"/>
  <c r="D2156" i="8" s="1"/>
  <c r="C2174" i="8"/>
  <c r="D2174" i="8" s="1"/>
  <c r="C2187" i="8"/>
  <c r="D2187" i="8" s="1"/>
  <c r="C2128" i="8"/>
  <c r="D2128" i="8" s="1"/>
  <c r="C1033" i="8"/>
  <c r="D1033" i="8" s="1"/>
  <c r="C891" i="8"/>
  <c r="D891" i="8" s="1"/>
  <c r="C689" i="8"/>
  <c r="D689" i="8" s="1"/>
  <c r="C618" i="8"/>
  <c r="D618" i="8" s="1"/>
  <c r="C616" i="8"/>
  <c r="D616" i="8" s="1"/>
  <c r="C1047" i="8"/>
  <c r="D1047" i="8" s="1"/>
  <c r="C1730" i="8"/>
  <c r="D1730" i="8" s="1"/>
  <c r="C2112" i="8"/>
  <c r="D2112" i="8" s="1"/>
  <c r="C967" i="8"/>
  <c r="D967" i="8" s="1"/>
  <c r="C718" i="8"/>
  <c r="D718" i="8" s="1"/>
  <c r="C544" i="8"/>
  <c r="D544" i="8" s="1"/>
  <c r="C448" i="8"/>
  <c r="D448" i="8" s="1"/>
  <c r="C466" i="8"/>
  <c r="D466" i="8" s="1"/>
  <c r="C936" i="8"/>
  <c r="D936" i="8" s="1"/>
  <c r="C1695" i="8"/>
  <c r="D1695" i="8" s="1"/>
  <c r="C2001" i="8"/>
  <c r="D2001" i="8" s="1"/>
  <c r="C1544" i="8"/>
  <c r="C1714" i="8"/>
  <c r="D1714" i="8" s="1"/>
  <c r="C2153" i="8"/>
  <c r="D2153" i="8" s="1"/>
  <c r="C2180" i="8"/>
  <c r="D2180" i="8" s="1"/>
  <c r="C2167" i="8"/>
  <c r="D2167" i="8" s="1"/>
  <c r="C2142" i="8"/>
  <c r="D2142" i="8" s="1"/>
  <c r="C2121" i="8"/>
  <c r="D2121" i="8" s="1"/>
  <c r="C2160" i="8"/>
  <c r="D2160" i="8" s="1"/>
  <c r="C1206" i="8"/>
  <c r="D1206" i="8" s="1"/>
  <c r="C1745" i="8"/>
  <c r="D1745" i="8" s="1"/>
  <c r="C2175" i="8"/>
  <c r="D2175" i="8" s="1"/>
  <c r="C2164" i="8"/>
  <c r="D2164" i="8" s="1"/>
  <c r="C2181" i="8"/>
  <c r="D2181" i="8" s="1"/>
  <c r="C2135" i="8"/>
  <c r="D2135" i="8" s="1"/>
  <c r="C2188" i="8"/>
  <c r="D2188" i="8" s="1"/>
  <c r="C2115" i="8"/>
  <c r="D2115" i="8" s="1"/>
  <c r="C922" i="8"/>
  <c r="D922" i="8" s="1"/>
  <c r="C789" i="8"/>
  <c r="D789" i="8" s="1"/>
  <c r="C756" i="8"/>
  <c r="D756" i="8" s="1"/>
  <c r="C750" i="8"/>
  <c r="D750" i="8" s="1"/>
  <c r="C1095" i="8"/>
  <c r="D1095" i="8" s="1"/>
  <c r="C1837" i="8"/>
  <c r="D1837" i="8" s="1"/>
  <c r="C2189" i="8"/>
  <c r="D2189" i="8" s="1"/>
  <c r="C2179" i="8"/>
  <c r="D2179" i="8" s="1"/>
  <c r="C908" i="8"/>
  <c r="D908" i="8" s="1"/>
  <c r="C492" i="8"/>
  <c r="D492" i="8" s="1"/>
  <c r="C347" i="8"/>
  <c r="D347" i="8" s="1"/>
  <c r="C363" i="8"/>
  <c r="D363" i="8" s="1"/>
  <c r="C768" i="8"/>
  <c r="D768" i="8" s="1"/>
  <c r="C1611" i="8"/>
  <c r="D1611" i="8" s="1"/>
  <c r="C2053" i="8"/>
  <c r="D2053" i="8" s="1"/>
  <c r="C2122" i="8"/>
  <c r="D2122" i="8" s="1"/>
  <c r="C436" i="8"/>
  <c r="D436" i="8" s="1"/>
  <c r="C691" i="8"/>
  <c r="D691" i="8" s="1"/>
  <c r="C1057" i="8"/>
  <c r="D1057" i="8" s="1"/>
  <c r="C1494" i="8"/>
  <c r="D1494" i="8" s="1"/>
  <c r="C1719" i="8"/>
  <c r="D1719" i="8" s="1"/>
  <c r="C2042" i="8"/>
  <c r="D2042" i="8" s="1"/>
  <c r="C1991" i="8"/>
  <c r="D1991" i="8" s="1"/>
  <c r="C2140" i="8"/>
  <c r="D2140" i="8" s="1"/>
  <c r="C880" i="8"/>
  <c r="D880" i="8" s="1"/>
  <c r="C478" i="8"/>
  <c r="D478" i="8" s="1"/>
  <c r="C805" i="8"/>
  <c r="D805" i="8" s="1"/>
  <c r="C2007" i="8"/>
  <c r="D2007" i="8" s="1"/>
  <c r="C1992" i="8"/>
  <c r="D1992" i="8" s="1"/>
  <c r="C2032" i="8"/>
  <c r="D2032" i="8" s="1"/>
  <c r="C2090" i="8"/>
  <c r="D2090" i="8" s="1"/>
  <c r="C2159" i="8"/>
  <c r="D2159" i="8" s="1"/>
  <c r="C1088" i="8"/>
  <c r="D1088" i="8" s="1"/>
  <c r="C744" i="8"/>
  <c r="D744" i="8" s="1"/>
  <c r="C786" i="8"/>
  <c r="D786" i="8" s="1"/>
  <c r="C709" i="8"/>
  <c r="D709" i="8" s="1"/>
  <c r="C752" i="8"/>
  <c r="D752" i="8" s="1"/>
  <c r="C675" i="8"/>
  <c r="D675" i="8" s="1"/>
  <c r="C1233" i="8"/>
  <c r="D1233" i="8" s="1"/>
  <c r="C2148" i="8"/>
  <c r="D2148" i="8" s="1"/>
  <c r="C1167" i="8"/>
  <c r="D1167" i="8" s="1"/>
  <c r="C882" i="8"/>
  <c r="D882" i="8" s="1"/>
  <c r="C585" i="8"/>
  <c r="D585" i="8" s="1"/>
  <c r="C319" i="8"/>
  <c r="C238" i="8"/>
  <c r="D238" i="8" s="1"/>
  <c r="C735" i="8"/>
  <c r="D735" i="8" s="1"/>
  <c r="C1339" i="8"/>
  <c r="D1339" i="8" s="1"/>
  <c r="C1923" i="8"/>
  <c r="D1923" i="8" s="1"/>
  <c r="C1172" i="8"/>
  <c r="D1172" i="8" s="1"/>
  <c r="C890" i="8"/>
  <c r="D890" i="8" s="1"/>
  <c r="C532" i="8"/>
  <c r="D532" i="8" s="1"/>
  <c r="C242" i="8"/>
  <c r="D242" i="8" s="1"/>
  <c r="C143" i="8"/>
  <c r="D143" i="8" s="1"/>
  <c r="C432" i="8"/>
  <c r="D432" i="8" s="1"/>
  <c r="C1237" i="8"/>
  <c r="D1237" i="8" s="1"/>
  <c r="C1852" i="8"/>
  <c r="D1852" i="8" s="1"/>
  <c r="C901" i="8"/>
  <c r="D901" i="8" s="1"/>
  <c r="C555" i="8"/>
  <c r="D555" i="8" s="1"/>
  <c r="C459" i="8"/>
  <c r="D459" i="8" s="1"/>
  <c r="C316" i="8"/>
  <c r="D316" i="8" s="1"/>
  <c r="C728" i="8"/>
  <c r="D728" i="8" s="1"/>
  <c r="C1449" i="8"/>
  <c r="D1449" i="8" s="1"/>
  <c r="C1937" i="8"/>
  <c r="D1937" i="8" s="1"/>
  <c r="C2019" i="8"/>
  <c r="D2019" i="8" s="1"/>
  <c r="C914" i="8"/>
  <c r="D914" i="8" s="1"/>
  <c r="C509" i="8"/>
  <c r="D509" i="8" s="1"/>
  <c r="C1944" i="8"/>
  <c r="D1944" i="8" s="1"/>
  <c r="C1932" i="8"/>
  <c r="D1932" i="8" s="1"/>
  <c r="C1967" i="8"/>
  <c r="D1967" i="8" s="1"/>
  <c r="C2057" i="8"/>
  <c r="D2057" i="8" s="1"/>
  <c r="C2024" i="8"/>
  <c r="D2024" i="8" s="1"/>
  <c r="C2131" i="8"/>
  <c r="D2131" i="8" s="1"/>
  <c r="C1063" i="8"/>
  <c r="D1063" i="8" s="1"/>
  <c r="C678" i="8"/>
  <c r="D678" i="8" s="1"/>
  <c r="C426" i="8"/>
  <c r="D426" i="8" s="1"/>
  <c r="C265" i="8"/>
  <c r="C396" i="8"/>
  <c r="D396" i="8" s="1"/>
  <c r="C1022" i="8"/>
  <c r="D1022" i="8" s="1"/>
  <c r="C1576" i="8"/>
  <c r="D1576" i="8" s="1"/>
  <c r="C1875" i="8"/>
  <c r="D1875" i="8" s="1"/>
  <c r="C1159" i="8"/>
  <c r="D1159" i="8" s="1"/>
  <c r="C989" i="8"/>
  <c r="D989" i="8" s="1"/>
  <c r="C776" i="8"/>
  <c r="D776" i="8" s="1"/>
  <c r="C463" i="8"/>
  <c r="C255" i="8"/>
  <c r="D255" i="8" s="1"/>
  <c r="C272" i="8"/>
  <c r="D272" i="8" s="1"/>
  <c r="C722" i="8"/>
  <c r="D722" i="8" s="1"/>
  <c r="C1675" i="8"/>
  <c r="D1675" i="8" s="1"/>
  <c r="C598" i="8"/>
  <c r="D598" i="8" s="1"/>
  <c r="C236" i="8"/>
  <c r="D236" i="8" s="1"/>
  <c r="C304" i="8"/>
  <c r="D304" i="8" s="1"/>
  <c r="C787" i="8"/>
  <c r="D787" i="8" s="1"/>
  <c r="C1703" i="8"/>
  <c r="D1703" i="8" s="1"/>
  <c r="C1786" i="8"/>
  <c r="D1786" i="8" s="1"/>
  <c r="C1928" i="8"/>
  <c r="D1928" i="8" s="1"/>
  <c r="C1836" i="8"/>
  <c r="D1836" i="8" s="1"/>
  <c r="C648" i="8"/>
  <c r="D648" i="8" s="1"/>
  <c r="C494" i="8"/>
  <c r="D494" i="8" s="1"/>
  <c r="C199" i="8"/>
  <c r="D199" i="8" s="1"/>
  <c r="C1465" i="8"/>
  <c r="D1465" i="8" s="1"/>
  <c r="C1638" i="8"/>
  <c r="D1638" i="8" s="1"/>
  <c r="C1864" i="8"/>
  <c r="D1864" i="8" s="1"/>
  <c r="C1959" i="8"/>
  <c r="D1959" i="8" s="1"/>
  <c r="C2049" i="8"/>
  <c r="D2049" i="8" s="1"/>
  <c r="C1119" i="8"/>
  <c r="D1119" i="8" s="1"/>
  <c r="C386" i="8"/>
  <c r="D386" i="8" s="1"/>
  <c r="C1478" i="8"/>
  <c r="D1478" i="8" s="1"/>
  <c r="C1533" i="8"/>
  <c r="D1533" i="8" s="1"/>
  <c r="C1668" i="8"/>
  <c r="D1668" i="8" s="1"/>
  <c r="C1907" i="8"/>
  <c r="D1907" i="8" s="1"/>
  <c r="C1897" i="8"/>
  <c r="D1897" i="8" s="1"/>
  <c r="C2006" i="8"/>
  <c r="D2006" i="8" s="1"/>
  <c r="C1074" i="8"/>
  <c r="D1074" i="8" s="1"/>
  <c r="C619" i="8"/>
  <c r="D619" i="8" s="1"/>
  <c r="C294" i="8"/>
  <c r="D294" i="8" s="1"/>
  <c r="C132" i="8"/>
  <c r="D132" i="8" s="1"/>
  <c r="C224" i="8"/>
  <c r="D224" i="8" s="1"/>
  <c r="C801" i="8"/>
  <c r="D801" i="8" s="1"/>
  <c r="C1538" i="8"/>
  <c r="D1538" i="8" s="1"/>
  <c r="C1660" i="8"/>
  <c r="D1660" i="8" s="1"/>
  <c r="C954" i="8"/>
  <c r="D954" i="8" s="1"/>
  <c r="C594" i="8"/>
  <c r="D594" i="8" s="1"/>
  <c r="C307" i="8"/>
  <c r="D307" i="8" s="1"/>
  <c r="C108" i="8"/>
  <c r="D108" i="8" s="1"/>
  <c r="C169" i="8"/>
  <c r="D169" i="8" s="1"/>
  <c r="C937" i="8"/>
  <c r="D937" i="8" s="1"/>
  <c r="C1832" i="8"/>
  <c r="D1832" i="8" s="1"/>
  <c r="C1949" i="8"/>
  <c r="D1949" i="8" s="1"/>
  <c r="C907" i="8"/>
  <c r="D907" i="8" s="1"/>
  <c r="C536" i="8"/>
  <c r="D536" i="8" s="1"/>
  <c r="C231" i="8"/>
  <c r="D231" i="8" s="1"/>
  <c r="C27" i="8"/>
  <c r="D27" i="8" s="1"/>
  <c r="C185" i="8"/>
  <c r="D185" i="8" s="1"/>
  <c r="C518" i="8"/>
  <c r="D518" i="8" s="1"/>
  <c r="C994" i="8"/>
  <c r="D994" i="8" s="1"/>
  <c r="C1691" i="8"/>
  <c r="D1691" i="8" s="1"/>
  <c r="C1304" i="8"/>
  <c r="D1304" i="8" s="1"/>
  <c r="C1064" i="8"/>
  <c r="D1064" i="8" s="1"/>
  <c r="C919" i="8"/>
  <c r="D919" i="8" s="1"/>
  <c r="C521" i="8"/>
  <c r="D521" i="8" s="1"/>
  <c r="C200" i="8"/>
  <c r="D200" i="8" s="1"/>
  <c r="C186" i="8"/>
  <c r="D186" i="8" s="1"/>
  <c r="C589" i="8"/>
  <c r="D589" i="8" s="1"/>
  <c r="C1475" i="8"/>
  <c r="D1475" i="8" s="1"/>
  <c r="C1141" i="8"/>
  <c r="D1141" i="8" s="1"/>
  <c r="C920" i="8"/>
  <c r="D920" i="8" s="1"/>
  <c r="C384" i="8"/>
  <c r="D384" i="8" s="1"/>
  <c r="C213" i="8"/>
  <c r="D213" i="8" s="1"/>
  <c r="C41" i="8"/>
  <c r="D41" i="8" s="1"/>
  <c r="C155" i="8"/>
  <c r="D155" i="8" s="1"/>
  <c r="C847" i="8"/>
  <c r="D847" i="8" s="1"/>
  <c r="C1429" i="8"/>
  <c r="D1429" i="8" s="1"/>
  <c r="C1092" i="8"/>
  <c r="D1092" i="8" s="1"/>
  <c r="C912" i="8"/>
  <c r="D912" i="8" s="1"/>
  <c r="C610" i="8"/>
  <c r="D610" i="8" s="1"/>
  <c r="C352" i="8"/>
  <c r="D352" i="8" s="1"/>
  <c r="C115" i="8"/>
  <c r="D115" i="8" s="1"/>
  <c r="C137" i="8"/>
  <c r="D137" i="8" s="1"/>
  <c r="C590" i="8"/>
  <c r="C1554" i="8"/>
  <c r="D1554" i="8" s="1"/>
  <c r="C932" i="8"/>
  <c r="D932" i="8" s="1"/>
  <c r="C324" i="8"/>
  <c r="D324" i="8" s="1"/>
  <c r="C353" i="8"/>
  <c r="D353" i="8" s="1"/>
  <c r="C289" i="8"/>
  <c r="D289" i="8" s="1"/>
  <c r="C358" i="8"/>
  <c r="D358" i="8" s="1"/>
  <c r="C1464" i="8"/>
  <c r="D1464" i="8" s="1"/>
  <c r="C1389" i="8"/>
  <c r="D1389" i="8" s="1"/>
  <c r="C1661" i="8"/>
  <c r="D1661" i="8" s="1"/>
  <c r="C1258" i="8"/>
  <c r="C423" i="8"/>
  <c r="D423" i="8" s="1"/>
  <c r="C1008" i="8"/>
  <c r="D1008" i="8" s="1"/>
  <c r="C1542" i="8"/>
  <c r="D1542" i="8" s="1"/>
  <c r="C1509" i="8"/>
  <c r="D1509" i="8" s="1"/>
  <c r="G2" i="6"/>
  <c r="D1739" i="8"/>
  <c r="D570" i="8"/>
  <c r="D338" i="8"/>
  <c r="D631" i="8"/>
  <c r="D978" i="8"/>
  <c r="D1235" i="8"/>
  <c r="D1045" i="8"/>
  <c r="D1346" i="8"/>
  <c r="D1790" i="8"/>
  <c r="D1877" i="8"/>
  <c r="D1958" i="8"/>
  <c r="D685" i="8"/>
  <c r="D763" i="8"/>
  <c r="D409" i="8"/>
  <c r="D100" i="8"/>
  <c r="D402" i="8"/>
  <c r="D968" i="8"/>
  <c r="D1648" i="8"/>
  <c r="D1034" i="8"/>
  <c r="D1589" i="8"/>
  <c r="D951" i="8"/>
  <c r="D135" i="8"/>
  <c r="D407" i="8"/>
  <c r="D840" i="8"/>
  <c r="D628" i="8"/>
  <c r="D308" i="8"/>
  <c r="D215" i="8"/>
  <c r="D1169" i="8"/>
  <c r="D808" i="8"/>
  <c r="D1498" i="8"/>
  <c r="D1563" i="8"/>
  <c r="D1575" i="8"/>
  <c r="D497" i="8"/>
  <c r="D1264" i="8"/>
  <c r="D1189" i="8"/>
  <c r="D1006" i="8"/>
  <c r="D615" i="8"/>
  <c r="D712" i="8"/>
  <c r="D1670" i="8"/>
  <c r="D769" i="8"/>
  <c r="D903" i="8"/>
  <c r="D953" i="8"/>
  <c r="D958" i="8"/>
  <c r="D1515" i="8"/>
  <c r="D899" i="8"/>
  <c r="D998" i="8"/>
  <c r="D1403" i="8"/>
  <c r="D1243" i="8"/>
  <c r="D1122" i="8"/>
  <c r="D252" i="8"/>
  <c r="D202" i="8"/>
  <c r="D266" i="8"/>
  <c r="D216" i="8"/>
  <c r="D733" i="8"/>
  <c r="D762" i="8"/>
  <c r="D1094" i="8"/>
  <c r="D1160" i="8"/>
  <c r="D1145" i="8"/>
  <c r="D1026" i="8"/>
  <c r="D771" i="8"/>
  <c r="D663" i="8"/>
  <c r="D737" i="8"/>
  <c r="D540" i="8"/>
  <c r="D563" i="8"/>
  <c r="D368" i="8"/>
  <c r="D703" i="8"/>
  <c r="D1135" i="8"/>
  <c r="D1367" i="8"/>
  <c r="D1562" i="8"/>
  <c r="D1734" i="8"/>
  <c r="D644" i="8"/>
  <c r="D980" i="8"/>
  <c r="D1854" i="8"/>
  <c r="D1477" i="8"/>
  <c r="D1387" i="8"/>
  <c r="D1319" i="8"/>
  <c r="D877" i="8"/>
  <c r="D387" i="8"/>
  <c r="D1291" i="8"/>
  <c r="D1171" i="8"/>
  <c r="D1023" i="8"/>
  <c r="D800" i="8"/>
  <c r="D461" i="8"/>
  <c r="D1560" i="8"/>
  <c r="D1617" i="8"/>
  <c r="D1735" i="8"/>
  <c r="D1964" i="8"/>
  <c r="D1653" i="8"/>
  <c r="D1772" i="8"/>
  <c r="D617" i="8"/>
  <c r="D667" i="8"/>
  <c r="D586" i="8"/>
  <c r="D568" i="8"/>
  <c r="D572" i="8"/>
  <c r="D1665" i="8"/>
  <c r="D656" i="8"/>
  <c r="D1108" i="8"/>
  <c r="D1580" i="8"/>
  <c r="D1845" i="8"/>
  <c r="D1521" i="8"/>
  <c r="D1694" i="8"/>
  <c r="D887" i="8"/>
  <c r="D505" i="8"/>
  <c r="D290" i="8"/>
  <c r="D195" i="8"/>
  <c r="D1620" i="8"/>
  <c r="D1822" i="8"/>
  <c r="D1858" i="8"/>
  <c r="D458" i="8"/>
  <c r="D295" i="8"/>
  <c r="D1307" i="8"/>
  <c r="D1396" i="8"/>
  <c r="D1390" i="8"/>
  <c r="D1640" i="8"/>
  <c r="D1570" i="8"/>
  <c r="D1612" i="8"/>
  <c r="D1720" i="8"/>
  <c r="D1529" i="8"/>
  <c r="D1427" i="8"/>
  <c r="D1424" i="8"/>
  <c r="D1650" i="8"/>
  <c r="D413" i="8"/>
  <c r="D793" i="8"/>
  <c r="D1286" i="8"/>
  <c r="D1684" i="8"/>
  <c r="D1718" i="8"/>
  <c r="D1158" i="8"/>
  <c r="D1054" i="8"/>
  <c r="D781" i="8"/>
  <c r="D451" i="8"/>
  <c r="D214" i="8"/>
  <c r="D299" i="8"/>
  <c r="D957" i="8"/>
  <c r="D1706" i="8"/>
  <c r="D1716" i="8"/>
  <c r="D867" i="8"/>
  <c r="D356" i="8"/>
  <c r="D87" i="8"/>
  <c r="D78" i="8"/>
  <c r="D178" i="8"/>
  <c r="D160" i="8"/>
  <c r="D933" i="8"/>
  <c r="D1874" i="8"/>
  <c r="D1800" i="8"/>
  <c r="D1271" i="8"/>
  <c r="D1889" i="8"/>
  <c r="D1277" i="8"/>
  <c r="D991" i="8"/>
  <c r="D1221" i="8"/>
  <c r="D944" i="8"/>
  <c r="D657" i="8"/>
  <c r="D239" i="8"/>
  <c r="D225" i="8"/>
  <c r="D359" i="8"/>
  <c r="D1548" i="8"/>
  <c r="D1751" i="8"/>
  <c r="D1743" i="8"/>
  <c r="D1996" i="8"/>
  <c r="D1130" i="8"/>
  <c r="D716" i="8"/>
  <c r="D260" i="8"/>
  <c r="D71" i="8"/>
  <c r="D510" i="8"/>
  <c r="D398" i="8"/>
  <c r="D256" i="8"/>
  <c r="D635" i="8"/>
  <c r="D1080" i="8"/>
  <c r="D2048" i="8"/>
  <c r="D1776" i="8"/>
  <c r="D2016" i="8"/>
  <c r="D55" i="8"/>
  <c r="D573" i="8"/>
  <c r="D861" i="8"/>
  <c r="D921" i="8"/>
  <c r="D945" i="8"/>
  <c r="D109" i="8"/>
  <c r="D1068" i="8"/>
  <c r="D1293" i="8"/>
  <c r="D1625" i="8"/>
  <c r="D2104" i="8"/>
  <c r="D1204" i="8"/>
  <c r="D829" i="8"/>
  <c r="D526" i="8"/>
  <c r="D159" i="8"/>
  <c r="D163" i="8"/>
  <c r="D124" i="8"/>
  <c r="D201" i="8"/>
  <c r="D276" i="8"/>
  <c r="D1350" i="8"/>
  <c r="D1766" i="8"/>
  <c r="D2143" i="8"/>
  <c r="D1713" i="8"/>
  <c r="D1978" i="8"/>
  <c r="D1436" i="8"/>
  <c r="D1215" i="8"/>
  <c r="D710" i="8"/>
  <c r="D220" i="8"/>
  <c r="D278" i="8"/>
  <c r="D380" i="8"/>
  <c r="D1036" i="8"/>
  <c r="D682" i="8"/>
  <c r="D1577" i="8"/>
  <c r="D1794" i="8"/>
  <c r="D2105" i="8"/>
  <c r="D1723" i="8"/>
  <c r="D587" i="8"/>
  <c r="D257" i="8"/>
  <c r="D81" i="8"/>
  <c r="D133" i="8"/>
  <c r="D747" i="8"/>
  <c r="D1408" i="8"/>
  <c r="D1420" i="8"/>
  <c r="D1757" i="8"/>
  <c r="D1876" i="8"/>
  <c r="D1982" i="8"/>
  <c r="D2078" i="8"/>
  <c r="D1930" i="8"/>
  <c r="D189" i="8"/>
  <c r="D53" i="8"/>
  <c r="D32" i="8"/>
  <c r="D184" i="8"/>
  <c r="D212" i="8"/>
  <c r="D156" i="8"/>
  <c r="D1609" i="8"/>
  <c r="D1957" i="8"/>
  <c r="D2113" i="8"/>
  <c r="D2133" i="8"/>
  <c r="D1774" i="8"/>
  <c r="D2088" i="8"/>
  <c r="D75" i="8"/>
  <c r="D1174" i="8"/>
  <c r="D591" i="8"/>
  <c r="D167" i="8"/>
  <c r="D106" i="8"/>
  <c r="D1188" i="8"/>
  <c r="D254" i="8"/>
  <c r="D846" i="8"/>
  <c r="D1369" i="8"/>
  <c r="D1902" i="8"/>
  <c r="D1940" i="8"/>
  <c r="D1998" i="8"/>
  <c r="D281" i="8"/>
  <c r="D643" i="8"/>
  <c r="D121" i="8"/>
  <c r="D34" i="8"/>
  <c r="D20" i="8"/>
  <c r="D148" i="8"/>
  <c r="D547" i="8"/>
  <c r="D1587" i="8"/>
  <c r="D1883" i="8"/>
  <c r="D2011" i="8"/>
  <c r="D1553" i="8"/>
  <c r="D2026" i="8"/>
  <c r="D529" i="8"/>
  <c r="D182" i="8"/>
  <c r="D66" i="8"/>
  <c r="D16" i="8"/>
  <c r="D13" i="8"/>
  <c r="D65" i="8"/>
  <c r="D408" i="8"/>
  <c r="D564" i="8"/>
  <c r="D85" i="8"/>
  <c r="D963" i="8"/>
  <c r="D1084" i="8"/>
  <c r="D1532" i="8"/>
  <c r="D1681" i="8"/>
  <c r="D2017" i="8"/>
  <c r="D1636" i="8"/>
  <c r="D1732" i="8"/>
  <c r="D1813" i="8"/>
  <c r="D1826" i="8"/>
  <c r="D1361" i="8"/>
  <c r="D1704" i="8"/>
  <c r="D1838" i="8"/>
  <c r="D1882" i="8"/>
  <c r="D101" i="8"/>
  <c r="D399" i="8"/>
  <c r="D746" i="8"/>
  <c r="D1476" i="8"/>
  <c r="D788" i="8"/>
  <c r="D893" i="8"/>
  <c r="D596" i="8"/>
  <c r="D286" i="8"/>
  <c r="D50" i="8"/>
  <c r="D1492" i="8"/>
  <c r="D1724" i="8"/>
  <c r="D1823" i="8"/>
  <c r="D1834" i="8"/>
  <c r="D875" i="8"/>
  <c r="D128" i="8"/>
  <c r="D481" i="8"/>
  <c r="D981" i="8"/>
  <c r="D1539" i="8"/>
  <c r="D1433" i="8"/>
  <c r="D1060" i="8"/>
  <c r="D456" i="8"/>
  <c r="D288" i="8"/>
  <c r="D25" i="8"/>
  <c r="D119" i="8"/>
  <c r="D7" i="8"/>
  <c r="D268" i="8"/>
  <c r="D713" i="8"/>
  <c r="D534" i="8"/>
  <c r="D107" i="8"/>
  <c r="D641" i="8"/>
  <c r="D1175" i="8"/>
  <c r="D1768" i="8"/>
  <c r="D1960" i="8"/>
  <c r="D1941" i="8"/>
  <c r="D70" i="8"/>
  <c r="D454" i="8"/>
  <c r="D671" i="8"/>
  <c r="D1318" i="8"/>
  <c r="D385" i="8"/>
  <c r="D253" i="8"/>
  <c r="D162" i="8"/>
  <c r="D515" i="8"/>
  <c r="D1040" i="8"/>
  <c r="D1903" i="8"/>
  <c r="D1314" i="8"/>
  <c r="D1197" i="8"/>
  <c r="D1770" i="8"/>
  <c r="D1935" i="8"/>
  <c r="D1946" i="8"/>
  <c r="D171" i="8"/>
  <c r="D173" i="8"/>
  <c r="D1000" i="8"/>
  <c r="D1572" i="8"/>
  <c r="D1974" i="8"/>
  <c r="D2033" i="8"/>
  <c r="D1561" i="8"/>
  <c r="D1947" i="8"/>
  <c r="D318" i="8"/>
  <c r="D807" i="8"/>
  <c r="D320" i="8"/>
  <c r="D181" i="8"/>
  <c r="D306" i="8"/>
  <c r="D489" i="8"/>
  <c r="D142" i="8"/>
  <c r="D58" i="8"/>
  <c r="D720" i="8"/>
  <c r="D1170" i="8"/>
  <c r="D796" i="8"/>
  <c r="D1525" i="8"/>
  <c r="D985" i="8"/>
  <c r="D917" i="8"/>
  <c r="D168" i="8"/>
  <c r="D539" i="8"/>
  <c r="D1253" i="8"/>
  <c r="D1274" i="8"/>
  <c r="D811" i="8"/>
  <c r="D95" i="8"/>
  <c r="D74" i="8"/>
  <c r="D714" i="8"/>
  <c r="D1555" i="8"/>
  <c r="D2009" i="8"/>
  <c r="D1904" i="8"/>
  <c r="D1945" i="8"/>
  <c r="D670" i="8"/>
  <c r="D1075" i="8"/>
  <c r="D1631" i="8"/>
  <c r="D1637" i="8"/>
  <c r="D375" i="8"/>
  <c r="D1136" i="8"/>
  <c r="D219" i="8"/>
  <c r="D971" i="8"/>
  <c r="D1727" i="8"/>
  <c r="D2063" i="8"/>
  <c r="D1641" i="8"/>
  <c r="D416" i="8"/>
  <c r="D24" i="8"/>
  <c r="D42" i="8"/>
  <c r="D293" i="8"/>
  <c r="D4" i="8"/>
  <c r="D1773" i="8"/>
  <c r="D1799" i="8"/>
  <c r="D1898" i="8"/>
  <c r="D1956" i="8"/>
  <c r="D1893" i="8"/>
  <c r="D1647" i="8"/>
  <c r="D1262" i="8"/>
  <c r="D1736" i="8"/>
  <c r="D1624" i="8"/>
  <c r="D2045" i="8"/>
  <c r="D1831" i="8"/>
  <c r="D1552" i="8"/>
  <c r="D1632" i="8"/>
  <c r="D1564" i="8"/>
  <c r="D775" i="8"/>
  <c r="D1505" i="8"/>
  <c r="D1410" i="8"/>
  <c r="D1503" i="8"/>
  <c r="D1701" i="8"/>
  <c r="D1796" i="8"/>
  <c r="D1292" i="8"/>
  <c r="D1666" i="8"/>
  <c r="D1697" i="8"/>
  <c r="D2094" i="8"/>
  <c r="D2035" i="8"/>
  <c r="D2198" i="8"/>
  <c r="D2013" i="8"/>
  <c r="D1984" i="8"/>
  <c r="D2146" i="8"/>
  <c r="D1439" i="8"/>
  <c r="D1662" i="8"/>
  <c r="D2166" i="8"/>
  <c r="D2171" i="8"/>
  <c r="D2065" i="8"/>
  <c r="D2178" i="8"/>
  <c r="D1985" i="8"/>
  <c r="D2012" i="8"/>
  <c r="D1981" i="8"/>
  <c r="D2039" i="8"/>
  <c r="D1919" i="8"/>
  <c r="D2031" i="8"/>
  <c r="D627" i="8"/>
  <c r="D1667" i="8"/>
  <c r="D1606" i="8"/>
  <c r="D1657" i="8"/>
  <c r="D1676" i="8"/>
  <c r="E1518" i="8"/>
  <c r="E1739" i="8"/>
  <c r="E1912" i="8"/>
  <c r="E1850" i="8"/>
  <c r="E1104" i="8"/>
  <c r="E259" i="8"/>
  <c r="E475" i="8"/>
  <c r="E1497" i="8"/>
  <c r="E1803" i="8"/>
  <c r="E1980" i="8"/>
  <c r="E2027" i="8"/>
  <c r="E2123" i="8"/>
  <c r="E1272" i="8"/>
  <c r="E377" i="8"/>
  <c r="E607" i="8"/>
  <c r="E1341" i="8"/>
  <c r="E1388" i="8"/>
  <c r="E1467" i="8"/>
  <c r="E1630" i="8"/>
  <c r="E1963" i="8"/>
  <c r="E570" i="8"/>
  <c r="E338" i="8"/>
  <c r="E631" i="8"/>
  <c r="E978" i="8"/>
  <c r="E1375" i="8"/>
  <c r="E1315" i="8"/>
  <c r="E1450" i="8"/>
  <c r="E1642" i="8"/>
  <c r="E1278" i="8"/>
  <c r="E1124" i="8"/>
  <c r="E872" i="8"/>
  <c r="E693" i="8"/>
  <c r="E446" i="8"/>
  <c r="E370" i="8"/>
  <c r="E813" i="8"/>
  <c r="E858" i="8"/>
  <c r="E388" i="8"/>
  <c r="E549" i="8"/>
  <c r="E1283" i="8"/>
  <c r="E1352" i="8"/>
  <c r="E1235" i="8"/>
  <c r="E1045" i="8"/>
  <c r="E1346" i="8"/>
  <c r="E1790" i="8"/>
  <c r="E248" i="8"/>
  <c r="E110" i="8"/>
  <c r="E364" i="8"/>
  <c r="E1224" i="8"/>
  <c r="E1530" i="8"/>
  <c r="E1861" i="8"/>
  <c r="E1877" i="8"/>
  <c r="E1958" i="8"/>
  <c r="E1116" i="8"/>
  <c r="E986" i="8"/>
  <c r="E687" i="8"/>
  <c r="E551" i="8"/>
  <c r="E223" i="8"/>
  <c r="E204" i="8"/>
  <c r="E574" i="8"/>
  <c r="E1328" i="8"/>
  <c r="E1246" i="8"/>
  <c r="E652" i="8"/>
  <c r="E685" i="8"/>
  <c r="E1392" i="8"/>
  <c r="E1330" i="8"/>
  <c r="E1336" i="8"/>
  <c r="E1438" i="8"/>
  <c r="E1986" i="8"/>
  <c r="E1179" i="8"/>
  <c r="E923" i="8"/>
  <c r="E763" i="8"/>
  <c r="E409" i="8"/>
  <c r="E468" i="8"/>
  <c r="E569" i="8"/>
  <c r="E499" i="8"/>
  <c r="E622" i="8"/>
  <c r="E904" i="8"/>
  <c r="E584" i="8"/>
  <c r="E130" i="8"/>
  <c r="E6" i="8"/>
  <c r="E100" i="8"/>
  <c r="E402" i="8"/>
  <c r="E968" i="8"/>
  <c r="E1648" i="8"/>
  <c r="E822" i="8"/>
  <c r="E541" i="8"/>
  <c r="E144" i="8"/>
  <c r="E9" i="8"/>
  <c r="E210" i="8"/>
  <c r="E592" i="8"/>
  <c r="E1034" i="8"/>
  <c r="E1589" i="8"/>
  <c r="E951" i="8"/>
  <c r="E681" i="8"/>
  <c r="E321" i="8"/>
  <c r="E83" i="8"/>
  <c r="E135" i="8"/>
  <c r="E407" i="8"/>
  <c r="E729" i="8"/>
  <c r="E1181" i="8"/>
  <c r="E840" i="8"/>
  <c r="E628" i="8"/>
  <c r="E308" i="8"/>
  <c r="E215" i="8"/>
  <c r="E228" i="8"/>
  <c r="E487" i="8"/>
  <c r="E1295" i="8"/>
  <c r="E1664" i="8"/>
  <c r="E546" i="8"/>
  <c r="E1523" i="8"/>
  <c r="E1169" i="8"/>
  <c r="E1595" i="8"/>
  <c r="E1645" i="8"/>
  <c r="E1671" i="8"/>
  <c r="E1829" i="8"/>
  <c r="E1934" i="8"/>
  <c r="E1379" i="8"/>
  <c r="E1190" i="8"/>
  <c r="E1005" i="8"/>
  <c r="E660" i="8"/>
  <c r="E808" i="8"/>
  <c r="E1498" i="8"/>
  <c r="E1563" i="8"/>
  <c r="E1575" i="8"/>
  <c r="E1255" i="8"/>
  <c r="E1128" i="8"/>
  <c r="E935" i="8"/>
  <c r="E602" i="8"/>
  <c r="E227" i="8"/>
  <c r="E150" i="8"/>
  <c r="E497" i="8"/>
  <c r="E1264" i="8"/>
  <c r="E1189" i="8"/>
  <c r="E680" i="8"/>
  <c r="E378" i="8"/>
  <c r="E80" i="8"/>
  <c r="E19" i="8"/>
  <c r="E207" i="8"/>
  <c r="E611" i="8"/>
  <c r="E1649" i="8"/>
  <c r="E1006" i="8"/>
  <c r="E615" i="8"/>
  <c r="E712" i="8"/>
  <c r="E1670" i="8"/>
  <c r="E1411" i="8"/>
  <c r="E1303" i="8"/>
  <c r="E1527" i="8"/>
  <c r="E1285" i="8"/>
  <c r="E1186" i="8"/>
  <c r="E1002" i="8"/>
  <c r="E769" i="8"/>
  <c r="E443" i="8"/>
  <c r="E393" i="8"/>
  <c r="E330" i="8"/>
  <c r="E633" i="8"/>
  <c r="E1134" i="8"/>
  <c r="E1432" i="8"/>
  <c r="E1270" i="8"/>
  <c r="E1155" i="8"/>
  <c r="E1012" i="8"/>
  <c r="E903" i="8"/>
  <c r="E953" i="8"/>
  <c r="E958" i="8"/>
  <c r="E1515" i="8"/>
  <c r="E1484" i="8"/>
  <c r="E1365" i="8"/>
  <c r="E1021" i="8"/>
  <c r="E1030" i="8"/>
  <c r="E860" i="8"/>
  <c r="E947" i="8"/>
  <c r="E899" i="8"/>
  <c r="E998" i="8"/>
  <c r="E1403" i="8"/>
  <c r="E1243" i="8"/>
  <c r="E732" i="8"/>
  <c r="E538" i="8"/>
  <c r="E339" i="8"/>
  <c r="E491" i="8"/>
  <c r="E726" i="8"/>
  <c r="E1144" i="8"/>
  <c r="E1122" i="8"/>
  <c r="E252" i="8"/>
  <c r="E202" i="8"/>
  <c r="E266" i="8"/>
  <c r="E1311" i="8"/>
  <c r="E1176" i="8"/>
  <c r="E1755" i="8"/>
  <c r="E1886" i="8"/>
  <c r="E743" i="8"/>
  <c r="E479" i="8"/>
  <c r="E216" i="8"/>
  <c r="E172" i="8"/>
  <c r="E381" i="8"/>
  <c r="E624" i="8"/>
  <c r="E1244" i="8"/>
  <c r="E1870" i="8"/>
  <c r="E1364" i="8"/>
  <c r="E1218" i="8"/>
  <c r="E1117" i="8"/>
  <c r="E1007" i="8"/>
  <c r="E733" i="8"/>
  <c r="E762" i="8"/>
  <c r="E1094" i="8"/>
  <c r="E1160" i="8"/>
  <c r="E1306" i="8"/>
  <c r="E1152" i="8"/>
  <c r="E1018" i="8"/>
  <c r="E842" i="8"/>
  <c r="E683" i="8"/>
  <c r="E708" i="8"/>
  <c r="E1044" i="8"/>
  <c r="E1257" i="8"/>
  <c r="E1249" i="8"/>
  <c r="E1333" i="8"/>
  <c r="E1087" i="8"/>
  <c r="E972" i="8"/>
  <c r="E812" i="8"/>
  <c r="E821" i="8"/>
  <c r="E848" i="8"/>
  <c r="E1474" i="8"/>
  <c r="E1145" i="8"/>
  <c r="E1026" i="8"/>
  <c r="E771" i="8"/>
  <c r="E663" i="8"/>
  <c r="E892" i="8"/>
  <c r="E1358" i="8"/>
  <c r="E1603" i="8"/>
  <c r="E1245" i="8"/>
  <c r="E1198" i="8"/>
  <c r="E934" i="8"/>
  <c r="E737" i="8"/>
  <c r="E540" i="8"/>
  <c r="E563" i="8"/>
  <c r="E495" i="8"/>
  <c r="E804" i="8"/>
  <c r="E1263" i="8"/>
  <c r="E1183" i="8"/>
  <c r="E881" i="8"/>
  <c r="E606" i="8"/>
  <c r="E332" i="8"/>
  <c r="E368" i="8"/>
  <c r="E703" i="8"/>
  <c r="E1135" i="8"/>
  <c r="E1367" i="8"/>
  <c r="E1157" i="8"/>
  <c r="E1017" i="8"/>
  <c r="E864" i="8"/>
  <c r="E734" i="8"/>
  <c r="E928" i="8"/>
  <c r="E1590" i="8"/>
  <c r="E1562" i="8"/>
  <c r="E1734" i="8"/>
  <c r="E1711" i="8"/>
  <c r="E1488" i="8"/>
  <c r="E1471" i="8"/>
  <c r="E1644" i="8"/>
  <c r="E1302" i="8"/>
  <c r="E1126" i="8"/>
  <c r="E929" i="8"/>
  <c r="E791" i="8"/>
  <c r="E644" i="8"/>
  <c r="E980" i="8"/>
  <c r="E1854" i="8"/>
  <c r="E1477" i="8"/>
  <c r="E1376" i="8"/>
  <c r="E1226" i="8"/>
  <c r="E941" i="8"/>
  <c r="E721" i="8"/>
  <c r="E645" i="8"/>
  <c r="E825" i="8"/>
  <c r="E1430" i="8"/>
  <c r="E1387" i="8"/>
  <c r="E1319" i="8"/>
  <c r="E877" i="8"/>
  <c r="E697" i="8"/>
  <c r="E397" i="8"/>
  <c r="E387" i="8"/>
  <c r="E774" i="8"/>
  <c r="E1345" i="8"/>
  <c r="E1682" i="8"/>
  <c r="E1291" i="8"/>
  <c r="E1171" i="8"/>
  <c r="E1023" i="8"/>
  <c r="E800" i="8"/>
  <c r="E599" i="8"/>
  <c r="E779" i="8"/>
  <c r="E1567" i="8"/>
  <c r="E1491" i="8"/>
  <c r="E802" i="8"/>
  <c r="E614" i="8"/>
  <c r="E461" i="8"/>
  <c r="E441" i="8"/>
  <c r="E794" i="8"/>
  <c r="E1309" i="8"/>
  <c r="E1639" i="8"/>
  <c r="E1749" i="8"/>
  <c r="E1081" i="8"/>
  <c r="E533" i="8"/>
  <c r="E522" i="8"/>
  <c r="E484" i="8"/>
  <c r="E1560" i="8"/>
  <c r="E1617" i="8"/>
  <c r="E1735" i="8"/>
  <c r="E1964" i="8"/>
  <c r="E669" i="8"/>
  <c r="E629" i="8"/>
  <c r="E651" i="8"/>
  <c r="E824" i="8"/>
  <c r="E1495" i="8"/>
  <c r="E1556" i="8"/>
  <c r="E1653" i="8"/>
  <c r="E1772" i="8"/>
  <c r="E617" i="8"/>
  <c r="E542" i="8"/>
  <c r="E580" i="8"/>
  <c r="E1041" i="8"/>
  <c r="E1558" i="8"/>
  <c r="E1835" i="8"/>
  <c r="E1778" i="8"/>
  <c r="E1769" i="8"/>
  <c r="E667" i="8"/>
  <c r="E586" i="8"/>
  <c r="E568" i="8"/>
  <c r="E572" i="8"/>
  <c r="E1520" i="8"/>
  <c r="E1574" i="8"/>
  <c r="E1895" i="8"/>
  <c r="E1995" i="8"/>
  <c r="E1229" i="8"/>
  <c r="E1557" i="8"/>
  <c r="E1665" i="8"/>
  <c r="E1496" i="8"/>
  <c r="E1729" i="8"/>
  <c r="E1863" i="8"/>
  <c r="E1905" i="8"/>
  <c r="E1997" i="8"/>
  <c r="E1289" i="8"/>
  <c r="E1099" i="8"/>
  <c r="E765" i="8"/>
  <c r="E516" i="8"/>
  <c r="E656" i="8"/>
  <c r="E1108" i="8"/>
  <c r="E1580" i="8"/>
  <c r="E1845" i="8"/>
  <c r="E1301" i="8"/>
  <c r="E836" i="8"/>
  <c r="E621" i="8"/>
  <c r="E401" i="8"/>
  <c r="E425" i="8"/>
  <c r="E782" i="8"/>
  <c r="E1521" i="8"/>
  <c r="E1694" i="8"/>
  <c r="E898" i="8"/>
  <c r="E630" i="8"/>
  <c r="E424" i="8"/>
  <c r="E258" i="8"/>
  <c r="E323" i="8"/>
  <c r="E930" i="8"/>
  <c r="E1526" i="8"/>
  <c r="E1806" i="8"/>
  <c r="E887" i="8"/>
  <c r="E505" i="8"/>
  <c r="E290" i="8"/>
  <c r="E195" i="8"/>
  <c r="E365" i="8"/>
  <c r="E1056" i="8"/>
  <c r="E1517" i="8"/>
  <c r="E1646" i="8"/>
  <c r="E1357" i="8"/>
  <c r="E1232" i="8"/>
  <c r="E1620" i="8"/>
  <c r="E1822" i="8"/>
  <c r="E1858" i="8"/>
  <c r="E1885" i="8"/>
  <c r="E1921" i="8"/>
  <c r="E1999" i="8"/>
  <c r="E760" i="8"/>
  <c r="E553" i="8"/>
  <c r="E506" i="8"/>
  <c r="E376" i="8"/>
  <c r="E458" i="8"/>
  <c r="E295" i="8"/>
  <c r="E1307" i="8"/>
  <c r="E1396" i="8"/>
  <c r="E1290" i="8"/>
  <c r="E1027" i="8"/>
  <c r="E753" i="8"/>
  <c r="E473" i="8"/>
  <c r="E501" i="8"/>
  <c r="E1019" i="8"/>
  <c r="E1390" i="8"/>
  <c r="E1640" i="8"/>
  <c r="E1213" i="8"/>
  <c r="E863" i="8"/>
  <c r="E561" i="8"/>
  <c r="E329" i="8"/>
  <c r="E291" i="8"/>
  <c r="E711" i="8"/>
  <c r="E1602" i="8"/>
  <c r="E1259" i="8"/>
  <c r="E1570" i="8"/>
  <c r="E1612" i="8"/>
  <c r="E1720" i="8"/>
  <c r="E1529" i="8"/>
  <c r="E1759" i="8"/>
  <c r="E1728" i="8"/>
  <c r="E1961" i="8"/>
  <c r="E2064" i="8"/>
  <c r="E1731" i="8"/>
  <c r="E1761" i="8"/>
  <c r="E1427" i="8"/>
  <c r="E1424" i="8"/>
  <c r="E1650" i="8"/>
  <c r="E1758" i="8"/>
  <c r="E1843" i="8"/>
  <c r="E2041" i="8"/>
  <c r="E1217" i="8"/>
  <c r="E1048" i="8"/>
  <c r="E695" i="8"/>
  <c r="E427" i="8"/>
  <c r="E413" i="8"/>
  <c r="E793" i="8"/>
  <c r="E1286" i="8"/>
  <c r="E1684" i="8"/>
  <c r="E174" i="8"/>
  <c r="E357" i="8"/>
  <c r="E559" i="8"/>
  <c r="E1165" i="8"/>
  <c r="E1565" i="8"/>
  <c r="E1740" i="8"/>
  <c r="E1718" i="8"/>
  <c r="E2029" i="8"/>
  <c r="E1133" i="8"/>
  <c r="E831" i="8"/>
  <c r="E686" i="8"/>
  <c r="E362" i="8"/>
  <c r="E274" i="8"/>
  <c r="E517" i="8"/>
  <c r="E1510" i="8"/>
  <c r="E1788" i="8"/>
  <c r="E1158" i="8"/>
  <c r="E1054" i="8"/>
  <c r="E781" i="8"/>
  <c r="E451" i="8"/>
  <c r="E403" i="8"/>
  <c r="E759" i="8"/>
  <c r="E1382" i="8"/>
  <c r="E1679" i="8"/>
  <c r="E949" i="8"/>
  <c r="E620" i="8"/>
  <c r="E372" i="8"/>
  <c r="E192" i="8"/>
  <c r="E312" i="8"/>
  <c r="E853" i="8"/>
  <c r="E1607" i="8"/>
  <c r="E1569" i="8"/>
  <c r="E1483" i="8"/>
  <c r="E1184" i="8"/>
  <c r="E700" i="8"/>
  <c r="E445" i="8"/>
  <c r="E214" i="8"/>
  <c r="E299" i="8"/>
  <c r="E957" i="8"/>
  <c r="E1706" i="8"/>
  <c r="E1150" i="8"/>
  <c r="E1004" i="8"/>
  <c r="E576" i="8"/>
  <c r="E420" i="8"/>
  <c r="E300" i="8"/>
  <c r="E659" i="8"/>
  <c r="E1716" i="8"/>
  <c r="E1767" i="8"/>
  <c r="E1137" i="8"/>
  <c r="E834" i="8"/>
  <c r="E593" i="8"/>
  <c r="E389" i="8"/>
  <c r="E469" i="8"/>
  <c r="E1610" i="8"/>
  <c r="E1705" i="8"/>
  <c r="E1879" i="8"/>
  <c r="E867" i="8"/>
  <c r="E356" i="8"/>
  <c r="E87" i="8"/>
  <c r="E78" i="8"/>
  <c r="E583" i="8"/>
  <c r="E1046" i="8"/>
  <c r="E1840" i="8"/>
  <c r="E1976" i="8"/>
  <c r="E1031" i="8"/>
  <c r="E512" i="8"/>
  <c r="E178" i="8"/>
  <c r="E129" i="8"/>
  <c r="E196" i="8"/>
  <c r="E303" i="8"/>
  <c r="E741" i="8"/>
  <c r="E1931" i="8"/>
  <c r="E896" i="8"/>
  <c r="E604" i="8"/>
  <c r="E366" i="8"/>
  <c r="E125" i="8"/>
  <c r="E160" i="8"/>
  <c r="E933" i="8"/>
  <c r="E1874" i="8"/>
  <c r="E1800" i="8"/>
  <c r="E679" i="8"/>
  <c r="E704" i="8"/>
  <c r="E337" i="8"/>
  <c r="E271" i="8"/>
  <c r="E177" i="8"/>
  <c r="E996" i="8"/>
  <c r="E1271" i="8"/>
  <c r="E1889" i="8"/>
  <c r="E1277" i="8"/>
  <c r="E1029" i="8"/>
  <c r="E705" i="8"/>
  <c r="E477" i="8"/>
  <c r="E298" i="8"/>
  <c r="E790" i="8"/>
  <c r="E1216" i="8"/>
  <c r="E1780" i="8"/>
  <c r="E991" i="8"/>
  <c r="E1221" i="8"/>
  <c r="E944" i="8"/>
  <c r="E657" i="8"/>
  <c r="E279" i="8"/>
  <c r="E164" i="8"/>
  <c r="E550" i="8"/>
  <c r="E1871" i="8"/>
  <c r="E1230" i="8"/>
  <c r="E251" i="8"/>
  <c r="E239" i="8"/>
  <c r="E701" i="8"/>
  <c r="E1340" i="8"/>
  <c r="E1915" i="8"/>
  <c r="E2028" i="8"/>
  <c r="E2043" i="8"/>
  <c r="E943" i="8"/>
  <c r="E152" i="8"/>
  <c r="E44" i="8"/>
  <c r="E126" i="8"/>
  <c r="E225" i="8"/>
  <c r="E359" i="8"/>
  <c r="E1548" i="8"/>
  <c r="E1751" i="8"/>
  <c r="E1100" i="8"/>
  <c r="E820" i="8"/>
  <c r="E661" i="8"/>
  <c r="E235" i="8"/>
  <c r="E205" i="8"/>
  <c r="E442" i="8"/>
  <c r="E1743" i="8"/>
  <c r="E1996" i="8"/>
  <c r="E1130" i="8"/>
  <c r="E874" i="8"/>
  <c r="E826" i="8"/>
  <c r="E688" i="8"/>
  <c r="E345" i="8"/>
  <c r="E230" i="8"/>
  <c r="E455" i="8"/>
  <c r="E1601" i="8"/>
  <c r="E716" i="8"/>
  <c r="E260" i="8"/>
  <c r="E71" i="8"/>
  <c r="E510" i="8"/>
  <c r="E642" i="8"/>
  <c r="E950" i="8"/>
  <c r="E1827" i="8"/>
  <c r="E2030" i="8"/>
  <c r="E504" i="8"/>
  <c r="E520" i="8"/>
  <c r="E398" i="8"/>
  <c r="E138" i="8"/>
  <c r="E114" i="8"/>
  <c r="E453" i="8"/>
  <c r="E508" i="8"/>
  <c r="E1725" i="8"/>
  <c r="E857" i="8"/>
  <c r="E999" i="8"/>
  <c r="E297" i="8"/>
  <c r="E96" i="8"/>
  <c r="E256" i="8"/>
  <c r="E635" i="8"/>
  <c r="E1080" i="8"/>
  <c r="E2048" i="8"/>
  <c r="E93" i="8"/>
  <c r="E134" i="8"/>
  <c r="E45" i="8"/>
  <c r="E99" i="8"/>
  <c r="E392" i="8"/>
  <c r="E1125" i="8"/>
  <c r="E1776" i="8"/>
  <c r="E2016" i="8"/>
  <c r="E55" i="8"/>
  <c r="E73" i="8"/>
  <c r="E1148" i="8"/>
  <c r="E1201" i="8"/>
  <c r="E1431" i="8"/>
  <c r="E1371" i="8"/>
  <c r="E1260" i="8"/>
  <c r="E1924" i="8"/>
  <c r="E573" i="8"/>
  <c r="E861" i="8"/>
  <c r="E921" i="8"/>
  <c r="E945" i="8"/>
  <c r="E1626" i="8"/>
  <c r="E1816" i="8"/>
  <c r="E1892" i="8"/>
  <c r="E1965" i="8"/>
  <c r="E888" i="8"/>
  <c r="E342" i="8"/>
  <c r="E109" i="8"/>
  <c r="E190" i="8"/>
  <c r="E514" i="8"/>
  <c r="E1110" i="8"/>
  <c r="E1927" i="8"/>
  <c r="E1990" i="8"/>
  <c r="E47" i="8"/>
  <c r="E180" i="8"/>
  <c r="E326" i="8"/>
  <c r="E626" i="8"/>
  <c r="E1068" i="8"/>
  <c r="E1293" i="8"/>
  <c r="E1625" i="8"/>
  <c r="E2104" i="8"/>
  <c r="E1118" i="8"/>
  <c r="E665" i="8"/>
  <c r="E322" i="8"/>
  <c r="E86" i="8"/>
  <c r="E69" i="8"/>
  <c r="E476" i="8"/>
  <c r="E1204" i="8"/>
  <c r="E2111" i="8"/>
  <c r="E1143" i="8"/>
  <c r="E588" i="8"/>
  <c r="E77" i="8"/>
  <c r="E141" i="8"/>
  <c r="E662" i="8"/>
  <c r="E1442" i="8"/>
  <c r="E1792" i="8"/>
  <c r="E2097" i="8"/>
  <c r="E829" i="8"/>
  <c r="E526" i="8"/>
  <c r="E159" i="8"/>
  <c r="E163" i="8"/>
  <c r="E792" i="8"/>
  <c r="E1391" i="8"/>
  <c r="E1748" i="8"/>
  <c r="E2109" i="8"/>
  <c r="E1077" i="8"/>
  <c r="E833" i="8"/>
  <c r="E124" i="8"/>
  <c r="E201" i="8"/>
  <c r="E485" i="8"/>
  <c r="E845" i="8"/>
  <c r="E976" i="8"/>
  <c r="E1899" i="8"/>
  <c r="E798" i="8"/>
  <c r="E924" i="8"/>
  <c r="E374" i="8"/>
  <c r="E127" i="8"/>
  <c r="E276" i="8"/>
  <c r="E1350" i="8"/>
  <c r="E1766" i="8"/>
  <c r="E2143" i="8"/>
  <c r="E262" i="8"/>
  <c r="E382" i="8"/>
  <c r="E247" i="8"/>
  <c r="E351" i="8"/>
  <c r="E906" i="8"/>
  <c r="E1502" i="8"/>
  <c r="E1713" i="8"/>
  <c r="E1978" i="8"/>
  <c r="E103" i="8"/>
  <c r="E145" i="8"/>
  <c r="E817" i="8"/>
  <c r="E1568" i="8"/>
  <c r="E1869" i="8"/>
  <c r="E1922" i="8"/>
  <c r="E2080" i="8"/>
  <c r="E2149" i="8"/>
  <c r="E1436" i="8"/>
  <c r="E1215" i="8"/>
  <c r="E710" i="8"/>
  <c r="E220" i="8"/>
  <c r="E457" i="8"/>
  <c r="E1105" i="8"/>
  <c r="E1824" i="8"/>
  <c r="E2107" i="8"/>
  <c r="E730" i="8"/>
  <c r="E373" i="8"/>
  <c r="E278" i="8"/>
  <c r="E380" i="8"/>
  <c r="E1036" i="8"/>
  <c r="E1808" i="8"/>
  <c r="E2099" i="8"/>
  <c r="E2137" i="8"/>
  <c r="E719" i="8"/>
  <c r="E480" i="8"/>
  <c r="E158" i="8"/>
  <c r="E157" i="8"/>
  <c r="E682" i="8"/>
  <c r="E1577" i="8"/>
  <c r="E1794" i="8"/>
  <c r="E2105" i="8"/>
  <c r="E438" i="8"/>
  <c r="E548" i="8"/>
  <c r="E245" i="8"/>
  <c r="E52" i="8"/>
  <c r="E136" i="8"/>
  <c r="E702" i="8"/>
  <c r="E1723" i="8"/>
  <c r="E2108" i="8"/>
  <c r="E111" i="8"/>
  <c r="E97" i="8"/>
  <c r="E437" i="8"/>
  <c r="E740" i="8"/>
  <c r="E960" i="8"/>
  <c r="E1207" i="8"/>
  <c r="E1312" i="8"/>
  <c r="E1880" i="8"/>
  <c r="E587" i="8"/>
  <c r="E257" i="8"/>
  <c r="E81" i="8"/>
  <c r="E133" i="8"/>
  <c r="E772" i="8"/>
  <c r="E1469" i="8"/>
  <c r="E1741" i="8"/>
  <c r="E2036" i="8"/>
  <c r="E405" i="8"/>
  <c r="E194" i="8"/>
  <c r="E747" i="8"/>
  <c r="E1408" i="8"/>
  <c r="E1420" i="8"/>
  <c r="E1698" i="8"/>
  <c r="E1765" i="8"/>
  <c r="E1918" i="8"/>
  <c r="E183" i="8"/>
  <c r="E367" i="8"/>
  <c r="E1378" i="8"/>
  <c r="E1305" i="8"/>
  <c r="E1757" i="8"/>
  <c r="E1876" i="8"/>
  <c r="E1982" i="8"/>
  <c r="E2078" i="8"/>
  <c r="E56" i="8"/>
  <c r="E153" i="8"/>
  <c r="E240" i="8"/>
  <c r="E647" i="8"/>
  <c r="E969" i="8"/>
  <c r="E1599" i="8"/>
  <c r="E1930" i="8"/>
  <c r="E2015" i="8"/>
  <c r="E234" i="8"/>
  <c r="E170" i="8"/>
  <c r="E98" i="8"/>
  <c r="E198" i="8"/>
  <c r="E749" i="8"/>
  <c r="E1417" i="8"/>
  <c r="E1726" i="8"/>
  <c r="E2069" i="8"/>
  <c r="E189" i="8"/>
  <c r="E53" i="8"/>
  <c r="E32" i="8"/>
  <c r="E184" i="8"/>
  <c r="E654" i="8"/>
  <c r="E1377" i="8"/>
  <c r="E1673" i="8"/>
  <c r="E1988" i="8"/>
  <c r="E690" i="8"/>
  <c r="E379" i="8"/>
  <c r="E212" i="8"/>
  <c r="E156" i="8"/>
  <c r="E530" i="8"/>
  <c r="E1193" i="8"/>
  <c r="E1616" i="8"/>
  <c r="E2093" i="8"/>
  <c r="E431" i="8"/>
  <c r="E217" i="8"/>
  <c r="E187" i="8"/>
  <c r="E581" i="8"/>
  <c r="E1609" i="8"/>
  <c r="E1957" i="8"/>
  <c r="E2113" i="8"/>
  <c r="E2133" i="8"/>
  <c r="E76" i="8"/>
  <c r="E315" i="8"/>
  <c r="E795" i="8"/>
  <c r="E1659" i="8"/>
  <c r="E1789" i="8"/>
  <c r="E1868" i="8"/>
  <c r="E1774" i="8"/>
  <c r="E2088" i="8"/>
  <c r="E75" i="8"/>
  <c r="E191" i="8"/>
  <c r="E283" i="8"/>
  <c r="E623" i="8"/>
  <c r="E1149" i="8"/>
  <c r="E1771" i="8"/>
  <c r="E1809" i="8"/>
  <c r="E1920" i="8"/>
  <c r="E1174" i="8"/>
  <c r="E591" i="8"/>
  <c r="E167" i="8"/>
  <c r="E106" i="8"/>
  <c r="E465" i="8"/>
  <c r="E1014" i="8"/>
  <c r="E1621" i="8"/>
  <c r="E1994" i="8"/>
  <c r="E440" i="8"/>
  <c r="E575" i="8"/>
  <c r="E1188" i="8"/>
  <c r="E1802" i="8"/>
  <c r="E1752" i="8"/>
  <c r="E1793" i="8"/>
  <c r="E2003" i="8"/>
  <c r="E2103" i="8"/>
  <c r="E500" i="8"/>
  <c r="E131" i="8"/>
  <c r="E118" i="8"/>
  <c r="E61" i="8"/>
  <c r="E254" i="8"/>
  <c r="E846" i="8"/>
  <c r="E1369" i="8"/>
  <c r="E1902" i="8"/>
  <c r="E361" i="8"/>
  <c r="E90" i="8"/>
  <c r="E91" i="8"/>
  <c r="E650" i="8"/>
  <c r="E1114" i="8"/>
  <c r="E1593" i="8"/>
  <c r="E1940" i="8"/>
  <c r="E1998" i="8"/>
  <c r="E281" i="8"/>
  <c r="E67" i="8"/>
  <c r="E36" i="8"/>
  <c r="E270" i="8"/>
  <c r="E527" i="8"/>
  <c r="E1559" i="8"/>
  <c r="E1866" i="8"/>
  <c r="E2051" i="8"/>
  <c r="E643" i="8"/>
  <c r="E121" i="8"/>
  <c r="E34" i="8"/>
  <c r="E20" i="8"/>
  <c r="E147" i="8"/>
  <c r="E699" i="8"/>
  <c r="E1288" i="8"/>
  <c r="E1844" i="8"/>
  <c r="E738" i="8"/>
  <c r="E346" i="8"/>
  <c r="E148" i="8"/>
  <c r="E31" i="8"/>
  <c r="E406" i="8"/>
  <c r="E828" i="8"/>
  <c r="E1268" i="8"/>
  <c r="E1622" i="8"/>
  <c r="E511" i="8"/>
  <c r="E72" i="8"/>
  <c r="E37" i="8"/>
  <c r="E275" i="8"/>
  <c r="E547" i="8"/>
  <c r="E1587" i="8"/>
  <c r="E1883" i="8"/>
  <c r="E2011" i="8"/>
  <c r="E412" i="8"/>
  <c r="E48" i="8"/>
  <c r="E68" i="8"/>
  <c r="E605" i="8"/>
  <c r="E952" i="8"/>
  <c r="E1297" i="8"/>
  <c r="E1553" i="8"/>
  <c r="E2026" i="8"/>
  <c r="E577" i="8"/>
  <c r="E244" i="8"/>
  <c r="E23" i="8"/>
  <c r="E404" i="8"/>
  <c r="E987" i="8"/>
  <c r="E1598" i="8"/>
  <c r="E1585" i="8"/>
  <c r="E1909" i="8"/>
  <c r="E529" i="8"/>
  <c r="E182" i="8"/>
  <c r="E66" i="8"/>
  <c r="E16" i="8"/>
  <c r="E38" i="8"/>
  <c r="E464" i="8"/>
  <c r="E1524" i="8"/>
  <c r="E1884" i="8"/>
  <c r="E296" i="8"/>
  <c r="E54" i="8"/>
  <c r="E13" i="8"/>
  <c r="E65" i="8"/>
  <c r="E408" i="8"/>
  <c r="E1028" i="8"/>
  <c r="E1588" i="8"/>
  <c r="E1846" i="8"/>
  <c r="E564" i="8"/>
  <c r="E226" i="8"/>
  <c r="E60" i="8"/>
  <c r="E14" i="8"/>
  <c r="E85" i="8"/>
  <c r="E963" i="8"/>
  <c r="E1084" i="8"/>
  <c r="E1532" i="8"/>
  <c r="E249" i="8"/>
  <c r="E112" i="8"/>
  <c r="E62" i="8"/>
  <c r="E188" i="8"/>
  <c r="E677" i="8"/>
  <c r="E1163" i="8"/>
  <c r="E1681" i="8"/>
  <c r="E2017" i="8"/>
  <c r="E777" i="8"/>
  <c r="E531" i="8"/>
  <c r="E15" i="8"/>
  <c r="E79" i="8"/>
  <c r="E395" i="8"/>
  <c r="E852" i="8"/>
  <c r="E1950" i="8"/>
  <c r="E2073" i="8"/>
  <c r="E1636" i="8"/>
  <c r="E1732" i="8"/>
  <c r="E1813" i="8"/>
  <c r="E1826" i="8"/>
  <c r="E1901" i="8"/>
  <c r="E1797" i="8"/>
  <c r="E1807" i="8"/>
  <c r="E2037" i="8"/>
  <c r="E1473" i="8"/>
  <c r="E1361" i="8"/>
  <c r="E1704" i="8"/>
  <c r="E1838" i="8"/>
  <c r="E1882" i="8"/>
  <c r="E1819" i="8"/>
  <c r="E1890" i="8"/>
  <c r="E1942" i="8"/>
  <c r="E1073" i="8"/>
  <c r="E843" i="8"/>
  <c r="E243" i="8"/>
  <c r="E40" i="8"/>
  <c r="E101" i="8"/>
  <c r="E399" i="8"/>
  <c r="E746" i="8"/>
  <c r="E1476" i="8"/>
  <c r="E1061" i="8"/>
  <c r="E766" i="8"/>
  <c r="E269" i="8"/>
  <c r="E39" i="8"/>
  <c r="E88" i="8"/>
  <c r="E292" i="8"/>
  <c r="E788" i="8"/>
  <c r="E1618" i="8"/>
  <c r="E1015" i="8"/>
  <c r="E696" i="8"/>
  <c r="E340" i="8"/>
  <c r="E122" i="8"/>
  <c r="E166" i="8"/>
  <c r="E545" i="8"/>
  <c r="E778" i="8"/>
  <c r="E1418" i="8"/>
  <c r="E893" i="8"/>
  <c r="E596" i="8"/>
  <c r="E286" i="8"/>
  <c r="E50" i="8"/>
  <c r="E104" i="8"/>
  <c r="E333" i="8"/>
  <c r="E751" i="8"/>
  <c r="E1480" i="8"/>
  <c r="E897" i="8"/>
  <c r="E849" i="8"/>
  <c r="E1492" i="8"/>
  <c r="E1724" i="8"/>
  <c r="E1823" i="8"/>
  <c r="E1834" i="8"/>
  <c r="E1873" i="8"/>
  <c r="E2021" i="8"/>
  <c r="E875" i="8"/>
  <c r="E488" i="8"/>
  <c r="E211" i="8"/>
  <c r="E28" i="8"/>
  <c r="E128" i="8"/>
  <c r="E481" i="8"/>
  <c r="E981" i="8"/>
  <c r="E1539" i="8"/>
  <c r="E819" i="8"/>
  <c r="E470" i="8"/>
  <c r="E179" i="8"/>
  <c r="E51" i="8"/>
  <c r="E8" i="8"/>
  <c r="E415" i="8"/>
  <c r="E1433" i="8"/>
  <c r="E1747" i="8"/>
  <c r="E1050" i="8"/>
  <c r="E797" i="8"/>
  <c r="E428" i="8"/>
  <c r="E277" i="8"/>
  <c r="E82" i="8"/>
  <c r="E139" i="8"/>
  <c r="E916" i="8"/>
  <c r="E1470" i="8"/>
  <c r="E1060" i="8"/>
  <c r="E456" i="8"/>
  <c r="E288" i="8"/>
  <c r="E25" i="8"/>
  <c r="E165" i="8"/>
  <c r="E507" i="8"/>
  <c r="E984" i="8"/>
  <c r="E1678" i="8"/>
  <c r="E913" i="8"/>
  <c r="E411" i="8"/>
  <c r="E119" i="8"/>
  <c r="E7" i="8"/>
  <c r="E268" i="8"/>
  <c r="E713" i="8"/>
  <c r="E1146" i="8"/>
  <c r="E1600" i="8"/>
  <c r="E534" i="8"/>
  <c r="E107" i="8"/>
  <c r="E10" i="8"/>
  <c r="E302" i="8"/>
  <c r="E641" i="8"/>
  <c r="E1175" i="8"/>
  <c r="E1768" i="8"/>
  <c r="E1960" i="8"/>
  <c r="E1634" i="8"/>
  <c r="E1738" i="8"/>
  <c r="E1685" i="8"/>
  <c r="E1764" i="8"/>
  <c r="E1782" i="8"/>
  <c r="E1815" i="8"/>
  <c r="E1941" i="8"/>
  <c r="E2050" i="8"/>
  <c r="E909" i="8"/>
  <c r="E905" i="8"/>
  <c r="E1446" i="8"/>
  <c r="E1702" i="8"/>
  <c r="E1721" i="8"/>
  <c r="E1777" i="8"/>
  <c r="E1791" i="8"/>
  <c r="E1891" i="8"/>
  <c r="E70" i="8"/>
  <c r="E454" i="8"/>
  <c r="E671" i="8"/>
  <c r="E1318" i="8"/>
  <c r="E1688" i="8"/>
  <c r="E1847" i="8"/>
  <c r="E2008" i="8"/>
  <c r="E2005" i="8"/>
  <c r="E1121" i="8"/>
  <c r="E603" i="8"/>
  <c r="E385" i="8"/>
  <c r="E253" i="8"/>
  <c r="E105" i="8"/>
  <c r="E282" i="8"/>
  <c r="E1020" i="8"/>
  <c r="E1586" i="8"/>
  <c r="E982" i="8"/>
  <c r="E632" i="8"/>
  <c r="E123" i="8"/>
  <c r="E22" i="8"/>
  <c r="E162" i="8"/>
  <c r="E515" i="8"/>
  <c r="E1040" i="8"/>
  <c r="E1903" i="8"/>
  <c r="E878" i="8"/>
  <c r="E430" i="8"/>
  <c r="E193" i="8"/>
  <c r="E175" i="8"/>
  <c r="E92" i="8"/>
  <c r="E462" i="8"/>
  <c r="E1314" i="8"/>
  <c r="E1709" i="8"/>
  <c r="E757" i="8"/>
  <c r="E608" i="8"/>
  <c r="E149" i="8"/>
  <c r="E49" i="8"/>
  <c r="E161" i="8"/>
  <c r="E799" i="8"/>
  <c r="E1332" i="8"/>
  <c r="E1811" i="8"/>
  <c r="E1197" i="8"/>
  <c r="E1770" i="8"/>
  <c r="E1935" i="8"/>
  <c r="E1946" i="8"/>
  <c r="E1943" i="8"/>
  <c r="E1971" i="8"/>
  <c r="E2059" i="8"/>
  <c r="E2075" i="8"/>
  <c r="E1003" i="8"/>
  <c r="E400" i="8"/>
  <c r="E171" i="8"/>
  <c r="E173" i="8"/>
  <c r="E601" i="8"/>
  <c r="E938" i="8"/>
  <c r="E1435" i="8"/>
  <c r="E1878" i="8"/>
  <c r="E417" i="8"/>
  <c r="E176" i="8"/>
  <c r="E46" i="8"/>
  <c r="E117" i="8"/>
  <c r="E1000" i="8"/>
  <c r="E1572" i="8"/>
  <c r="E1974" i="8"/>
  <c r="E2033" i="8"/>
  <c r="E841" i="8"/>
  <c r="E232" i="8"/>
  <c r="E30" i="8"/>
  <c r="E21" i="8"/>
  <c r="E261" i="8"/>
  <c r="E736" i="8"/>
  <c r="E1561" i="8"/>
  <c r="E1947" i="8"/>
  <c r="E318" i="8"/>
  <c r="E64" i="8"/>
  <c r="E5" i="8"/>
  <c r="E102" i="8"/>
  <c r="E1025" i="8"/>
  <c r="E1689" i="8"/>
  <c r="E1801" i="8"/>
  <c r="E2061" i="8"/>
  <c r="E807" i="8"/>
  <c r="E320" i="8"/>
  <c r="E181" i="8"/>
  <c r="E306" i="8"/>
  <c r="E391" i="8"/>
  <c r="E979" i="8"/>
  <c r="E1584" i="8"/>
  <c r="E1862" i="8"/>
  <c r="E348" i="8"/>
  <c r="E739" i="8"/>
  <c r="E489" i="8"/>
  <c r="E209" i="8"/>
  <c r="E600" i="8"/>
  <c r="E977" i="8"/>
  <c r="E1652" i="8"/>
  <c r="E1929" i="8"/>
  <c r="E625" i="8"/>
  <c r="E856" i="8"/>
  <c r="E649" i="8"/>
  <c r="E264" i="8"/>
  <c r="E142" i="8"/>
  <c r="E58" i="8"/>
  <c r="E720" i="8"/>
  <c r="E1170" i="8"/>
  <c r="E263" i="8"/>
  <c r="E218" i="8"/>
  <c r="E237" i="8"/>
  <c r="E314" i="8"/>
  <c r="E113" i="8"/>
  <c r="E715" i="8"/>
  <c r="E796" i="8"/>
  <c r="E1525" i="8"/>
  <c r="E985" i="8"/>
  <c r="E917" i="8"/>
  <c r="E862" i="8"/>
  <c r="E639" i="8"/>
  <c r="E168" i="8"/>
  <c r="E17" i="8"/>
  <c r="E229" i="8"/>
  <c r="E1955" i="8"/>
  <c r="E539" i="8"/>
  <c r="E1253" i="8"/>
  <c r="E1274" i="8"/>
  <c r="E811" i="8"/>
  <c r="E140" i="8"/>
  <c r="E12" i="8"/>
  <c r="E94" i="8"/>
  <c r="E1814" i="8"/>
  <c r="E1107" i="8"/>
  <c r="E327" i="8"/>
  <c r="E95" i="8"/>
  <c r="E35" i="8"/>
  <c r="E383" i="8"/>
  <c r="E1281" i="8"/>
  <c r="E1906" i="8"/>
  <c r="E2022" i="8"/>
  <c r="E835" i="8"/>
  <c r="E519" i="8"/>
  <c r="E197" i="8"/>
  <c r="E26" i="8"/>
  <c r="E74" i="8"/>
  <c r="E714" i="8"/>
  <c r="E1555" i="8"/>
  <c r="E2009" i="8"/>
  <c r="E806" i="8"/>
  <c r="E558" i="8"/>
  <c r="E267" i="8"/>
  <c r="E57" i="8"/>
  <c r="E208" i="8"/>
  <c r="E876" i="8"/>
  <c r="E1904" i="8"/>
  <c r="E1945" i="8"/>
  <c r="E723" i="8"/>
  <c r="E206" i="8"/>
  <c r="E120" i="8"/>
  <c r="E33" i="8"/>
  <c r="E355" i="8"/>
  <c r="E1227" i="8"/>
  <c r="E1798" i="8"/>
  <c r="E1888" i="8"/>
  <c r="E670" i="8"/>
  <c r="E1075" i="8"/>
  <c r="E1631" i="8"/>
  <c r="E1637" i="8"/>
  <c r="E1781" i="8"/>
  <c r="E1865" i="8"/>
  <c r="E1962" i="8"/>
  <c r="E2100" i="8"/>
  <c r="E59" i="8"/>
  <c r="E89" i="8"/>
  <c r="E375" i="8"/>
  <c r="E1136" i="8"/>
  <c r="E1182" i="8"/>
  <c r="E1582" i="8"/>
  <c r="E1853" i="8"/>
  <c r="E2054" i="8"/>
  <c r="E350" i="8"/>
  <c r="E354" i="8"/>
  <c r="E84" i="8"/>
  <c r="E11" i="8"/>
  <c r="E219" i="8"/>
  <c r="E971" i="8"/>
  <c r="E1727" i="8"/>
  <c r="E2063" i="8"/>
  <c r="E493" i="8"/>
  <c r="E222" i="8"/>
  <c r="E18" i="8"/>
  <c r="E116" i="8"/>
  <c r="E664" i="8"/>
  <c r="E1384" i="8"/>
  <c r="E1641" i="8"/>
  <c r="E2086" i="8"/>
  <c r="E785" i="8"/>
  <c r="E343" i="8"/>
  <c r="E29" i="8"/>
  <c r="E43" i="8"/>
  <c r="E450" i="8"/>
  <c r="E965" i="8"/>
  <c r="E1578" i="8"/>
  <c r="E1938" i="8"/>
  <c r="E416" i="8"/>
  <c r="E24" i="8"/>
  <c r="E42" i="8"/>
  <c r="E293" i="8"/>
  <c r="E818" i="8"/>
  <c r="E1458" i="8"/>
  <c r="E1910" i="8"/>
  <c r="E1973" i="8"/>
  <c r="E472" i="8"/>
  <c r="E146" i="8"/>
  <c r="E4" i="8"/>
  <c r="E63" i="8"/>
  <c r="E566" i="8"/>
  <c r="E1535" i="8"/>
  <c r="E1855" i="8"/>
  <c r="E1936" i="8"/>
  <c r="E1680" i="8"/>
  <c r="E1911" i="8"/>
  <c r="E1699" i="8"/>
  <c r="E1860" i="8"/>
  <c r="E1773" i="8"/>
  <c r="E1799" i="8"/>
  <c r="E1898" i="8"/>
  <c r="E1956" i="8"/>
  <c r="E1513" i="8"/>
  <c r="E1537" i="8"/>
  <c r="E1546" i="8"/>
  <c r="E1633" i="8"/>
  <c r="E1643" i="8"/>
  <c r="E1756" i="8"/>
  <c r="E1893" i="8"/>
  <c r="E1851" i="8"/>
  <c r="E1686" i="8"/>
  <c r="E1663" i="8"/>
  <c r="E1693" i="8"/>
  <c r="E1655" i="8"/>
  <c r="E1804" i="8"/>
  <c r="E1817" i="8"/>
  <c r="E1887" i="8"/>
  <c r="E1753" i="8"/>
  <c r="E1647" i="8"/>
  <c r="E1262" i="8"/>
  <c r="E1736" i="8"/>
  <c r="E1624" i="8"/>
  <c r="E1635" i="8"/>
  <c r="E1597" i="8"/>
  <c r="E1733" i="8"/>
  <c r="E1805" i="8"/>
  <c r="E1613" i="8"/>
  <c r="E1353" i="8"/>
  <c r="E2045" i="8"/>
  <c r="E1831" i="8"/>
  <c r="E1785" i="8"/>
  <c r="E1696" i="8"/>
  <c r="E1522" i="8"/>
  <c r="E1178" i="8"/>
  <c r="E1422" i="8"/>
  <c r="E1516" i="8"/>
  <c r="E2046" i="8"/>
  <c r="E1627" i="8"/>
  <c r="E1552" i="8"/>
  <c r="E1632" i="8"/>
  <c r="E1564" i="8"/>
  <c r="E775" i="8"/>
  <c r="E1717" i="8"/>
  <c r="E1881" i="8"/>
  <c r="E1220" i="8"/>
  <c r="E1583" i="8"/>
  <c r="E1276" i="8"/>
  <c r="E1211" i="8"/>
  <c r="E1505" i="8"/>
  <c r="E1202" i="8"/>
  <c r="E1459" i="8"/>
  <c r="E1783" i="8"/>
  <c r="E2055" i="8"/>
  <c r="E1571" i="8"/>
  <c r="E692" i="8"/>
  <c r="E1463" i="8"/>
  <c r="E1506" i="8"/>
  <c r="E1335" i="8"/>
  <c r="E1410" i="8"/>
  <c r="E1503" i="8"/>
  <c r="E1701" i="8"/>
  <c r="E1796" i="8"/>
  <c r="E1407" i="8"/>
  <c r="E1591" i="8"/>
  <c r="E1359" i="8"/>
  <c r="E1608" i="8"/>
  <c r="E1900" i="8"/>
  <c r="E1236" i="8"/>
  <c r="E1292" i="8"/>
  <c r="E1413" i="8"/>
  <c r="E1592" i="8"/>
  <c r="E1472" i="8"/>
  <c r="E1545" i="8"/>
  <c r="E1708" i="8"/>
  <c r="E742" i="8"/>
  <c r="E1011" i="8"/>
  <c r="E1489" i="8"/>
  <c r="E1043" i="8"/>
  <c r="E1666" i="8"/>
  <c r="E1697" i="8"/>
  <c r="E2094" i="8"/>
  <c r="E2035" i="8"/>
  <c r="E1842" i="8"/>
  <c r="E2145" i="8"/>
  <c r="E2170" i="8"/>
  <c r="E2184" i="8"/>
  <c r="E2198" i="8"/>
  <c r="E2081" i="8"/>
  <c r="E2013" i="8"/>
  <c r="E1984" i="8"/>
  <c r="E2146" i="8"/>
  <c r="E2154" i="8"/>
  <c r="E2169" i="8"/>
  <c r="E2183" i="8"/>
  <c r="E1989" i="8"/>
  <c r="E2018" i="8"/>
  <c r="E2074" i="8"/>
  <c r="E2087" i="8"/>
  <c r="E1439" i="8"/>
  <c r="E1662" i="8"/>
  <c r="E2166" i="8"/>
  <c r="E2171" i="8"/>
  <c r="E2177" i="8"/>
  <c r="E2190" i="8"/>
  <c r="E2193" i="8"/>
  <c r="E2083" i="8"/>
  <c r="E1406" i="8"/>
  <c r="E1629" i="8"/>
  <c r="E2065" i="8"/>
  <c r="E2178" i="8"/>
  <c r="E2186" i="8"/>
  <c r="E2119" i="8"/>
  <c r="E2060" i="8"/>
  <c r="E2038" i="8"/>
  <c r="E1541" i="8"/>
  <c r="E1722" i="8"/>
  <c r="E1848" i="8"/>
  <c r="E1925" i="8"/>
  <c r="E1985" i="8"/>
  <c r="E2012" i="8"/>
  <c r="E1981" i="8"/>
  <c r="E2039" i="8"/>
  <c r="E554" i="8"/>
  <c r="E725" i="8"/>
  <c r="E1462" i="8"/>
  <c r="E1715" i="8"/>
  <c r="E1841" i="8"/>
  <c r="E1821" i="8"/>
  <c r="E1919" i="8"/>
  <c r="E2031" i="8"/>
  <c r="E390" i="8"/>
  <c r="E562" i="8"/>
  <c r="E1614" i="8"/>
  <c r="E1760" i="8"/>
  <c r="E1795" i="8"/>
  <c r="E1857" i="8"/>
  <c r="E1952" i="8"/>
  <c r="E2047" i="8"/>
  <c r="E627" i="8"/>
  <c r="E1667" i="8"/>
  <c r="E1606" i="8"/>
  <c r="E1657" i="8"/>
  <c r="E1787" i="8"/>
  <c r="E1908" i="8"/>
  <c r="E1951" i="8"/>
  <c r="E1987" i="8"/>
  <c r="E1690" i="8"/>
  <c r="E1628" i="8"/>
  <c r="E1676" i="8"/>
  <c r="E1700" i="8"/>
  <c r="E1744" i="8"/>
  <c r="E1784" i="8"/>
  <c r="E1856" i="8"/>
  <c r="E1542" i="8"/>
  <c r="E1008" i="8"/>
  <c r="E423" i="8"/>
  <c r="E1258" i="8"/>
  <c r="D1258" i="8"/>
  <c r="E1661" i="8"/>
  <c r="E1389" i="8"/>
  <c r="E1464" i="8"/>
  <c r="E358" i="8"/>
  <c r="E289" i="8"/>
  <c r="E353" i="8"/>
  <c r="E324" i="8"/>
  <c r="E932" i="8"/>
  <c r="E1554" i="8"/>
  <c r="E590" i="8"/>
  <c r="D590" i="8"/>
  <c r="E137" i="8"/>
  <c r="E115" i="8"/>
  <c r="E352" i="8"/>
  <c r="E610" i="8"/>
  <c r="E912" i="8"/>
  <c r="E1092" i="8"/>
  <c r="E1429" i="8"/>
  <c r="E847" i="8"/>
  <c r="E155" i="8"/>
  <c r="E41" i="8"/>
  <c r="E213" i="8"/>
  <c r="E384" i="8"/>
  <c r="E920" i="8"/>
  <c r="E1141" i="8"/>
  <c r="E1475" i="8"/>
  <c r="E589" i="8"/>
  <c r="E186" i="8"/>
  <c r="E200" i="8"/>
  <c r="E521" i="8"/>
  <c r="E919" i="8"/>
  <c r="E1064" i="8"/>
  <c r="E1304" i="8"/>
  <c r="E1691" i="8"/>
  <c r="E994" i="8"/>
  <c r="E518" i="8"/>
  <c r="E185" i="8"/>
  <c r="E27" i="8"/>
  <c r="E231" i="8"/>
  <c r="E536" i="8"/>
  <c r="E907" i="8"/>
  <c r="E1949" i="8"/>
  <c r="E1832" i="8"/>
  <c r="E937" i="8"/>
  <c r="E169" i="8"/>
  <c r="E108" i="8"/>
  <c r="E307" i="8"/>
  <c r="E594" i="8"/>
  <c r="E954" i="8"/>
  <c r="E1660" i="8"/>
  <c r="E1538" i="8"/>
  <c r="E801" i="8"/>
  <c r="E224" i="8"/>
  <c r="E132" i="8"/>
  <c r="E294" i="8"/>
  <c r="E619" i="8"/>
  <c r="E1074" i="8"/>
  <c r="E2006" i="8"/>
  <c r="E1897" i="8"/>
  <c r="E1907" i="8"/>
  <c r="E1668" i="8"/>
  <c r="E1533" i="8"/>
  <c r="E1478" i="8"/>
  <c r="E386" i="8"/>
  <c r="E1119" i="8"/>
  <c r="E2049" i="8"/>
  <c r="E1959" i="8"/>
  <c r="E1864" i="8"/>
  <c r="E1638" i="8"/>
  <c r="E1465" i="8"/>
  <c r="E199" i="8"/>
  <c r="E494" i="8"/>
  <c r="E648" i="8"/>
  <c r="E1836" i="8"/>
  <c r="E1928" i="8"/>
  <c r="E1786" i="8"/>
  <c r="E1703" i="8"/>
  <c r="E787" i="8"/>
  <c r="E304" i="8"/>
  <c r="E236" i="8"/>
  <c r="E598" i="8"/>
  <c r="E1675" i="8"/>
  <c r="E722" i="8"/>
  <c r="E272" i="8"/>
  <c r="E255" i="8"/>
  <c r="E463" i="8"/>
  <c r="D463" i="8"/>
  <c r="E776" i="8"/>
  <c r="E989" i="8"/>
  <c r="E1159" i="8"/>
  <c r="E1875" i="8"/>
  <c r="E1576" i="8"/>
  <c r="E1022" i="8"/>
  <c r="E396" i="8"/>
  <c r="E265" i="8"/>
  <c r="D265" i="8"/>
  <c r="E426" i="8"/>
  <c r="E678" i="8"/>
  <c r="E1063" i="8"/>
  <c r="E2131" i="8"/>
  <c r="E2024" i="8"/>
  <c r="E2057" i="8"/>
  <c r="E1967" i="8"/>
  <c r="E1932" i="8"/>
  <c r="E1944" i="8"/>
  <c r="E509" i="8"/>
  <c r="E914" i="8"/>
  <c r="E2019" i="8"/>
  <c r="E1937" i="8"/>
  <c r="E1449" i="8"/>
  <c r="E728" i="8"/>
  <c r="E316" i="8"/>
  <c r="E459" i="8"/>
  <c r="E555" i="8"/>
  <c r="E901" i="8"/>
  <c r="E1852" i="8"/>
  <c r="E1237" i="8"/>
  <c r="E432" i="8"/>
  <c r="E143" i="8"/>
  <c r="E242" i="8"/>
  <c r="E532" i="8"/>
  <c r="E890" i="8"/>
  <c r="E1172" i="8"/>
  <c r="E1923" i="8"/>
  <c r="E1339" i="8"/>
  <c r="E735" i="8"/>
  <c r="E238" i="8"/>
  <c r="E319" i="8"/>
  <c r="D319" i="8"/>
  <c r="E585" i="8"/>
  <c r="E882" i="8"/>
  <c r="E1167" i="8"/>
  <c r="E2148" i="8"/>
  <c r="E1233" i="8"/>
  <c r="E675" i="8"/>
  <c r="E752" i="8"/>
  <c r="E709" i="8"/>
  <c r="E786" i="8"/>
  <c r="E744" i="8"/>
  <c r="E1088" i="8"/>
  <c r="E2159" i="8"/>
  <c r="E2090" i="8"/>
  <c r="E2032" i="8"/>
  <c r="E1992" i="8"/>
  <c r="E2007" i="8"/>
  <c r="E805" i="8"/>
  <c r="E478" i="8"/>
  <c r="E880" i="8"/>
  <c r="E2140" i="8"/>
  <c r="E1991" i="8"/>
  <c r="E2042" i="8"/>
  <c r="E1719" i="8"/>
  <c r="E1494" i="8"/>
  <c r="E1057" i="8"/>
  <c r="E691" i="8"/>
  <c r="E436" i="8"/>
  <c r="E2122" i="8"/>
  <c r="E2053" i="8"/>
  <c r="E1611" i="8"/>
  <c r="E768" i="8"/>
  <c r="E363" i="8"/>
  <c r="E347" i="8"/>
  <c r="E492" i="8"/>
  <c r="E908" i="8"/>
  <c r="E2179" i="8"/>
  <c r="E2189" i="8"/>
  <c r="E1837" i="8"/>
  <c r="E1095" i="8"/>
  <c r="E750" i="8"/>
  <c r="E756" i="8"/>
  <c r="E789" i="8"/>
  <c r="E922" i="8"/>
  <c r="E2115" i="8"/>
  <c r="E2188" i="8"/>
  <c r="E2135" i="8"/>
  <c r="E2181" i="8"/>
  <c r="E2164" i="8"/>
  <c r="E2175" i="8"/>
  <c r="E1745" i="8"/>
  <c r="E1206" i="8"/>
  <c r="E2160" i="8"/>
  <c r="E2121" i="8"/>
  <c r="E2142" i="8"/>
  <c r="E2167" i="8"/>
  <c r="E2180" i="8"/>
  <c r="E2153" i="8"/>
  <c r="E1714" i="8"/>
  <c r="E1544" i="8"/>
  <c r="D1544" i="8"/>
  <c r="E2001" i="8"/>
  <c r="E1695" i="8"/>
  <c r="E936" i="8"/>
  <c r="E466" i="8"/>
  <c r="E448" i="8"/>
  <c r="E544" i="8"/>
  <c r="E718" i="8"/>
  <c r="E967" i="8"/>
  <c r="E2112" i="8"/>
  <c r="E1730" i="8"/>
  <c r="E1047" i="8"/>
  <c r="E616" i="8"/>
  <c r="E618" i="8"/>
  <c r="E689" i="8"/>
  <c r="E891" i="8"/>
  <c r="E1033" i="8"/>
  <c r="E2128" i="8"/>
  <c r="E2187" i="8"/>
  <c r="E2174" i="8"/>
  <c r="E2156" i="8"/>
  <c r="E2144" i="8"/>
  <c r="E1070" i="8"/>
  <c r="E783" i="8"/>
  <c r="E707" i="8"/>
  <c r="E2195" i="8"/>
  <c r="E2139" i="8"/>
  <c r="E1867" i="8"/>
  <c r="E1393" i="8"/>
  <c r="E1055" i="8"/>
  <c r="E955" i="8"/>
  <c r="E1032" i="8"/>
  <c r="E1129" i="8"/>
  <c r="E2068" i="8"/>
  <c r="E2185" i="8"/>
  <c r="E2151" i="8"/>
  <c r="E1692" i="8"/>
  <c r="E1746" i="8"/>
  <c r="E1742" i="8"/>
  <c r="E870" i="8"/>
  <c r="E1066" i="8"/>
  <c r="E2194" i="8"/>
  <c r="E2141" i="8"/>
  <c r="E1896" i="8"/>
  <c r="E1187" i="8"/>
  <c r="E1113" i="8"/>
  <c r="E990" i="8"/>
  <c r="E1053" i="8"/>
  <c r="E1192" i="8"/>
  <c r="E2117" i="8"/>
  <c r="E2085" i="8"/>
  <c r="E1674" i="8"/>
  <c r="E1082" i="8"/>
  <c r="E883" i="8"/>
  <c r="E483" i="8"/>
  <c r="E578" i="8"/>
  <c r="E717" i="8"/>
  <c r="E2052" i="8"/>
  <c r="E1707" i="8"/>
  <c r="E885" i="8"/>
  <c r="E884" i="8"/>
  <c r="E482" i="8"/>
  <c r="E344" i="8"/>
  <c r="E474" i="8"/>
  <c r="E706" i="8"/>
  <c r="E2071" i="8"/>
  <c r="E1762" i="8"/>
  <c r="E1010" i="8"/>
  <c r="E910" i="8"/>
  <c r="E556" i="8"/>
  <c r="E523" i="8"/>
  <c r="E460" i="8"/>
  <c r="E964" i="8"/>
  <c r="E2191" i="8"/>
  <c r="E2176" i="8"/>
  <c r="E2163" i="8"/>
  <c r="E2162" i="8"/>
  <c r="E2150" i="8"/>
  <c r="E1810" i="8"/>
  <c r="E1830" i="8"/>
  <c r="E1037" i="8"/>
  <c r="E2125" i="8"/>
  <c r="E2192" i="8"/>
  <c r="E2120" i="8"/>
  <c r="E2158" i="8"/>
  <c r="E2147" i="8"/>
  <c r="E1385" i="8"/>
  <c r="E966" i="8"/>
  <c r="E1013" i="8"/>
  <c r="E2134" i="8"/>
  <c r="E2182" i="8"/>
  <c r="E1913" i="8"/>
  <c r="E1504" i="8"/>
  <c r="E871" i="8"/>
  <c r="E869" i="8"/>
  <c r="E839" i="8"/>
  <c r="E926" i="8"/>
  <c r="E2129" i="8"/>
  <c r="E2197" i="8"/>
  <c r="E2165" i="8"/>
  <c r="E1933" i="8"/>
  <c r="E1269" i="8"/>
  <c r="E1162" i="8"/>
  <c r="E995" i="8"/>
  <c r="E1154" i="8"/>
  <c r="E2096" i="8"/>
  <c r="E2132" i="8"/>
  <c r="E1596" i="8"/>
  <c r="E1062" i="8"/>
  <c r="E1001" i="8"/>
  <c r="E915" i="8"/>
  <c r="E993" i="8"/>
  <c r="E1112" i="8"/>
  <c r="E2116" i="8"/>
  <c r="E2000" i="8"/>
  <c r="E1651" i="8"/>
  <c r="E1859" i="8"/>
  <c r="E889" i="8"/>
  <c r="E429" i="8"/>
  <c r="E498" i="8"/>
  <c r="E609" i="8"/>
  <c r="E2079" i="8"/>
  <c r="D2079" i="8"/>
  <c r="E2102" i="8"/>
  <c r="E2091" i="8"/>
  <c r="E2168" i="8"/>
  <c r="E2161" i="8"/>
  <c r="E2157" i="8"/>
  <c r="E1434" i="8"/>
  <c r="E1247" i="8"/>
  <c r="E1970" i="8"/>
  <c r="E2114" i="8"/>
  <c r="E1966" i="8"/>
  <c r="E2173" i="8"/>
  <c r="E2172" i="8"/>
  <c r="E1983" i="8"/>
  <c r="E1710" i="8"/>
  <c r="E1194" i="8"/>
  <c r="E2196" i="8"/>
  <c r="E2155" i="8"/>
  <c r="E1972" i="8"/>
  <c r="E1605" i="8"/>
  <c r="D1605" i="8"/>
  <c r="E1251" i="8"/>
  <c r="E992" i="8"/>
  <c r="E1059" i="8"/>
  <c r="E1234" i="8"/>
  <c r="E2130" i="8"/>
  <c r="E2034" i="8"/>
  <c r="E2067" i="8"/>
  <c r="E2082" i="8"/>
  <c r="E2138" i="8"/>
  <c r="E1687" i="8"/>
  <c r="E1419" i="8"/>
  <c r="E1065" i="8"/>
  <c r="E2118" i="8"/>
  <c r="E1658" i="8"/>
  <c r="E764" i="8"/>
  <c r="E334" i="8"/>
  <c r="E335" i="8"/>
  <c r="E535" i="8"/>
  <c r="E325" i="8"/>
  <c r="E694" i="8"/>
  <c r="E2095" i="8"/>
  <c r="E1825" i="8"/>
  <c r="E1461" i="8"/>
  <c r="E1168" i="8"/>
  <c r="E666" i="8"/>
  <c r="E552" i="8"/>
  <c r="E560" i="8"/>
  <c r="E668" i="8"/>
  <c r="E2106" i="8"/>
  <c r="E2152" i="8"/>
  <c r="E2002" i="8"/>
  <c r="E1779" i="8"/>
  <c r="E1083" i="8"/>
  <c r="E1443" i="8"/>
  <c r="E1101" i="8"/>
  <c r="E939" i="8"/>
  <c r="E2077" i="8"/>
  <c r="E2101" i="8"/>
  <c r="E1750" i="8"/>
  <c r="E1323" i="8"/>
  <c r="E816" i="8"/>
  <c r="E844" i="8"/>
  <c r="E859" i="8"/>
  <c r="E1038" i="8"/>
  <c r="E2058" i="8"/>
  <c r="E2020" i="8"/>
  <c r="E2084" i="8"/>
  <c r="E1975" i="8"/>
  <c r="E1979" i="8"/>
  <c r="E1076" i="8"/>
  <c r="D1076" i="8"/>
  <c r="E970" i="8"/>
  <c r="E1120" i="8"/>
  <c r="E2066" i="8"/>
  <c r="E1654" i="8"/>
  <c r="E1683" i="8"/>
  <c r="E1528" i="8"/>
  <c r="E1049" i="8"/>
  <c r="E486" i="8"/>
  <c r="E567" i="8"/>
  <c r="E827" i="8"/>
  <c r="E2136" i="8"/>
  <c r="E2089" i="8"/>
  <c r="E1737" i="8"/>
  <c r="E988" i="8"/>
  <c r="E612" i="8"/>
  <c r="E579" i="8"/>
  <c r="E655" i="8"/>
  <c r="E866" i="8"/>
  <c r="E2056" i="8"/>
  <c r="D2056" i="8"/>
  <c r="E2098" i="8"/>
  <c r="E2076" i="8"/>
  <c r="E1914" i="8"/>
  <c r="E1833" i="8"/>
  <c r="E1466" i="8"/>
  <c r="E946" i="8"/>
  <c r="E895" i="8"/>
  <c r="E2124" i="8"/>
  <c r="E2092" i="8"/>
  <c r="E1536" i="8"/>
  <c r="E868" i="8"/>
  <c r="E571" i="8"/>
  <c r="E634" i="8"/>
  <c r="E672" i="8"/>
  <c r="E830" i="8"/>
  <c r="E2044" i="8"/>
  <c r="E1672" i="8"/>
  <c r="E1097" i="8"/>
  <c r="E724" i="8"/>
  <c r="E780" i="8"/>
  <c r="E931" i="8"/>
  <c r="E1098" i="8"/>
  <c r="E1366" i="8"/>
  <c r="E2126" i="8"/>
  <c r="E2004" i="8"/>
  <c r="E2040" i="8"/>
  <c r="E1993" i="8"/>
  <c r="E1818" i="8"/>
  <c r="E1677" i="8"/>
  <c r="E1550" i="8"/>
  <c r="E1579" i="8"/>
  <c r="E2070" i="8"/>
  <c r="E2127" i="8"/>
  <c r="E1615" i="8"/>
  <c r="E674" i="8"/>
  <c r="E250" i="8"/>
  <c r="E284" i="8"/>
  <c r="E449" i="8"/>
  <c r="E837" i="8"/>
  <c r="E2014" i="8"/>
  <c r="E1763" i="8"/>
  <c r="E1456" i="8"/>
  <c r="E997" i="8"/>
  <c r="E537" i="8"/>
  <c r="E309" i="8"/>
  <c r="E433" i="8"/>
  <c r="E784" i="8"/>
  <c r="E1623" i="8"/>
  <c r="E1322" i="8"/>
  <c r="E832" i="8"/>
  <c r="E582" i="8"/>
  <c r="E698" i="8"/>
  <c r="E865" i="8"/>
  <c r="E850" i="8"/>
  <c r="E1214" i="8"/>
  <c r="E1849" i="8"/>
  <c r="E1397" i="8"/>
  <c r="E684" i="8"/>
  <c r="E543" i="8"/>
  <c r="E676" i="8"/>
  <c r="E815" i="8"/>
  <c r="D815" i="8"/>
  <c r="E1052" i="8"/>
  <c r="E1210" i="8"/>
  <c r="E1926" i="8"/>
  <c r="E1132" i="8"/>
  <c r="E773" i="8"/>
  <c r="E467" i="8"/>
  <c r="E369" i="8"/>
  <c r="E613" i="8"/>
  <c r="E854" i="8"/>
  <c r="E1090" i="8"/>
  <c r="E2010" i="8"/>
  <c r="E1479" i="8"/>
  <c r="E925" i="8"/>
  <c r="E311" i="8"/>
  <c r="E221" i="8"/>
  <c r="E285" i="8"/>
  <c r="E646" i="8"/>
  <c r="E975" i="8"/>
  <c r="E2110" i="8"/>
  <c r="D2110" i="8"/>
  <c r="E2025" i="8"/>
  <c r="E1501" i="8"/>
  <c r="E496" i="8"/>
  <c r="E151" i="8"/>
  <c r="E203" i="8"/>
  <c r="E471" i="8"/>
  <c r="E755" i="8"/>
  <c r="E1948" i="8"/>
  <c r="E942" i="8"/>
  <c r="E414" i="8"/>
  <c r="E349" i="8"/>
  <c r="D349" i="8"/>
  <c r="E310" i="8"/>
  <c r="E595" i="8"/>
  <c r="E524" i="8"/>
  <c r="E809" i="8"/>
  <c r="E1839" i="8"/>
  <c r="E911" i="8"/>
  <c r="E421" i="8"/>
  <c r="E418" i="8"/>
  <c r="E638" i="8"/>
  <c r="E886" i="8"/>
  <c r="E1093" i="8"/>
  <c r="E814" i="8"/>
  <c r="E2023" i="8"/>
  <c r="E1872" i="8"/>
  <c r="E731" i="8"/>
  <c r="E447" i="8"/>
  <c r="E305" i="8"/>
  <c r="E301" i="8"/>
  <c r="E557" i="8"/>
  <c r="E961" i="8"/>
  <c r="E1977" i="8"/>
  <c r="E1327" i="8"/>
  <c r="E658" i="8"/>
  <c r="E1342" i="8"/>
  <c r="E154" i="8"/>
  <c r="E241" i="8"/>
  <c r="E452" i="8"/>
  <c r="E855" i="8"/>
  <c r="E2062" i="8"/>
  <c r="E1968" i="8"/>
  <c r="E1954" i="8"/>
  <c r="E1812" i="8"/>
  <c r="E1619" i="8"/>
  <c r="E1500" i="8"/>
  <c r="E435" i="8"/>
  <c r="E360" i="8"/>
  <c r="E1754" i="8"/>
  <c r="E1669" i="8"/>
  <c r="E1604" i="8"/>
  <c r="E1508" i="8"/>
  <c r="E503" i="8"/>
  <c r="E233" i="8"/>
  <c r="E673" i="8"/>
  <c r="E838" i="8"/>
  <c r="E2072" i="8"/>
  <c r="E1917" i="8"/>
  <c r="E1953" i="8"/>
  <c r="E1421" i="8"/>
  <c r="E565" i="8"/>
  <c r="E371" i="8"/>
  <c r="E246" i="8"/>
  <c r="E513" i="8"/>
  <c r="E1820" i="8"/>
  <c r="E1280" i="8"/>
  <c r="E422" i="8"/>
  <c r="E273" i="8"/>
  <c r="E341" i="8"/>
  <c r="E317" i="8"/>
  <c r="E745" i="8"/>
  <c r="E974" i="8"/>
  <c r="E1969" i="8"/>
  <c r="E1775" i="8"/>
  <c r="E1298" i="8"/>
  <c r="E1109" i="8"/>
  <c r="E597" i="8"/>
  <c r="E444" i="8"/>
  <c r="E287" i="8"/>
  <c r="E280" i="8"/>
  <c r="E1916" i="8"/>
  <c r="E1828" i="8"/>
  <c r="D1828" i="8"/>
  <c r="E1656" i="8"/>
  <c r="E1009" i="8"/>
  <c r="E640" i="8"/>
  <c r="E394" i="8"/>
  <c r="E331" i="8"/>
  <c r="E336" i="8"/>
  <c r="E1939" i="8"/>
  <c r="E1712" i="8"/>
  <c r="E439" i="8"/>
  <c r="E328" i="8"/>
  <c r="E410" i="8"/>
  <c r="E1085" i="8"/>
  <c r="E1386" i="8"/>
  <c r="E1512" i="8"/>
  <c r="E1894" i="8"/>
  <c r="E1024" i="8"/>
  <c r="E434" i="8"/>
  <c r="E313" i="8"/>
  <c r="E419" i="8"/>
  <c r="D419" i="8"/>
  <c r="E502" i="8"/>
  <c r="E770" i="8"/>
  <c r="E851" i="8"/>
  <c r="E1212" i="8"/>
  <c r="E1228" i="8"/>
  <c r="E1425" i="8"/>
  <c r="E1348" i="8"/>
  <c r="E1016" i="8"/>
  <c r="E1460" i="8"/>
  <c r="E1161" i="8"/>
  <c r="E1415" i="8"/>
  <c r="E1079" i="8"/>
  <c r="E1287" i="8"/>
  <c r="E1200" i="8"/>
  <c r="E1265" i="8"/>
  <c r="E1337" i="8"/>
  <c r="E1296" i="8"/>
  <c r="E1416" i="8"/>
  <c r="E1139" i="8"/>
  <c r="E1072" i="8"/>
  <c r="E1042" i="8"/>
  <c r="E983" i="8"/>
  <c r="E1131" i="8"/>
  <c r="E1111" i="8"/>
  <c r="E1195" i="8"/>
  <c r="E1205" i="8"/>
  <c r="E1209" i="8"/>
  <c r="E1091" i="8"/>
  <c r="E1317" i="8"/>
  <c r="E1284" i="8"/>
  <c r="E1078" i="8"/>
  <c r="E1279" i="8"/>
  <c r="E1151" i="8"/>
  <c r="E1248" i="8"/>
  <c r="E1452" i="8"/>
  <c r="E761" i="8"/>
  <c r="E1115" i="8"/>
  <c r="E1231" i="8"/>
  <c r="E1331" i="8"/>
  <c r="E1313" i="8"/>
  <c r="E1153" i="8"/>
  <c r="E1103" i="8"/>
  <c r="E1428" i="8"/>
  <c r="E1096" i="8"/>
  <c r="E1156" i="8"/>
  <c r="E1240" i="8"/>
  <c r="E1267" i="8"/>
  <c r="E1294" i="8"/>
  <c r="E1203" i="8"/>
  <c r="E1123" i="8"/>
  <c r="E973" i="8"/>
  <c r="E927" i="8"/>
  <c r="E1180" i="8"/>
  <c r="E1219" i="8"/>
  <c r="E1370" i="8"/>
  <c r="E1334" i="8"/>
  <c r="E1381" i="8"/>
  <c r="E1250" i="8"/>
  <c r="E1499" i="8"/>
  <c r="E803" i="8"/>
  <c r="E748" i="8"/>
  <c r="E1140" i="8"/>
  <c r="E1343" i="8"/>
  <c r="E1398" i="8"/>
  <c r="E1383" i="8"/>
  <c r="E1399" i="8"/>
  <c r="E1531" i="8"/>
  <c r="E1142" i="8"/>
  <c r="E1321" i="8"/>
  <c r="E1071" i="8"/>
  <c r="E1354" i="8"/>
  <c r="E1347" i="8"/>
  <c r="E1485" i="8"/>
  <c r="E1380" i="8"/>
  <c r="E1519" i="8"/>
  <c r="E1166" i="8"/>
  <c r="E1225" i="8"/>
  <c r="E1238" i="8"/>
  <c r="E1360" i="8"/>
  <c r="E1349" i="8"/>
  <c r="E1412" i="8"/>
  <c r="E1362" i="8"/>
  <c r="E1447" i="8"/>
  <c r="E754" i="8"/>
  <c r="E956" i="8"/>
  <c r="E1164" i="8"/>
  <c r="E1185" i="8"/>
  <c r="E1256" i="8"/>
  <c r="E1395" i="8"/>
  <c r="E1440" i="8"/>
  <c r="E1594" i="8"/>
  <c r="E637" i="8"/>
  <c r="E1039" i="8"/>
  <c r="E1223" i="8"/>
  <c r="E1356" i="8"/>
  <c r="E1486" i="8"/>
  <c r="E1329" i="8"/>
  <c r="E1373" i="8"/>
  <c r="E1573" i="8"/>
  <c r="E879" i="8"/>
  <c r="E1069" i="8"/>
  <c r="E1086" i="8"/>
  <c r="E1275" i="8"/>
  <c r="E1324" i="8"/>
  <c r="E1400" i="8"/>
  <c r="E1549" i="8"/>
  <c r="E1581" i="8"/>
  <c r="E948" i="8"/>
  <c r="E1199" i="8"/>
  <c r="E1444" i="8"/>
  <c r="E1455" i="8"/>
  <c r="D1455" i="8"/>
  <c r="E1299" i="8"/>
  <c r="E1534" i="8"/>
  <c r="E1437" i="8"/>
  <c r="E1511" i="8"/>
  <c r="E900" i="8"/>
  <c r="E1058" i="8"/>
  <c r="E1222" i="8"/>
  <c r="E1261" i="8"/>
  <c r="E1468" i="8"/>
  <c r="E1454" i="8"/>
  <c r="E1402" i="8"/>
  <c r="E1451" i="8"/>
  <c r="E636" i="8"/>
  <c r="E1051" i="8"/>
  <c r="E1242" i="8"/>
  <c r="E1401" i="8"/>
  <c r="E1405" i="8"/>
  <c r="E1404" i="8"/>
  <c r="E1316" i="8"/>
  <c r="E1540" i="8"/>
  <c r="E1196" i="8"/>
  <c r="E1177" i="8"/>
  <c r="E1239" i="8"/>
  <c r="E1173" i="8"/>
  <c r="E1374" i="8"/>
  <c r="E1351" i="8"/>
  <c r="E1426" i="8"/>
  <c r="E1566" i="8"/>
  <c r="E873" i="8"/>
  <c r="E1191" i="8"/>
  <c r="E1127" i="8"/>
  <c r="E1089" i="8"/>
  <c r="E1441" i="8"/>
  <c r="E1487" i="8"/>
  <c r="E1493" i="8"/>
  <c r="E1507" i="8"/>
  <c r="E727" i="8"/>
  <c r="E810" i="8"/>
  <c r="E959" i="8"/>
  <c r="E902" i="8"/>
  <c r="E1372" i="8"/>
  <c r="E1300" i="8"/>
  <c r="E1448" i="8"/>
  <c r="E1514" i="8"/>
  <c r="E528" i="8"/>
  <c r="E525" i="8"/>
  <c r="E490" i="8"/>
  <c r="E653" i="8"/>
  <c r="E767" i="8"/>
  <c r="E918" i="8"/>
  <c r="E1325" i="8"/>
  <c r="E1445" i="8"/>
  <c r="E894" i="8"/>
  <c r="E962" i="8"/>
  <c r="E1102" i="8"/>
  <c r="E1409" i="8"/>
  <c r="E1368" i="8"/>
  <c r="E1067" i="8"/>
  <c r="E1453" i="8"/>
  <c r="E1326" i="8"/>
  <c r="E1035" i="8"/>
  <c r="E1252" i="8"/>
  <c r="E1106" i="8"/>
  <c r="E1282" i="8"/>
  <c r="E1266" i="8"/>
  <c r="E1363" i="8"/>
  <c r="E1547" i="8"/>
  <c r="E1241" i="8"/>
  <c r="E823" i="8"/>
  <c r="E940" i="8"/>
  <c r="E1423" i="8"/>
  <c r="E1457" i="8"/>
  <c r="E1481" i="8"/>
  <c r="E1414" i="8"/>
  <c r="E1338" i="8"/>
  <c r="E1310" i="8"/>
  <c r="E1147" i="8"/>
  <c r="E1138" i="8"/>
  <c r="E1273" i="8"/>
  <c r="E1394" i="8"/>
  <c r="E1355" i="8"/>
  <c r="E1490" i="8"/>
  <c r="E1543" i="8"/>
  <c r="E1551" i="8"/>
  <c r="E758" i="8"/>
  <c r="E1320" i="8"/>
  <c r="E1308" i="8"/>
  <c r="E1344" i="8"/>
  <c r="E1208" i="8"/>
  <c r="E1482" i="8"/>
  <c r="E1254" i="8"/>
  <c r="E1509" i="8"/>
  <c r="E3" i="2"/>
  <c r="E4" i="2"/>
  <c r="E5" i="2"/>
  <c r="E6" i="2"/>
  <c r="G3" i="2"/>
  <c r="G4" i="2"/>
  <c r="G5" i="2"/>
  <c r="G6" i="2"/>
  <c r="R3" i="2"/>
  <c r="R4" i="2"/>
  <c r="R5" i="2"/>
  <c r="R6" i="2"/>
  <c r="S3" i="2"/>
  <c r="S4" i="2"/>
  <c r="S5" i="2"/>
  <c r="S6" i="2"/>
  <c r="E764" i="7"/>
  <c r="E753" i="7"/>
  <c r="E750" i="7"/>
  <c r="E751" i="7"/>
  <c r="E769" i="7"/>
  <c r="E749" i="7"/>
  <c r="E765" i="7"/>
  <c r="E773" i="7"/>
  <c r="E739" i="7"/>
  <c r="E757" i="7"/>
  <c r="E747" i="7"/>
  <c r="E767" i="7"/>
  <c r="E775" i="7"/>
  <c r="E748" i="7"/>
  <c r="E723" i="7"/>
  <c r="E732" i="7"/>
  <c r="E733" i="7"/>
  <c r="E721" i="7"/>
  <c r="E715" i="7"/>
  <c r="E730" i="7"/>
  <c r="E738" i="7"/>
  <c r="E711" i="7"/>
  <c r="E729" i="7"/>
  <c r="E737" i="7"/>
  <c r="E762" i="7"/>
  <c r="E696" i="7"/>
  <c r="E780" i="7"/>
  <c r="E712" i="7"/>
  <c r="E782" i="7"/>
  <c r="E745" i="7"/>
  <c r="E766" i="7"/>
  <c r="E726" i="7"/>
  <c r="E731" i="7"/>
  <c r="E703" i="7"/>
  <c r="E704" i="7"/>
  <c r="E778" i="7"/>
  <c r="E777" i="7"/>
  <c r="E744" i="7"/>
  <c r="E718" i="7"/>
  <c r="E772" i="7"/>
  <c r="E719" i="7"/>
  <c r="E693" i="7"/>
  <c r="E770" i="7"/>
  <c r="E700" i="7"/>
  <c r="E760" i="7"/>
  <c r="E783" i="7"/>
  <c r="E710" i="7"/>
  <c r="E728" i="7"/>
  <c r="E686" i="7"/>
  <c r="E722" i="7"/>
  <c r="E784" i="7"/>
  <c r="E758" i="7"/>
  <c r="E713" i="7"/>
  <c r="E679" i="7"/>
  <c r="E657" i="7"/>
  <c r="E774" i="7"/>
  <c r="E666" i="7"/>
  <c r="E708" i="7"/>
  <c r="E678" i="7"/>
  <c r="E727" i="7"/>
  <c r="E746" i="7"/>
  <c r="E754" i="7"/>
  <c r="E667" i="7"/>
  <c r="E660" i="7"/>
  <c r="E665" i="7"/>
  <c r="E714" i="7"/>
  <c r="E659" i="7"/>
  <c r="E684" i="7"/>
  <c r="E650" i="7"/>
  <c r="E651" i="7"/>
  <c r="E680" i="7"/>
  <c r="E702" i="7"/>
  <c r="E652" i="7"/>
  <c r="E695" i="7"/>
  <c r="E625" i="7"/>
  <c r="E649" i="7"/>
  <c r="E716" i="7"/>
  <c r="E779" i="7"/>
  <c r="E640" i="7"/>
  <c r="E763" i="7"/>
  <c r="E689" i="7"/>
  <c r="E617" i="7"/>
  <c r="E663" i="7"/>
  <c r="E639" i="7"/>
  <c r="E654" i="7"/>
  <c r="E611" i="7"/>
  <c r="E706" i="7"/>
  <c r="E658" i="7"/>
  <c r="E681" i="7"/>
  <c r="E781" i="7"/>
  <c r="E709" i="7"/>
  <c r="E629" i="7"/>
  <c r="E734" i="7"/>
  <c r="E755" i="7"/>
  <c r="E759" i="7"/>
  <c r="E624" i="7"/>
  <c r="E664" i="7"/>
  <c r="E725" i="7"/>
  <c r="E756" i="7"/>
  <c r="E673" i="7"/>
  <c r="E627" i="7"/>
  <c r="E697" i="7"/>
  <c r="E677" i="7"/>
  <c r="E610" i="7"/>
  <c r="E648" i="7"/>
  <c r="E682" i="7"/>
  <c r="E698" i="7"/>
  <c r="E668" i="7"/>
  <c r="E669" i="7"/>
  <c r="E740" i="7"/>
  <c r="E742" i="7"/>
  <c r="E735" i="7"/>
  <c r="E776" i="7"/>
  <c r="E573" i="7"/>
  <c r="E699" i="7"/>
  <c r="E717" i="7"/>
  <c r="E645" i="7"/>
  <c r="E771" i="7"/>
  <c r="E633" i="7"/>
  <c r="E647" i="7"/>
  <c r="E566" i="7"/>
  <c r="E564" i="7"/>
  <c r="E676" i="7"/>
  <c r="E626" i="7"/>
  <c r="E687" i="7"/>
  <c r="E577" i="7"/>
  <c r="E574" i="7"/>
  <c r="E567" i="7"/>
  <c r="E557" i="7"/>
  <c r="E556" i="7"/>
  <c r="E575" i="7"/>
  <c r="E688" i="7"/>
  <c r="E600" i="7"/>
  <c r="E598" i="7"/>
  <c r="E752" i="7"/>
  <c r="E616" i="7"/>
  <c r="E543" i="7"/>
  <c r="E643" i="7"/>
  <c r="E691" i="7"/>
  <c r="E578" i="7"/>
  <c r="E636" i="7"/>
  <c r="E533" i="7"/>
  <c r="E661" i="7"/>
  <c r="E605" i="7"/>
  <c r="E683" i="7"/>
  <c r="E532" i="7"/>
  <c r="E619" i="7"/>
  <c r="E581" i="7"/>
  <c r="E685" i="7"/>
  <c r="E527" i="7"/>
  <c r="E565" i="7"/>
  <c r="E580" i="7"/>
  <c r="E595" i="7"/>
  <c r="E736" i="7"/>
  <c r="E592" i="7"/>
  <c r="E608" i="7"/>
  <c r="E671" i="7"/>
  <c r="E560" i="7"/>
  <c r="E662" i="7"/>
  <c r="E544" i="7"/>
  <c r="E641" i="7"/>
  <c r="E612" i="7"/>
  <c r="E768" i="7"/>
  <c r="E623" i="7"/>
  <c r="E620" i="7"/>
  <c r="E741" i="7"/>
  <c r="E591" i="7"/>
  <c r="E517" i="7"/>
  <c r="E724" i="7"/>
  <c r="E670" i="7"/>
  <c r="E604" i="7"/>
  <c r="E562" i="7"/>
  <c r="E603" i="7"/>
  <c r="E510" i="7"/>
  <c r="E672" i="7"/>
  <c r="E563" i="7"/>
  <c r="E551" i="7"/>
  <c r="E632" i="7"/>
  <c r="E550" i="7"/>
  <c r="E618" i="7"/>
  <c r="E530" i="7"/>
  <c r="E572" i="7"/>
  <c r="E743" i="7"/>
  <c r="E515" i="7"/>
  <c r="E674" i="7"/>
  <c r="E635" i="7"/>
  <c r="E630" i="7"/>
  <c r="E594" i="7"/>
  <c r="E761" i="7"/>
  <c r="E646" i="7"/>
  <c r="E494" i="7"/>
  <c r="E596" i="7"/>
  <c r="E584" i="7"/>
  <c r="E631" i="7"/>
  <c r="E555" i="7"/>
  <c r="E621" i="7"/>
  <c r="E599" i="7"/>
  <c r="E541" i="7"/>
  <c r="E490" i="7"/>
  <c r="E554" i="7"/>
  <c r="E485" i="7"/>
  <c r="E628" i="7"/>
  <c r="E520" i="7"/>
  <c r="E542" i="7"/>
  <c r="E614" i="7"/>
  <c r="E576" i="7"/>
  <c r="E690" i="7"/>
  <c r="E529" i="7"/>
  <c r="E644" i="7"/>
  <c r="E501" i="7"/>
  <c r="E656" i="7"/>
  <c r="E615" i="7"/>
  <c r="E464" i="7"/>
  <c r="E524" i="7"/>
  <c r="E534" i="7"/>
  <c r="E601" i="7"/>
  <c r="E528" i="7"/>
  <c r="E634" i="7"/>
  <c r="E492" i="7"/>
  <c r="E498" i="7"/>
  <c r="E589" i="7"/>
  <c r="E720" i="7"/>
  <c r="E457" i="7"/>
  <c r="E444" i="7"/>
  <c r="E488" i="7"/>
  <c r="E694" i="7"/>
  <c r="E692" i="7"/>
  <c r="E447" i="7"/>
  <c r="E547" i="7"/>
  <c r="E519" i="7"/>
  <c r="E460" i="7"/>
  <c r="E546" i="7"/>
  <c r="E440" i="7"/>
  <c r="E602" i="7"/>
  <c r="E438" i="7"/>
  <c r="E439" i="7"/>
  <c r="E442" i="7"/>
  <c r="E448" i="7"/>
  <c r="E582" i="7"/>
  <c r="E514" i="7"/>
  <c r="E433" i="7"/>
  <c r="E495" i="7"/>
  <c r="E489" i="7"/>
  <c r="E518" i="7"/>
  <c r="E593" i="7"/>
  <c r="E456" i="7"/>
  <c r="E462" i="7"/>
  <c r="E570" i="7"/>
  <c r="E522" i="7"/>
  <c r="E404" i="7"/>
  <c r="E540" i="7"/>
  <c r="E583" i="7"/>
  <c r="E548" i="7"/>
  <c r="E482" i="7"/>
  <c r="E484" i="7"/>
  <c r="E609" i="7"/>
  <c r="E451" i="7"/>
  <c r="E507" i="7"/>
  <c r="E420" i="7"/>
  <c r="E549" i="7"/>
  <c r="E653" i="7"/>
  <c r="E579" i="7"/>
  <c r="E467" i="7"/>
  <c r="E468" i="7"/>
  <c r="E431" i="7"/>
  <c r="E512" i="7"/>
  <c r="E426" i="7"/>
  <c r="E493" i="7"/>
  <c r="E707" i="7"/>
  <c r="E480" i="7"/>
  <c r="E396" i="7"/>
  <c r="E552" i="7"/>
  <c r="E531" i="7"/>
  <c r="E432" i="7"/>
  <c r="E445" i="7"/>
  <c r="E394" i="7"/>
  <c r="E427" i="7"/>
  <c r="E465" i="7"/>
  <c r="E478" i="7"/>
  <c r="E675" i="7"/>
  <c r="E458" i="7"/>
  <c r="E425" i="7"/>
  <c r="E539" i="7"/>
  <c r="E443" i="7"/>
  <c r="E470" i="7"/>
  <c r="E387" i="7"/>
  <c r="E499" i="7"/>
  <c r="E586" i="7"/>
  <c r="E377" i="7"/>
  <c r="E378" i="7"/>
  <c r="E450" i="7"/>
  <c r="E402" i="7"/>
  <c r="E622" i="7"/>
  <c r="E587" i="7"/>
  <c r="E538" i="7"/>
  <c r="E408" i="7"/>
  <c r="E361" i="7"/>
  <c r="E526" i="7"/>
  <c r="E388" i="7"/>
  <c r="E597" i="7"/>
  <c r="E412" i="7"/>
  <c r="E441" i="7"/>
  <c r="E590" i="7"/>
  <c r="E477" i="7"/>
  <c r="E558" i="7"/>
  <c r="E521" i="7"/>
  <c r="E606" i="7"/>
  <c r="E535" i="7"/>
  <c r="E398" i="7"/>
  <c r="E545" i="7"/>
  <c r="E561" i="7"/>
  <c r="E481" i="7"/>
  <c r="E504" i="7"/>
  <c r="E463" i="7"/>
  <c r="E348" i="7"/>
  <c r="E506" i="7"/>
  <c r="E341" i="7"/>
  <c r="E508" i="7"/>
  <c r="E340" i="7"/>
  <c r="E473" i="7"/>
  <c r="E536" i="7"/>
  <c r="E569" i="7"/>
  <c r="E459" i="7"/>
  <c r="E509" i="7"/>
  <c r="E406" i="7"/>
  <c r="E349" i="7"/>
  <c r="E503" i="7"/>
  <c r="E449" i="7"/>
  <c r="E329" i="7"/>
  <c r="E516" i="7"/>
  <c r="E435" i="7"/>
  <c r="E358" i="7"/>
  <c r="E345" i="7"/>
  <c r="E395" i="7"/>
  <c r="E397" i="7"/>
  <c r="E454" i="7"/>
  <c r="E475" i="7"/>
  <c r="E390" i="7"/>
  <c r="E437" i="7"/>
  <c r="E416" i="7"/>
  <c r="E705" i="7"/>
  <c r="E415" i="7"/>
  <c r="E323" i="7"/>
  <c r="E537" i="7"/>
  <c r="E637" i="7"/>
  <c r="E491" i="7"/>
  <c r="E525" i="7"/>
  <c r="E313" i="7"/>
  <c r="E362" i="7"/>
  <c r="E312" i="7"/>
  <c r="E474" i="7"/>
  <c r="E638" i="7"/>
  <c r="E321" i="7"/>
  <c r="E403" i="7"/>
  <c r="E568" i="7"/>
  <c r="E369" i="7"/>
  <c r="E379" i="7"/>
  <c r="E368" i="7"/>
  <c r="E342" i="7"/>
  <c r="E446" i="7"/>
  <c r="E486" i="7"/>
  <c r="E343" i="7"/>
  <c r="E380" i="7"/>
  <c r="E314" i="7"/>
  <c r="E356" i="7"/>
  <c r="E571" i="7"/>
  <c r="E559" i="7"/>
  <c r="E511" i="7"/>
  <c r="E296" i="7"/>
  <c r="E430" i="7"/>
  <c r="E297" i="7"/>
  <c r="E295" i="7"/>
  <c r="E413" i="7"/>
  <c r="E585" i="7"/>
  <c r="E328" i="7"/>
  <c r="E479" i="7"/>
  <c r="E417" i="7"/>
  <c r="E701" i="7"/>
  <c r="E513" i="7"/>
  <c r="E461" i="7"/>
  <c r="E351" i="7"/>
  <c r="E354" i="7"/>
  <c r="E384" i="7"/>
  <c r="E372" i="7"/>
  <c r="E399" i="7"/>
  <c r="E353" i="7"/>
  <c r="E331" i="7"/>
  <c r="E422" i="7"/>
  <c r="E385" i="7"/>
  <c r="E355" i="7"/>
  <c r="E642" i="7"/>
  <c r="E386" i="7"/>
  <c r="E284" i="7"/>
  <c r="E317" i="7"/>
  <c r="E409" i="7"/>
  <c r="E310" i="7"/>
  <c r="E424" i="7"/>
  <c r="E306" i="7"/>
  <c r="E483" i="7"/>
  <c r="E359" i="7"/>
  <c r="E487" i="7"/>
  <c r="E553" i="7"/>
  <c r="E455" i="7"/>
  <c r="E293" i="7"/>
  <c r="E411" i="7"/>
  <c r="E333" i="7"/>
  <c r="E334" i="7"/>
  <c r="E466" i="7"/>
  <c r="E505" i="7"/>
  <c r="E325" i="7"/>
  <c r="E400" i="7"/>
  <c r="E365" i="7"/>
  <c r="E367" i="7"/>
  <c r="E260" i="7"/>
  <c r="E655" i="7"/>
  <c r="E434" i="7"/>
  <c r="E283" i="7"/>
  <c r="E327" i="7"/>
  <c r="E607" i="7"/>
  <c r="E281" i="7"/>
  <c r="E381" i="7"/>
  <c r="E278" i="7"/>
  <c r="E338" i="7"/>
  <c r="E410" i="7"/>
  <c r="E421" i="7"/>
  <c r="E371" i="7"/>
  <c r="E436" i="7"/>
  <c r="E298" i="7"/>
  <c r="E414" i="7"/>
  <c r="E469" i="7"/>
  <c r="E471" i="7"/>
  <c r="E392" i="7"/>
  <c r="E383" i="7"/>
  <c r="E382" i="7"/>
  <c r="E244" i="7"/>
  <c r="E315" i="7"/>
  <c r="E246" i="7"/>
  <c r="E370" i="7"/>
  <c r="E302" i="7"/>
  <c r="E247" i="7"/>
  <c r="E245" i="7"/>
  <c r="E407" i="7"/>
  <c r="E287" i="7"/>
  <c r="E256" i="7"/>
  <c r="E251" i="7"/>
  <c r="E292" i="7"/>
  <c r="E500" i="7"/>
  <c r="E249" i="7"/>
  <c r="E401" i="7"/>
  <c r="E423" i="7"/>
  <c r="E502" i="7"/>
  <c r="E324" i="7"/>
  <c r="E496" i="7"/>
  <c r="E418" i="7"/>
  <c r="E218" i="7"/>
  <c r="E344" i="7"/>
  <c r="E280" i="7"/>
  <c r="E405" i="7"/>
  <c r="E347" i="7"/>
  <c r="E336" i="7"/>
  <c r="E375" i="7"/>
  <c r="E393" i="7"/>
  <c r="E374" i="7"/>
  <c r="E237" i="7"/>
  <c r="E241" i="7"/>
  <c r="E250" i="7"/>
  <c r="E231" i="7"/>
  <c r="E205" i="7"/>
  <c r="E299" i="7"/>
  <c r="E391" i="7"/>
  <c r="E289" i="7"/>
  <c r="E472" i="7"/>
  <c r="E257" i="7"/>
  <c r="E301" i="7"/>
  <c r="E199" i="7"/>
  <c r="E453" i="7"/>
  <c r="E258" i="7"/>
  <c r="E326" i="7"/>
  <c r="E194" i="7"/>
  <c r="E207" i="7"/>
  <c r="E322" i="7"/>
  <c r="E452" i="7"/>
  <c r="E308" i="7"/>
  <c r="E262" i="7"/>
  <c r="E188" i="7"/>
  <c r="E195" i="7"/>
  <c r="E366" i="7"/>
  <c r="E311" i="7"/>
  <c r="E198" i="7"/>
  <c r="E350" i="7"/>
  <c r="E316" i="7"/>
  <c r="E243" i="7"/>
  <c r="E476" i="7"/>
  <c r="E320" i="7"/>
  <c r="E337" i="7"/>
  <c r="E200" i="7"/>
  <c r="E220" i="7"/>
  <c r="E227" i="7"/>
  <c r="E303" i="7"/>
  <c r="E206" i="7"/>
  <c r="E373" i="7"/>
  <c r="E332" i="7"/>
  <c r="E201" i="7"/>
  <c r="E212" i="7"/>
  <c r="E173" i="7"/>
  <c r="E215" i="7"/>
  <c r="E235" i="7"/>
  <c r="E364" i="7"/>
  <c r="E294" i="7"/>
  <c r="E185" i="7"/>
  <c r="E588" i="7"/>
  <c r="E613" i="7"/>
  <c r="E268" i="7"/>
  <c r="E161" i="7"/>
  <c r="E309" i="7"/>
  <c r="E286" i="7"/>
  <c r="E162" i="7"/>
  <c r="E276" i="7"/>
  <c r="E204" i="7"/>
  <c r="E232" i="7"/>
  <c r="E240" i="7"/>
  <c r="E319" i="7"/>
  <c r="E169" i="7"/>
  <c r="E389" i="7"/>
  <c r="E335" i="7"/>
  <c r="E183" i="7"/>
  <c r="E174" i="7"/>
  <c r="E180" i="7"/>
  <c r="E360" i="7"/>
  <c r="E376" i="7"/>
  <c r="E275" i="7"/>
  <c r="E428" i="7"/>
  <c r="E182" i="7"/>
  <c r="E209" i="7"/>
  <c r="E158" i="7"/>
  <c r="E211" i="7"/>
  <c r="E160" i="7"/>
  <c r="E166" i="7"/>
  <c r="E216" i="7"/>
  <c r="E176" i="7"/>
  <c r="E300" i="7"/>
  <c r="E261" i="7"/>
  <c r="E155" i="7"/>
  <c r="E248" i="7"/>
  <c r="E352" i="7"/>
  <c r="E274" i="7"/>
  <c r="E164" i="7"/>
  <c r="E193" i="7"/>
  <c r="E172" i="7"/>
  <c r="E236" i="7"/>
  <c r="E217" i="7"/>
  <c r="E291" i="7"/>
  <c r="E357" i="7"/>
  <c r="E419" i="7"/>
  <c r="E153" i="7"/>
  <c r="E254" i="7"/>
  <c r="E230" i="7"/>
  <c r="E305" i="7"/>
  <c r="E202" i="7"/>
  <c r="E134" i="7"/>
  <c r="E307" i="7"/>
  <c r="E148" i="7"/>
  <c r="E170" i="7"/>
  <c r="E141" i="7"/>
  <c r="E140" i="7"/>
  <c r="E265" i="7"/>
  <c r="E136" i="7"/>
  <c r="E252" i="7"/>
  <c r="E190" i="7"/>
  <c r="E346" i="7"/>
  <c r="E339" i="7"/>
  <c r="E223" i="7"/>
  <c r="E238" i="7"/>
  <c r="E133" i="7"/>
  <c r="E222" i="7"/>
  <c r="E282" i="7"/>
  <c r="E259" i="7"/>
  <c r="E120" i="7"/>
  <c r="E171" i="7"/>
  <c r="E208" i="7"/>
  <c r="E179" i="7"/>
  <c r="E157" i="7"/>
  <c r="E197" i="7"/>
  <c r="E213" i="7"/>
  <c r="E122" i="7"/>
  <c r="E264" i="7"/>
  <c r="E130" i="7"/>
  <c r="E131" i="7"/>
  <c r="E267" i="7"/>
  <c r="E304" i="7"/>
  <c r="E123" i="7"/>
  <c r="E177" i="7"/>
  <c r="E271" i="7"/>
  <c r="E150" i="7"/>
  <c r="E210" i="7"/>
  <c r="E497" i="7"/>
  <c r="E228" i="7"/>
  <c r="E273" i="7"/>
  <c r="E127" i="7"/>
  <c r="E178" i="7"/>
  <c r="E225" i="7"/>
  <c r="E192" i="7"/>
  <c r="E266" i="7"/>
  <c r="E145" i="7"/>
  <c r="E105" i="7"/>
  <c r="E253" i="7"/>
  <c r="E175" i="7"/>
  <c r="E290" i="7"/>
  <c r="E128" i="7"/>
  <c r="E330" i="7"/>
  <c r="E523" i="7"/>
  <c r="E270" i="7"/>
  <c r="E165" i="7"/>
  <c r="E277" i="7"/>
  <c r="E116" i="7"/>
  <c r="E233" i="7"/>
  <c r="E196" i="7"/>
  <c r="E288" i="7"/>
  <c r="E147" i="7"/>
  <c r="E184" i="7"/>
  <c r="E144" i="7"/>
  <c r="E132" i="7"/>
  <c r="E318" i="7"/>
  <c r="E263" i="7"/>
  <c r="E224" i="7"/>
  <c r="E167" i="7"/>
  <c r="E226" i="7"/>
  <c r="E103" i="7"/>
  <c r="E168" i="7"/>
  <c r="E125" i="7"/>
  <c r="E129" i="7"/>
  <c r="E156" i="7"/>
  <c r="E110" i="7"/>
  <c r="E98" i="7"/>
  <c r="E99" i="7"/>
  <c r="E285" i="7"/>
  <c r="E269" i="7"/>
  <c r="E203" i="7"/>
  <c r="E146" i="7"/>
  <c r="E107" i="7"/>
  <c r="E89" i="7"/>
  <c r="E229" i="7"/>
  <c r="E152" i="7"/>
  <c r="E143" i="7"/>
  <c r="E85" i="7"/>
  <c r="E109" i="7"/>
  <c r="E279" i="7"/>
  <c r="E82" i="7"/>
  <c r="E95" i="7"/>
  <c r="E187" i="7"/>
  <c r="E242" i="7"/>
  <c r="E191" i="7"/>
  <c r="E121" i="7"/>
  <c r="E234" i="7"/>
  <c r="E137" i="7"/>
  <c r="E80" i="7"/>
  <c r="E154" i="7"/>
  <c r="E113" i="7"/>
  <c r="E93" i="7"/>
  <c r="E186" i="7"/>
  <c r="E75" i="7"/>
  <c r="E181" i="7"/>
  <c r="E214" i="7"/>
  <c r="E139" i="7"/>
  <c r="E119" i="7"/>
  <c r="E114" i="7"/>
  <c r="E429" i="7"/>
  <c r="E221" i="7"/>
  <c r="E74" i="7"/>
  <c r="E86" i="7"/>
  <c r="E97" i="7"/>
  <c r="E87" i="7"/>
  <c r="E112" i="7"/>
  <c r="E104" i="7"/>
  <c r="E67" i="7"/>
  <c r="E118" i="7"/>
  <c r="E189" i="7"/>
  <c r="E94" i="7"/>
  <c r="E78" i="7"/>
  <c r="E363" i="7"/>
  <c r="E65" i="7"/>
  <c r="E142" i="7"/>
  <c r="E83" i="7"/>
  <c r="E57" i="7"/>
  <c r="E90" i="7"/>
  <c r="E126" i="7"/>
  <c r="E239" i="7"/>
  <c r="E219" i="7"/>
  <c r="E61" i="7"/>
  <c r="E54" i="7"/>
  <c r="E72" i="7"/>
  <c r="E100" i="7"/>
  <c r="E108" i="7"/>
  <c r="E81" i="7"/>
  <c r="E111" i="7"/>
  <c r="E159" i="7"/>
  <c r="E64" i="7"/>
  <c r="E163" i="7"/>
  <c r="E151" i="7"/>
  <c r="E50" i="7"/>
  <c r="E66" i="7"/>
  <c r="E73" i="7"/>
  <c r="E106" i="7"/>
  <c r="E255" i="7"/>
  <c r="E70" i="7"/>
  <c r="E88" i="7"/>
  <c r="E47" i="7"/>
  <c r="E135" i="7"/>
  <c r="E149" i="7"/>
  <c r="E96" i="7"/>
  <c r="E36" i="7"/>
  <c r="E117" i="7"/>
  <c r="E138" i="7"/>
  <c r="E91" i="7"/>
  <c r="E39" i="7"/>
  <c r="E42" i="7"/>
  <c r="E51" i="7"/>
  <c r="E48" i="7"/>
  <c r="E79" i="7"/>
  <c r="E52" i="7"/>
  <c r="E69" i="7"/>
  <c r="E77" i="7"/>
  <c r="E124" i="7"/>
  <c r="E101" i="7"/>
  <c r="E49" i="7"/>
  <c r="E71" i="7"/>
  <c r="E37" i="7"/>
  <c r="E272" i="7"/>
  <c r="E43" i="7"/>
  <c r="E35" i="7"/>
  <c r="E62" i="7"/>
  <c r="E34" i="7"/>
  <c r="E44" i="7"/>
  <c r="E115" i="7"/>
  <c r="E38" i="7"/>
  <c r="E25" i="7"/>
  <c r="E55" i="7"/>
  <c r="E40" i="7"/>
  <c r="E45" i="7"/>
  <c r="E63" i="7"/>
  <c r="E28" i="7"/>
  <c r="E41" i="7"/>
  <c r="E84" i="7"/>
  <c r="E60" i="7"/>
  <c r="E92" i="7"/>
  <c r="E27" i="7"/>
  <c r="E102" i="7"/>
  <c r="E58" i="7"/>
  <c r="E32" i="7"/>
  <c r="E53" i="7"/>
  <c r="E30" i="7"/>
  <c r="E22" i="7"/>
  <c r="E29" i="7"/>
  <c r="E31" i="7"/>
  <c r="E26" i="7"/>
  <c r="E76" i="7"/>
  <c r="E68" i="7"/>
  <c r="E46" i="7"/>
  <c r="E23" i="7"/>
  <c r="E56" i="7"/>
  <c r="E21" i="7"/>
  <c r="E16" i="7"/>
  <c r="E18" i="7"/>
  <c r="E19" i="7"/>
  <c r="E59" i="7"/>
  <c r="E17" i="7"/>
  <c r="E14" i="7"/>
  <c r="E24" i="7"/>
  <c r="E33" i="7"/>
  <c r="E12" i="7"/>
  <c r="E8" i="7"/>
  <c r="E9" i="7"/>
  <c r="E7" i="7"/>
  <c r="E11" i="7"/>
  <c r="E13" i="7"/>
  <c r="E15" i="7"/>
  <c r="E10" i="7"/>
  <c r="E6" i="7"/>
  <c r="E5" i="7"/>
  <c r="E20" i="7"/>
  <c r="D715" i="7"/>
  <c r="D722" i="7"/>
  <c r="D190" i="7"/>
  <c r="D87" i="7"/>
  <c r="D35" i="7"/>
  <c r="D86" i="7"/>
  <c r="D48" i="7"/>
  <c r="D516" i="7"/>
  <c r="D334" i="7"/>
  <c r="D233" i="7"/>
  <c r="D114" i="7"/>
  <c r="D126" i="7"/>
  <c r="D106" i="7"/>
  <c r="D71" i="7"/>
  <c r="D279" i="7"/>
  <c r="D547" i="7"/>
  <c r="D511" i="7"/>
  <c r="D418" i="7"/>
  <c r="D548" i="7"/>
  <c r="D558" i="7"/>
  <c r="D405" i="7"/>
  <c r="D586" i="7"/>
  <c r="D319" i="7"/>
  <c r="D585" i="7"/>
  <c r="D642" i="7"/>
  <c r="D376" i="7"/>
  <c r="D607" i="7"/>
  <c r="D350" i="7"/>
  <c r="D502" i="7"/>
  <c r="D782" i="7"/>
  <c r="D750" i="7"/>
  <c r="D467" i="7"/>
  <c r="D769" i="7"/>
  <c r="D765" i="7"/>
  <c r="D697" i="7"/>
  <c r="D698" i="7"/>
  <c r="D536" i="7"/>
  <c r="D764" i="7"/>
  <c r="D517" i="7"/>
  <c r="D716" i="7"/>
  <c r="D784" i="7"/>
  <c r="D682" i="7"/>
  <c r="D672" i="7"/>
  <c r="D436" i="7"/>
  <c r="D513" i="7"/>
  <c r="D545" i="7"/>
  <c r="D644" i="7"/>
  <c r="D638" i="7"/>
  <c r="D634" i="7"/>
  <c r="D688" i="7"/>
  <c r="D597" i="7"/>
  <c r="D724" i="7"/>
  <c r="D601" i="7"/>
  <c r="D720" i="7"/>
  <c r="D671" i="7"/>
  <c r="D630" i="7"/>
  <c r="D453" i="7"/>
  <c r="D631" i="7"/>
  <c r="D56" i="7"/>
  <c r="D203" i="7"/>
  <c r="D62" i="7"/>
  <c r="D458" i="7"/>
  <c r="D221" i="7"/>
  <c r="D118" i="7"/>
  <c r="D759" i="7"/>
  <c r="D743" i="7"/>
  <c r="D496" i="7"/>
  <c r="D571" i="7"/>
  <c r="D393" i="7"/>
  <c r="D287" i="7"/>
  <c r="D150" i="7"/>
  <c r="D51" i="7"/>
  <c r="D595" i="7"/>
  <c r="D779" i="7"/>
  <c r="D776" i="7"/>
  <c r="D768" i="7"/>
  <c r="D230" i="7"/>
  <c r="D224" i="7"/>
  <c r="D781" i="7"/>
  <c r="D771" i="7"/>
  <c r="D761" i="7"/>
  <c r="D760" i="7"/>
  <c r="D684" i="7"/>
  <c r="D681" i="7"/>
  <c r="D495" i="7"/>
  <c r="D354" i="7"/>
  <c r="D258" i="7"/>
  <c r="D637" i="7"/>
  <c r="D127" i="7"/>
  <c r="D606" i="7"/>
  <c r="D707" i="7"/>
  <c r="D655" i="7"/>
  <c r="D701" i="7"/>
  <c r="D705" i="7"/>
  <c r="D632" i="7"/>
  <c r="D508" i="7"/>
  <c r="D753" i="7"/>
  <c r="D773" i="7"/>
  <c r="D767" i="7"/>
  <c r="D751" i="7"/>
  <c r="D747" i="7"/>
  <c r="D749" i="7"/>
  <c r="D739" i="7"/>
  <c r="D730" i="7"/>
  <c r="D680" i="7"/>
  <c r="D775" i="7"/>
  <c r="D703" i="7"/>
  <c r="D757" i="7"/>
  <c r="D766" i="7"/>
  <c r="D668" i="7"/>
  <c r="D704" i="7"/>
  <c r="D744" i="7"/>
  <c r="D687" i="7"/>
  <c r="D717" i="7"/>
  <c r="D549" i="7"/>
  <c r="D481" i="7"/>
  <c r="D758" i="7"/>
  <c r="D454" i="7"/>
  <c r="D386" i="7"/>
  <c r="D731" i="7"/>
  <c r="D729" i="7"/>
  <c r="D738" i="7"/>
  <c r="D772" i="7"/>
  <c r="D737" i="7"/>
  <c r="D569" i="7"/>
  <c r="D374" i="7"/>
  <c r="D587" i="7"/>
  <c r="D505" i="7"/>
  <c r="D389" i="7"/>
  <c r="D410" i="7"/>
  <c r="D305" i="7"/>
  <c r="D59" i="7"/>
  <c r="D22" i="7"/>
  <c r="D255" i="7"/>
  <c r="D419" i="7"/>
  <c r="D239" i="7"/>
  <c r="D102" i="7"/>
  <c r="D346" i="7"/>
  <c r="D159" i="7"/>
  <c r="D92" i="7"/>
  <c r="D497" i="7"/>
  <c r="D523" i="7"/>
  <c r="D588" i="7"/>
  <c r="D363" i="7"/>
  <c r="D613" i="7"/>
  <c r="D429" i="7"/>
  <c r="D272" i="7"/>
  <c r="D84" i="7"/>
  <c r="D476" i="7"/>
  <c r="D189" i="7"/>
  <c r="D63" i="7"/>
  <c r="D264" i="7"/>
  <c r="D111" i="7"/>
  <c r="D55" i="7"/>
  <c r="D352" i="7"/>
  <c r="D142" i="7"/>
  <c r="D322" i="7"/>
  <c r="D73" i="7"/>
  <c r="D29" i="7"/>
  <c r="D332" i="7"/>
  <c r="D307" i="7"/>
  <c r="D187" i="7"/>
  <c r="D88" i="7"/>
  <c r="D69" i="7"/>
  <c r="D115" i="7"/>
  <c r="D266" i="7"/>
  <c r="D124" i="7"/>
  <c r="D60" i="7"/>
  <c r="D151" i="7"/>
  <c r="D53" i="7"/>
  <c r="D20" i="7"/>
  <c r="D17" i="7"/>
  <c r="D13" i="7"/>
  <c r="D5" i="7"/>
  <c r="D11" i="7"/>
  <c r="D33" i="7"/>
  <c r="D15" i="7"/>
  <c r="D24" i="7"/>
  <c r="D10" i="7"/>
  <c r="D7" i="7"/>
  <c r="D6" i="7"/>
  <c r="D746" i="7"/>
  <c r="D725" i="7"/>
  <c r="D425" i="7"/>
  <c r="D579" i="7"/>
  <c r="D145" i="7"/>
  <c r="D64" i="7"/>
  <c r="D27" i="7"/>
  <c r="D600" i="7"/>
  <c r="D427" i="7"/>
  <c r="D462" i="7"/>
  <c r="D576" i="7"/>
  <c r="D328" i="7"/>
  <c r="D180" i="7"/>
  <c r="D364" i="7"/>
  <c r="D49" i="7"/>
  <c r="D506" i="7"/>
  <c r="D690" i="7"/>
  <c r="D483" i="7"/>
  <c r="D423" i="7"/>
  <c r="D137" i="7"/>
  <c r="D90" i="7"/>
  <c r="D685" i="7"/>
  <c r="D299" i="7"/>
  <c r="D622" i="7"/>
  <c r="D336" i="7"/>
  <c r="D179" i="7"/>
  <c r="D236" i="7"/>
  <c r="D360" i="7"/>
  <c r="D52" i="7"/>
  <c r="D204" i="7"/>
  <c r="D28" i="7"/>
  <c r="D643" i="7"/>
  <c r="D125" i="7"/>
  <c r="D156" i="7"/>
  <c r="D482" i="7"/>
  <c r="D72" i="7"/>
  <c r="D416" i="7"/>
  <c r="D412" i="7"/>
  <c r="D320" i="7"/>
  <c r="D202" i="7"/>
  <c r="D274" i="7"/>
  <c r="D267" i="7"/>
  <c r="D254" i="7"/>
  <c r="D269" i="7"/>
  <c r="D469" i="7"/>
  <c r="D282" i="7"/>
  <c r="D692" i="7"/>
  <c r="D234" i="7"/>
  <c r="D559" i="7"/>
  <c r="D277" i="7"/>
  <c r="D285" i="7"/>
  <c r="D191" i="7"/>
  <c r="D471" i="7"/>
  <c r="D229" i="7"/>
  <c r="D381" i="7"/>
  <c r="D168" i="7"/>
  <c r="D228" i="7"/>
  <c r="D723" i="7"/>
  <c r="D686" i="7"/>
  <c r="D783" i="7"/>
  <c r="D780" i="7"/>
  <c r="D732" i="7"/>
  <c r="D640" i="7"/>
  <c r="D649" i="7"/>
  <c r="D708" i="7"/>
  <c r="D598" i="7"/>
  <c r="D480" i="7"/>
  <c r="D763" i="7"/>
  <c r="D677" i="7"/>
  <c r="D695" i="7"/>
  <c r="D577" i="7"/>
  <c r="D654" i="7"/>
  <c r="D629" i="7"/>
  <c r="D582" i="7"/>
  <c r="D263" i="7"/>
  <c r="D479" i="7"/>
  <c r="D414" i="7"/>
  <c r="D529" i="7"/>
  <c r="D524" i="7"/>
  <c r="D560" i="7"/>
  <c r="D220" i="7"/>
  <c r="D507" i="7"/>
  <c r="D441" i="7"/>
  <c r="D592" i="7"/>
  <c r="D196" i="7"/>
  <c r="D473" i="7"/>
  <c r="D535" i="7"/>
  <c r="D602" i="7"/>
  <c r="D240" i="7"/>
  <c r="D276" i="7"/>
  <c r="D546" i="7"/>
  <c r="D235" i="7"/>
  <c r="D674" i="7"/>
  <c r="D554" i="7"/>
  <c r="D424" i="7"/>
  <c r="D271" i="7"/>
  <c r="D653" i="7"/>
  <c r="D472" i="7"/>
  <c r="D461" i="7"/>
  <c r="D542" i="7"/>
  <c r="D325" i="7"/>
  <c r="D603" i="7"/>
  <c r="D365" i="7"/>
  <c r="D44" i="7"/>
  <c r="D216" i="7"/>
  <c r="D66" i="7"/>
  <c r="D23" i="7"/>
  <c r="D268" i="7"/>
  <c r="D81" i="7"/>
  <c r="D32" i="7"/>
  <c r="D178" i="7"/>
  <c r="D170" i="7"/>
  <c r="D37" i="7"/>
  <c r="D16" i="7"/>
  <c r="D143" i="7"/>
  <c r="D45" i="7"/>
  <c r="D19" i="7"/>
  <c r="D104" i="7"/>
  <c r="D41" i="7"/>
  <c r="D14" i="7"/>
  <c r="D553" i="7"/>
  <c r="D568" i="7"/>
  <c r="D428" i="7"/>
  <c r="D154" i="7"/>
  <c r="D108" i="7"/>
  <c r="D58" i="7"/>
  <c r="D525" i="7"/>
  <c r="D452" i="7"/>
  <c r="D330" i="7"/>
  <c r="D163" i="7"/>
  <c r="D117" i="7"/>
  <c r="D101" i="7"/>
  <c r="D96" i="7"/>
  <c r="D68" i="7"/>
  <c r="D561" i="7"/>
  <c r="D242" i="7"/>
  <c r="D238" i="7"/>
  <c r="D91" i="7"/>
  <c r="D219" i="7"/>
  <c r="D76" i="7"/>
  <c r="D46" i="7"/>
  <c r="D614" i="7"/>
  <c r="D689" i="7"/>
  <c r="D589" i="7"/>
  <c r="D446" i="7"/>
  <c r="D455" i="7"/>
  <c r="D273" i="7"/>
  <c r="D265" i="7"/>
  <c r="D181" i="7"/>
  <c r="D149" i="7"/>
  <c r="D308" i="7"/>
  <c r="D138" i="7"/>
  <c r="D357" i="7"/>
  <c r="D135" i="7"/>
  <c r="D302" i="7"/>
  <c r="D391" i="7"/>
  <c r="D290" i="7"/>
  <c r="D309" i="7"/>
  <c r="D186" i="7"/>
  <c r="D392" i="7"/>
  <c r="D253" i="7"/>
  <c r="D337" i="7"/>
  <c r="D318" i="7"/>
  <c r="D214" i="7"/>
  <c r="D304" i="7"/>
  <c r="D270" i="7"/>
  <c r="D401" i="7"/>
  <c r="D226" i="7"/>
  <c r="D521" i="7"/>
  <c r="D225" i="7"/>
  <c r="D466" i="7"/>
  <c r="D288" i="7"/>
  <c r="D339" i="7"/>
  <c r="D411" i="7"/>
  <c r="D259" i="7"/>
  <c r="D399" i="7"/>
  <c r="D300" i="7"/>
  <c r="D291" i="7"/>
  <c r="D335" i="7"/>
  <c r="D409" i="7"/>
  <c r="D618" i="7"/>
  <c r="D552" i="7"/>
  <c r="D691" i="7"/>
  <c r="D531" i="7"/>
  <c r="D382" i="7"/>
  <c r="D417" i="7"/>
  <c r="D311" i="7"/>
  <c r="D129" i="7"/>
  <c r="D670" i="7"/>
  <c r="D709" i="7"/>
  <c r="D628" i="7"/>
  <c r="D539" i="7"/>
  <c r="D400" i="7"/>
  <c r="D491" i="7"/>
  <c r="D303" i="7"/>
  <c r="D326" i="7"/>
  <c r="D778" i="7"/>
  <c r="D756" i="7"/>
  <c r="D635" i="7"/>
  <c r="D538" i="7"/>
  <c r="D503" i="7"/>
  <c r="D421" i="7"/>
  <c r="D487" i="7"/>
  <c r="D366" i="7"/>
  <c r="D463" i="7"/>
  <c r="D301" i="7"/>
  <c r="D443" i="7"/>
  <c r="D262" i="7"/>
  <c r="D475" i="7"/>
  <c r="D324" i="7"/>
  <c r="D286" i="7"/>
  <c r="D596" i="7"/>
  <c r="D367" i="7"/>
  <c r="D604" i="7"/>
  <c r="D372" i="7"/>
  <c r="D641" i="7"/>
  <c r="D347" i="7"/>
  <c r="D522" i="7"/>
  <c r="D327" i="7"/>
  <c r="D563" i="7"/>
  <c r="D379" i="7"/>
  <c r="D580" i="7"/>
  <c r="D215" i="7"/>
  <c r="D551" i="7"/>
  <c r="D355" i="7"/>
  <c r="D519" i="7"/>
  <c r="D333" i="7"/>
  <c r="D550" i="7"/>
  <c r="D395" i="7"/>
  <c r="D645" i="7"/>
  <c r="D368" i="7"/>
  <c r="D489" i="7"/>
  <c r="D437" i="7"/>
  <c r="D578" i="7"/>
  <c r="D398" i="7"/>
  <c r="D493" i="7"/>
  <c r="D664" i="7"/>
  <c r="D673" i="7"/>
  <c r="D362" i="7"/>
  <c r="D501" i="7"/>
  <c r="D356" i="7"/>
  <c r="D633" i="7"/>
  <c r="D406" i="7"/>
  <c r="D591" i="7"/>
  <c r="D514" i="7"/>
  <c r="D623" i="7"/>
  <c r="D477" i="7"/>
  <c r="D608" i="7"/>
  <c r="D499" i="7"/>
  <c r="D584" i="7"/>
  <c r="D449" i="7"/>
  <c r="D413" i="7"/>
  <c r="D754" i="7"/>
  <c r="D459" i="7"/>
  <c r="D390" i="7"/>
  <c r="D315" i="7"/>
  <c r="D719" i="7"/>
  <c r="D728" i="7"/>
  <c r="D702" i="7"/>
  <c r="D647" i="7"/>
  <c r="D683" i="7"/>
  <c r="D369" i="7"/>
  <c r="D660" i="7"/>
  <c r="D745" i="7"/>
  <c r="D718" i="7"/>
  <c r="D700" i="7"/>
  <c r="D652" i="7"/>
  <c r="D534" i="7"/>
  <c r="D316" i="7"/>
  <c r="D555" i="7"/>
  <c r="D250" i="7"/>
  <c r="D257" i="7"/>
  <c r="D594" i="7"/>
  <c r="D384" i="7"/>
  <c r="D733" i="7"/>
  <c r="D358" i="7"/>
  <c r="D636" i="7"/>
  <c r="D676" i="7"/>
  <c r="D627" i="7"/>
  <c r="D77" i="7"/>
  <c r="D42" i="7"/>
  <c r="D21" i="7"/>
  <c r="D94" i="7"/>
  <c r="D9" i="7"/>
  <c r="D97" i="7"/>
  <c r="D26" i="7"/>
  <c r="D8" i="7"/>
  <c r="D113" i="7"/>
  <c r="D30" i="7"/>
  <c r="D12" i="7"/>
  <c r="D167" i="7"/>
  <c r="D40" i="7"/>
  <c r="D119" i="7"/>
  <c r="D31" i="7"/>
  <c r="D146" i="7"/>
  <c r="D38" i="7"/>
  <c r="D18" i="7"/>
  <c r="D109" i="7"/>
  <c r="D43" i="7"/>
  <c r="D152" i="7"/>
  <c r="D567" i="7"/>
  <c r="D433" i="7"/>
  <c r="D625" i="7"/>
  <c r="D420" i="7"/>
  <c r="D321" i="7"/>
  <c r="D284" i="7"/>
  <c r="D141" i="7"/>
  <c r="D696" i="7"/>
  <c r="D394" i="7"/>
  <c r="D260" i="7"/>
  <c r="D205" i="7"/>
  <c r="D54" i="7"/>
  <c r="D80" i="7"/>
  <c r="D36" i="7"/>
  <c r="D25" i="7"/>
  <c r="D243" i="7"/>
  <c r="D445" i="7"/>
  <c r="D34" i="7"/>
  <c r="D57" i="7"/>
  <c r="D590" i="7"/>
  <c r="D210" i="7"/>
  <c r="D383" i="7"/>
  <c r="D197" i="7"/>
  <c r="D217" i="7"/>
  <c r="D380" i="7"/>
  <c r="D193" i="7"/>
  <c r="D518" i="7"/>
  <c r="D211" i="7"/>
  <c r="D488" i="7"/>
  <c r="D227" i="7"/>
  <c r="D451" i="7"/>
  <c r="D206" i="7"/>
  <c r="D530" i="7"/>
  <c r="D256" i="7"/>
  <c r="D575" i="7"/>
  <c r="D278" i="7"/>
  <c r="D456" i="7"/>
  <c r="D317" i="7"/>
  <c r="D544" i="7"/>
  <c r="D153" i="7"/>
  <c r="D520" i="7"/>
  <c r="D353" i="7"/>
  <c r="D667" i="7"/>
  <c r="D283" i="7"/>
  <c r="D528" i="7"/>
  <c r="D280" i="7"/>
  <c r="D742" i="7"/>
  <c r="D359" i="7"/>
  <c r="D669" i="7"/>
  <c r="D512" i="7"/>
  <c r="D537" i="7"/>
  <c r="D486" i="7"/>
  <c r="D714" i="7"/>
  <c r="D338" i="7"/>
  <c r="D583" i="7"/>
  <c r="D434" i="7"/>
  <c r="D599" i="7"/>
  <c r="D344" i="7"/>
  <c r="D620" i="7"/>
  <c r="D292" i="7"/>
  <c r="D474" i="7"/>
  <c r="D294" i="7"/>
  <c r="D422" i="7"/>
  <c r="D222" i="7"/>
  <c r="D385" i="7"/>
  <c r="D121" i="7"/>
  <c r="D415" i="7"/>
  <c r="D83" i="7"/>
  <c r="D450" i="7"/>
  <c r="D78" i="7"/>
  <c r="D468" i="7"/>
  <c r="D157" i="7"/>
  <c r="D241" i="7"/>
  <c r="D713" i="7"/>
  <c r="D665" i="7"/>
  <c r="D564" i="7"/>
  <c r="D617" i="7"/>
  <c r="D679" i="7"/>
  <c r="D490" i="7"/>
  <c r="D527" i="7"/>
  <c r="D361" i="7"/>
  <c r="D533" i="7"/>
  <c r="D666" i="7"/>
  <c r="D438" i="7"/>
  <c r="D573" i="7"/>
  <c r="D439" i="7"/>
  <c r="D199" i="7"/>
  <c r="D244" i="7"/>
  <c r="D532" i="7"/>
  <c r="D348" i="7"/>
  <c r="D657" i="7"/>
  <c r="D543" i="7"/>
  <c r="D574" i="7"/>
  <c r="D251" i="7"/>
  <c r="D492" i="7"/>
  <c r="D237" i="7"/>
  <c r="D306" i="7"/>
  <c r="D605" i="7"/>
  <c r="D624" i="7"/>
  <c r="D201" i="7"/>
  <c r="D619" i="7"/>
  <c r="D435" i="7"/>
  <c r="D570" i="7"/>
  <c r="D748" i="7"/>
  <c r="D626" i="7"/>
  <c r="D470" i="7"/>
  <c r="D478" i="7"/>
  <c r="D710" i="7"/>
  <c r="D331" i="7"/>
  <c r="D408" i="7"/>
  <c r="D172" i="7"/>
  <c r="D144" i="7"/>
  <c r="D612" i="7"/>
  <c r="D171" i="7"/>
  <c r="D648" i="7"/>
  <c r="D209" i="7"/>
  <c r="D711" i="7"/>
  <c r="D432" i="7"/>
  <c r="D726" i="7"/>
  <c r="D174" i="7"/>
  <c r="D556" i="7"/>
  <c r="D566" i="7"/>
  <c r="D651" i="7"/>
  <c r="D377" i="7"/>
  <c r="D313" i="7"/>
  <c r="D404" i="7"/>
  <c r="D218" i="7"/>
  <c r="D134" i="7"/>
  <c r="D777" i="7"/>
  <c r="D161" i="7"/>
  <c r="D82" i="7"/>
  <c r="D123" i="7"/>
  <c r="D158" i="7"/>
  <c r="D136" i="7"/>
  <c r="D89" i="7"/>
  <c r="D663" i="7"/>
  <c r="D464" i="7"/>
  <c r="D484" i="7"/>
  <c r="D351" i="7"/>
  <c r="D176" i="7"/>
  <c r="D107" i="7"/>
  <c r="D67" i="7"/>
  <c r="D50" i="7"/>
  <c r="D562" i="7"/>
  <c r="D194" i="7"/>
  <c r="D447" i="7"/>
  <c r="D198" i="7"/>
  <c r="D444" i="7"/>
  <c r="D162" i="7"/>
  <c r="D329" i="7"/>
  <c r="D440" i="7"/>
  <c r="D295" i="7"/>
  <c r="D297" i="7"/>
  <c r="D105" i="7"/>
  <c r="D442" i="7"/>
  <c r="D85" i="7"/>
  <c r="D246" i="7"/>
  <c r="D75" i="7"/>
  <c r="D207" i="7"/>
  <c r="D103" i="7"/>
  <c r="D249" i="7"/>
  <c r="D99" i="7"/>
  <c r="D314" i="7"/>
  <c r="D195" i="7"/>
  <c r="D460" i="7"/>
  <c r="D133" i="7"/>
  <c r="D693" i="7"/>
  <c r="D185" i="7"/>
  <c r="D402" i="7"/>
  <c r="D182" i="7"/>
  <c r="D116" i="7"/>
  <c r="D572" i="7"/>
  <c r="D130" i="7"/>
  <c r="D621" i="7"/>
  <c r="D132" i="7"/>
  <c r="D397" i="7"/>
  <c r="D165" i="7"/>
  <c r="D465" i="7"/>
  <c r="D147" i="7"/>
  <c r="D426" i="7"/>
  <c r="D128" i="7"/>
  <c r="D557" i="7"/>
  <c r="D494" i="7"/>
  <c r="D378" i="7"/>
  <c r="D485" i="7"/>
  <c r="D296" i="7"/>
  <c r="D457" i="7"/>
  <c r="D699" i="7"/>
  <c r="D232" i="7"/>
  <c r="D74" i="7"/>
  <c r="D387" i="7"/>
  <c r="D155" i="7"/>
  <c r="D388" i="7"/>
  <c r="D169" i="7"/>
  <c r="D431" i="7"/>
  <c r="D65" i="7"/>
  <c r="D515" i="7"/>
  <c r="D148" i="7"/>
  <c r="D712" i="7"/>
  <c r="D140" i="7"/>
  <c r="D247" i="7"/>
  <c r="D98" i="7"/>
  <c r="D312" i="7"/>
  <c r="D448" i="7"/>
  <c r="D160" i="7"/>
  <c r="D293" i="7"/>
  <c r="D310" i="7"/>
  <c r="D131" i="7"/>
  <c r="D581" i="7"/>
  <c r="D212" i="7"/>
  <c r="D192" i="7"/>
  <c r="D541" i="7"/>
  <c r="D616" i="7"/>
  <c r="D289" i="7"/>
  <c r="D281" i="7"/>
  <c r="D95" i="7"/>
  <c r="D659" i="7"/>
  <c r="D231" i="7"/>
  <c r="D298" i="7"/>
  <c r="D47" i="7"/>
  <c r="D510" i="7"/>
  <c r="D122" i="7"/>
  <c r="D396" i="7"/>
  <c r="D173" i="7"/>
  <c r="D345" i="7"/>
  <c r="D611" i="7"/>
  <c r="D188" i="7"/>
  <c r="D341" i="7"/>
  <c r="D120" i="7"/>
  <c r="D639" i="7"/>
  <c r="D323" i="7"/>
  <c r="D340" i="7"/>
  <c r="D610" i="7"/>
  <c r="D678" i="7"/>
  <c r="D245" i="7"/>
  <c r="D342" i="7"/>
  <c r="D166" i="7"/>
  <c r="D565" i="7"/>
  <c r="D200" i="7"/>
  <c r="D721" i="7"/>
  <c r="D706" i="7"/>
  <c r="D762" i="7"/>
  <c r="D540" i="7"/>
  <c r="D774" i="7"/>
  <c r="D735" i="7"/>
  <c r="D741" i="7"/>
  <c r="D370" i="7"/>
  <c r="D275" i="7"/>
  <c r="D727" i="7"/>
  <c r="D615" i="7"/>
  <c r="D70" i="7"/>
  <c r="D661" i="7"/>
  <c r="D498" i="7"/>
  <c r="D343" i="7"/>
  <c r="D183" i="7"/>
  <c r="D93" i="7"/>
  <c r="D39" i="7"/>
  <c r="D658" i="7"/>
  <c r="D349" i="7"/>
  <c r="D662" i="7"/>
  <c r="D593" i="7"/>
  <c r="D177" i="7"/>
  <c r="D261" i="7"/>
  <c r="D175" i="7"/>
  <c r="D110" i="7"/>
  <c r="D500" i="7"/>
  <c r="D734" i="7"/>
  <c r="D79" i="7"/>
  <c r="D770" i="7"/>
  <c r="D164" i="7"/>
  <c r="D61" i="7"/>
  <c r="D252" i="7"/>
  <c r="D403" i="7"/>
  <c r="D371" i="7"/>
  <c r="D646" i="7"/>
  <c r="D248" i="7"/>
  <c r="D755" i="7"/>
  <c r="D694" i="7"/>
  <c r="D752" i="7"/>
  <c r="D375" i="7"/>
  <c r="D740" i="7"/>
  <c r="D223" i="7"/>
  <c r="D656" i="7"/>
  <c r="D407" i="7"/>
  <c r="D675" i="7"/>
  <c r="D736" i="7"/>
  <c r="D373" i="7"/>
  <c r="D430" i="7"/>
  <c r="D208" i="7"/>
  <c r="D509" i="7"/>
  <c r="D100" i="7"/>
  <c r="D112" i="7"/>
  <c r="D526" i="7"/>
  <c r="D139" i="7"/>
  <c r="D609" i="7"/>
  <c r="D184" i="7"/>
  <c r="D504" i="7"/>
  <c r="D213" i="7"/>
  <c r="D650" i="7"/>
  <c r="S5" i="6"/>
  <c r="T5" i="6" s="1"/>
  <c r="G5" i="6"/>
  <c r="E5" i="6"/>
  <c r="S4" i="6"/>
  <c r="T4" i="6" s="1"/>
  <c r="G4" i="6"/>
  <c r="E4" i="6"/>
  <c r="S3" i="6"/>
  <c r="T3" i="6" s="1"/>
  <c r="G3" i="6"/>
  <c r="E3" i="6"/>
  <c r="S2" i="6"/>
  <c r="T2" i="6" s="1"/>
  <c r="E2" i="6"/>
  <c r="G2" i="2"/>
  <c r="E2" i="2"/>
  <c r="R2" i="2"/>
  <c r="S2" i="2" s="1"/>
</calcChain>
</file>

<file path=xl/sharedStrings.xml><?xml version="1.0" encoding="utf-8"?>
<sst xmlns="http://schemas.openxmlformats.org/spreadsheetml/2006/main" count="6848" uniqueCount="6798">
  <si>
    <t>Beige</t>
  </si>
  <si>
    <t>Light Ivory</t>
  </si>
  <si>
    <t>Grey Beige</t>
  </si>
  <si>
    <t>Olive Yellow</t>
  </si>
  <si>
    <t>Reed Green</t>
  </si>
  <si>
    <t>Pale Green</t>
  </si>
  <si>
    <t>Olive Grey</t>
  </si>
  <si>
    <t>Pebble Grey</t>
  </si>
  <si>
    <t>Clay Brown</t>
  </si>
  <si>
    <t>Signal White</t>
  </si>
  <si>
    <t>Pure White</t>
  </si>
  <si>
    <t>RAL 9010</t>
  </si>
  <si>
    <t>RAL 1001</t>
  </si>
  <si>
    <t>RAL 1015</t>
  </si>
  <si>
    <t>RAL 1019</t>
  </si>
  <si>
    <t>RAL 1020</t>
  </si>
  <si>
    <t>RAL 6013</t>
  </si>
  <si>
    <t>RAL 6021</t>
  </si>
  <si>
    <t>RAL 7002</t>
  </si>
  <si>
    <t>RAL 7032</t>
  </si>
  <si>
    <t>RAL 8003</t>
  </si>
  <si>
    <t>RAL 9003</t>
  </si>
  <si>
    <t>RAL</t>
  </si>
  <si>
    <t>Name</t>
  </si>
  <si>
    <t>HEX</t>
  </si>
  <si>
    <t>Hex Colour</t>
  </si>
  <si>
    <t>Shade</t>
  </si>
  <si>
    <t>Colour</t>
  </si>
  <si>
    <t>Shade Paint</t>
  </si>
  <si>
    <t>RGB</t>
  </si>
  <si>
    <t>Quantity sft</t>
  </si>
  <si>
    <t>Grade</t>
  </si>
  <si>
    <t>Material</t>
  </si>
  <si>
    <t>Coverage</t>
  </si>
  <si>
    <t>Coats</t>
  </si>
  <si>
    <t>Quantity</t>
  </si>
  <si>
    <t>Bottle size</t>
  </si>
  <si>
    <t>Cost</t>
  </si>
  <si>
    <t>Total</t>
  </si>
  <si>
    <t>Cost per sqft</t>
  </si>
  <si>
    <t>Hex Value</t>
  </si>
  <si>
    <t>D2B48C</t>
  </si>
  <si>
    <t>E8D6BB</t>
  </si>
  <si>
    <t>EEEEED</t>
  </si>
  <si>
    <t>Type</t>
  </si>
  <si>
    <t>New</t>
  </si>
  <si>
    <t>RAL Effect</t>
  </si>
  <si>
    <t>Sno</t>
  </si>
  <si>
    <t>Lum  Value</t>
  </si>
  <si>
    <t>Asian Colour</t>
  </si>
  <si>
    <t>Berger Colour</t>
  </si>
  <si>
    <t>Color Code</t>
  </si>
  <si>
    <t>Color Name</t>
  </si>
  <si>
    <t>RGB Value</t>
  </si>
  <si>
    <t>1P0001</t>
  </si>
  <si>
    <t>CHINA DOLL</t>
  </si>
  <si>
    <t>1P0002</t>
  </si>
  <si>
    <t>SWEET THING</t>
  </si>
  <si>
    <t>1P0003</t>
  </si>
  <si>
    <t>PINK ESCAPE</t>
  </si>
  <si>
    <t>1P0004</t>
  </si>
  <si>
    <t>TU TU</t>
  </si>
  <si>
    <t>1P0005</t>
  </si>
  <si>
    <t>SCALLOP SHELL</t>
  </si>
  <si>
    <t>1P0006</t>
  </si>
  <si>
    <t>PALE WOODROSE</t>
  </si>
  <si>
    <t>1P0007</t>
  </si>
  <si>
    <t>WINSOME</t>
  </si>
  <si>
    <t>1P0008</t>
  </si>
  <si>
    <t>WISHING PINK</t>
  </si>
  <si>
    <t>1P0010</t>
  </si>
  <si>
    <t>BABY'S BREATH</t>
  </si>
  <si>
    <t>1P0012</t>
  </si>
  <si>
    <t>SHEER PINK</t>
  </si>
  <si>
    <t>1P0013</t>
  </si>
  <si>
    <t>MAXI PINK</t>
  </si>
  <si>
    <t>1P0018</t>
  </si>
  <si>
    <t>PINK BEIGE</t>
  </si>
  <si>
    <t>1P0019</t>
  </si>
  <si>
    <t>PINK TINT</t>
  </si>
  <si>
    <t>1P0020</t>
  </si>
  <si>
    <t>COTTON PINK</t>
  </si>
  <si>
    <t>1P0021</t>
  </si>
  <si>
    <t>PALE CAMEO</t>
  </si>
  <si>
    <t>1P0023</t>
  </si>
  <si>
    <t>LIGHT CAMELIA</t>
  </si>
  <si>
    <t>1P0024</t>
  </si>
  <si>
    <t>LARKSPUR</t>
  </si>
  <si>
    <t>1P0025</t>
  </si>
  <si>
    <t>FRENCH LACE</t>
  </si>
  <si>
    <t>1P0026</t>
  </si>
  <si>
    <t>TWILIGHT HUSH</t>
  </si>
  <si>
    <t>1P0027</t>
  </si>
  <si>
    <t>EXQUISITE PEARL</t>
  </si>
  <si>
    <t>1P0028</t>
  </si>
  <si>
    <t>EARNEST PINK</t>
  </si>
  <si>
    <t>1P0029</t>
  </si>
  <si>
    <t>PALACE LIGHTS</t>
  </si>
  <si>
    <t>1P0030</t>
  </si>
  <si>
    <t>BERKSHIRE LACE</t>
  </si>
  <si>
    <t>1P0031</t>
  </si>
  <si>
    <t>LIGHTHEADED</t>
  </si>
  <si>
    <t>1P0032</t>
  </si>
  <si>
    <t>SPIRITED</t>
  </si>
  <si>
    <t>1P0217</t>
  </si>
  <si>
    <t>ADORABLE BLUSH</t>
  </si>
  <si>
    <t>1P0221</t>
  </si>
  <si>
    <t>BUBBLE</t>
  </si>
  <si>
    <t>1P0222</t>
  </si>
  <si>
    <t>BUFF APRICOT</t>
  </si>
  <si>
    <t>1P0313</t>
  </si>
  <si>
    <t>LITTLE FLOWER</t>
  </si>
  <si>
    <t>1P0317</t>
  </si>
  <si>
    <t>RISING PINK</t>
  </si>
  <si>
    <t>1P0318</t>
  </si>
  <si>
    <t>PINK GLIMMER</t>
  </si>
  <si>
    <t>1P0325</t>
  </si>
  <si>
    <t>FAIRY WING</t>
  </si>
  <si>
    <t>1P0433</t>
  </si>
  <si>
    <t>SUNRISE PINK</t>
  </si>
  <si>
    <t>1P0434</t>
  </si>
  <si>
    <t>PINKEST PINK</t>
  </si>
  <si>
    <t>1P0441</t>
  </si>
  <si>
    <t>ACACIA AIRE</t>
  </si>
  <si>
    <t>1P0442</t>
  </si>
  <si>
    <t>PINK DIMITY</t>
  </si>
  <si>
    <t>1P0457</t>
  </si>
  <si>
    <t>EDGE OF DAWN</t>
  </si>
  <si>
    <t>1P0458</t>
  </si>
  <si>
    <t>COTTON CANDY</t>
  </si>
  <si>
    <t>1P0465</t>
  </si>
  <si>
    <t>STRAWBERRY MIST</t>
  </si>
  <si>
    <t>1P0466</t>
  </si>
  <si>
    <t>AZALEA BLOSSOM</t>
  </si>
  <si>
    <t>1P0473</t>
  </si>
  <si>
    <t>TICKLED PINK</t>
  </si>
  <si>
    <t>1P0474</t>
  </si>
  <si>
    <t>SHELL CREEK</t>
  </si>
  <si>
    <t>1P0481</t>
  </si>
  <si>
    <t>BARELY BLUSH</t>
  </si>
  <si>
    <t>1P0482</t>
  </si>
  <si>
    <t>WHISPER OF ROSE</t>
  </si>
  <si>
    <t>1P0490</t>
  </si>
  <si>
    <t>HOW SWEET IT IS</t>
  </si>
  <si>
    <t>1P0497</t>
  </si>
  <si>
    <t>DADDY'S GIRL</t>
  </si>
  <si>
    <t>1P0498</t>
  </si>
  <si>
    <t>PLEASANT PINK</t>
  </si>
  <si>
    <t>1P0505</t>
  </si>
  <si>
    <t>SWEET SUNRISE</t>
  </si>
  <si>
    <t>1P0506</t>
  </si>
  <si>
    <t>SWEET TREAT</t>
  </si>
  <si>
    <t>1P0529</t>
  </si>
  <si>
    <t>CAMEO KISS</t>
  </si>
  <si>
    <t>1P0530</t>
  </si>
  <si>
    <t>SIMPLY SHELL</t>
  </si>
  <si>
    <t>1P0538</t>
  </si>
  <si>
    <t>YOUTHFUL DELIGHT</t>
  </si>
  <si>
    <t>1P0545</t>
  </si>
  <si>
    <t>ADANNA AIRE</t>
  </si>
  <si>
    <t>1P0546</t>
  </si>
  <si>
    <t>GENTLE HUSH</t>
  </si>
  <si>
    <t>1P0553</t>
  </si>
  <si>
    <t>FACE OF INNOCENCE</t>
  </si>
  <si>
    <t>1P0554</t>
  </si>
  <si>
    <t>HUSH BLUSH</t>
  </si>
  <si>
    <t>1P0561</t>
  </si>
  <si>
    <t>JUST BARELY</t>
  </si>
  <si>
    <t>1P0562</t>
  </si>
  <si>
    <t>SAND CORAL</t>
  </si>
  <si>
    <t>1P1901</t>
  </si>
  <si>
    <t>CUT DIAMOND</t>
  </si>
  <si>
    <t>1P1903</t>
  </si>
  <si>
    <t>RIVERIA</t>
  </si>
  <si>
    <t>248 , 229 , 223</t>
  </si>
  <si>
    <t>241 , 234 , 237</t>
  </si>
  <si>
    <t>246 , 218 , 216</t>
  </si>
  <si>
    <t>251 , 234 , 235</t>
  </si>
  <si>
    <t>250 , 225 , 229</t>
  </si>
  <si>
    <t>255 , 225 , 225</t>
  </si>
  <si>
    <t>246 , 210 , 205</t>
  </si>
  <si>
    <t>245 , 204 , 199</t>
  </si>
  <si>
    <t>247 , 230 , 226</t>
  </si>
  <si>
    <t>249 , 222 , 217</t>
  </si>
  <si>
    <t>236 , 185 , 176</t>
  </si>
  <si>
    <t>248 , 226 , 219</t>
  </si>
  <si>
    <t>240 , 222 , 214</t>
  </si>
  <si>
    <t>236 , 216 , 207</t>
  </si>
  <si>
    <t>231 , 207 , 198</t>
  </si>
  <si>
    <t>225 , 198 , 187</t>
  </si>
  <si>
    <t>213 , 185 , 179</t>
  </si>
  <si>
    <t>243 , 229 , 221</t>
  </si>
  <si>
    <t>232 , 218 , 210</t>
  </si>
  <si>
    <t>249 , 227 , 217</t>
  </si>
  <si>
    <t>249 , 226 , 210</t>
  </si>
  <si>
    <t>239 , 204 , 191</t>
  </si>
  <si>
    <t>244 , 209 , 193</t>
  </si>
  <si>
    <t>241 , 200 , 192</t>
  </si>
  <si>
    <t>228 , 200 , 190</t>
  </si>
  <si>
    <t>253 , 226 , 195</t>
  </si>
  <si>
    <t>250 , 235 , 219</t>
  </si>
  <si>
    <t>242 , 193 , 164</t>
  </si>
  <si>
    <t>249 , 233 , 234</t>
  </si>
  <si>
    <t>228 , 203 , 201</t>
  </si>
  <si>
    <t>218 , 186 , 191</t>
  </si>
  <si>
    <t>245 , 209 , 190</t>
  </si>
  <si>
    <t>242 , 211 , 213</t>
  </si>
  <si>
    <t>242 , 205 , 214</t>
  </si>
  <si>
    <t>249 , 221 , 221</t>
  </si>
  <si>
    <t>241 , 198 , 205</t>
  </si>
  <si>
    <t>251 , 227 , 232</t>
  </si>
  <si>
    <t>252 , 217 , 227</t>
  </si>
  <si>
    <t>253 , 225 , 231</t>
  </si>
  <si>
    <t>246 , 203 , 212</t>
  </si>
  <si>
    <t>252 , 228 , 225</t>
  </si>
  <si>
    <t>242 , 197 , 201</t>
  </si>
  <si>
    <t>251 , 221 , 220</t>
  </si>
  <si>
    <t>248 , 205 , 212</t>
  </si>
  <si>
    <t>255 , 216 , 222</t>
  </si>
  <si>
    <t>254 , 225 , 225</t>
  </si>
  <si>
    <t>251 , 204 , 205</t>
  </si>
  <si>
    <t>246 , 215 , 207</t>
  </si>
  <si>
    <t>242 , 198 , 198</t>
  </si>
  <si>
    <t>249 , 218 , 209</t>
  </si>
  <si>
    <t>239 , 189 , 180</t>
  </si>
  <si>
    <t>240 , 195 , 181</t>
  </si>
  <si>
    <t>248 , 224 , 206</t>
  </si>
  <si>
    <t>242 , 202 , 178</t>
  </si>
  <si>
    <t>251 , 226 , 210</t>
  </si>
  <si>
    <t>243 , 204 , 187</t>
  </si>
  <si>
    <t>247 , 224 , 205</t>
  </si>
  <si>
    <t>243 , 208 , 188</t>
  </si>
  <si>
    <t>235 , 229 , 228</t>
  </si>
  <si>
    <t>239 , 233 , 229</t>
  </si>
  <si>
    <t>2P0034</t>
  </si>
  <si>
    <t>LONG BEACH</t>
  </si>
  <si>
    <t>2P0035</t>
  </si>
  <si>
    <t>APRICOT DATES</t>
  </si>
  <si>
    <t>2P0036</t>
  </si>
  <si>
    <t>MOROCCON SAND</t>
  </si>
  <si>
    <t>2P0037</t>
  </si>
  <si>
    <t>MACADAMIA TOAST</t>
  </si>
  <si>
    <t>2P0039</t>
  </si>
  <si>
    <t>BABY BONNET</t>
  </si>
  <si>
    <t>2P0040</t>
  </si>
  <si>
    <t>SOURDOUGH</t>
  </si>
  <si>
    <t>2P0042</t>
  </si>
  <si>
    <t>ADONIS CREAM</t>
  </si>
  <si>
    <t>2P0043</t>
  </si>
  <si>
    <t>ANTIQUE IVORY</t>
  </si>
  <si>
    <t>2P0044</t>
  </si>
  <si>
    <t>ALPACA</t>
  </si>
  <si>
    <t>2P0045</t>
  </si>
  <si>
    <t>IVORY COAST</t>
  </si>
  <si>
    <t>2P0046</t>
  </si>
  <si>
    <t>ALPINE TAN</t>
  </si>
  <si>
    <t>2P0047</t>
  </si>
  <si>
    <t>CREAM ALLURE</t>
  </si>
  <si>
    <t>2P0048</t>
  </si>
  <si>
    <t>AIRY CREAM</t>
  </si>
  <si>
    <t>2P0225</t>
  </si>
  <si>
    <t>CHERISHED FLOWER</t>
  </si>
  <si>
    <t>2P0229</t>
  </si>
  <si>
    <t>CALMING TOUCH</t>
  </si>
  <si>
    <t>2P0585</t>
  </si>
  <si>
    <t>TAFFY PULL</t>
  </si>
  <si>
    <t>2P0586</t>
  </si>
  <si>
    <t>WALK ON THE BEACH</t>
  </si>
  <si>
    <t>2P0593</t>
  </si>
  <si>
    <t>FRESH IVORY</t>
  </si>
  <si>
    <t>2P0601</t>
  </si>
  <si>
    <t>BEIGEFUL</t>
  </si>
  <si>
    <t>2P0602</t>
  </si>
  <si>
    <t>BAJA BEIGE</t>
  </si>
  <si>
    <t>2P0609</t>
  </si>
  <si>
    <t>SALTWATER TAFFY</t>
  </si>
  <si>
    <t>2P0610</t>
  </si>
  <si>
    <t>BLUSH BEIGE</t>
  </si>
  <si>
    <t>2P0634</t>
  </si>
  <si>
    <t>APRICOT BLUSH</t>
  </si>
  <si>
    <t>2P0666</t>
  </si>
  <si>
    <t>SUNNY OUTLOOK</t>
  </si>
  <si>
    <t>2P0674</t>
  </si>
  <si>
    <t>SANDS OF TIME</t>
  </si>
  <si>
    <t>2P0682</t>
  </si>
  <si>
    <t>SUMMER TOWN</t>
  </si>
  <si>
    <t>2P0698</t>
  </si>
  <si>
    <t>ALMOND BISCOTTI</t>
  </si>
  <si>
    <t>2P0714</t>
  </si>
  <si>
    <t>HONEY CREAM</t>
  </si>
  <si>
    <t>2P1846</t>
  </si>
  <si>
    <t>PERSIAN LACE</t>
  </si>
  <si>
    <t>2P1847</t>
  </si>
  <si>
    <t>WHITE SWAN</t>
  </si>
  <si>
    <t>2P1856</t>
  </si>
  <si>
    <t>ESSENCE</t>
  </si>
  <si>
    <t>2P1857</t>
  </si>
  <si>
    <t>PALE ALE</t>
  </si>
  <si>
    <t>2P1858</t>
  </si>
  <si>
    <t>FINE SAND</t>
  </si>
  <si>
    <t>2P1868</t>
  </si>
  <si>
    <t>FANTASY MOON</t>
  </si>
  <si>
    <t>2P1869</t>
  </si>
  <si>
    <t>SMOOTH AS CREAM</t>
  </si>
  <si>
    <t>2P1874</t>
  </si>
  <si>
    <t>SPARKLING WINE</t>
  </si>
  <si>
    <t>2P1902</t>
  </si>
  <si>
    <t>GENTLE BREEZE</t>
  </si>
  <si>
    <t>2P1908</t>
  </si>
  <si>
    <t>ROSELLINI</t>
  </si>
  <si>
    <t>2P1927</t>
  </si>
  <si>
    <t>WINDMILL</t>
  </si>
  <si>
    <t>2P1932</t>
  </si>
  <si>
    <t>ODE TO JOY</t>
  </si>
  <si>
    <t>2P2020</t>
  </si>
  <si>
    <t>PEACHY TINT</t>
  </si>
  <si>
    <t>2P2026</t>
  </si>
  <si>
    <t>LIGHT DRAPERY</t>
  </si>
  <si>
    <t>2P2027</t>
  </si>
  <si>
    <t>PEACH SODA</t>
  </si>
  <si>
    <t>2P2030</t>
  </si>
  <si>
    <t>CLOUDY APPLE</t>
  </si>
  <si>
    <t>2P2031</t>
  </si>
  <si>
    <t>PASSING THOUGHT</t>
  </si>
  <si>
    <t>2P2036</t>
  </si>
  <si>
    <t>PUFFAY</t>
  </si>
  <si>
    <t>2P2037</t>
  </si>
  <si>
    <t>TATE'S TIME</t>
  </si>
  <si>
    <t>2P2041</t>
  </si>
  <si>
    <t>OLD RELIC</t>
  </si>
  <si>
    <t>2P2044</t>
  </si>
  <si>
    <t>ALMOND BOWL</t>
  </si>
  <si>
    <t>2P2045</t>
  </si>
  <si>
    <t>BREAK OF DAY</t>
  </si>
  <si>
    <t>2P2052</t>
  </si>
  <si>
    <t>MAKE A WISH</t>
  </si>
  <si>
    <t>2P2053</t>
  </si>
  <si>
    <t>SOFT TOUCH</t>
  </si>
  <si>
    <t>2P2055</t>
  </si>
  <si>
    <t>NIRVANA</t>
  </si>
  <si>
    <t>2P2059</t>
  </si>
  <si>
    <t>ICE PAVILION</t>
  </si>
  <si>
    <t>2P2060</t>
  </si>
  <si>
    <t>BEAM OF LIGHT</t>
  </si>
  <si>
    <t>2P2061</t>
  </si>
  <si>
    <t>TWIRLING RIBBON</t>
  </si>
  <si>
    <t>2P2067</t>
  </si>
  <si>
    <t>WARM CROISSANT</t>
  </si>
  <si>
    <t>2T0226</t>
  </si>
  <si>
    <t>CHIFFON SOUFFLE</t>
  </si>
  <si>
    <t>2T0587</t>
  </si>
  <si>
    <t>SAND HILLS</t>
  </si>
  <si>
    <t>2T0588</t>
  </si>
  <si>
    <t>GINGER PEACH</t>
  </si>
  <si>
    <t>3P0049</t>
  </si>
  <si>
    <t>WHITE BLISS</t>
  </si>
  <si>
    <t>3P0055</t>
  </si>
  <si>
    <t>SILKY SCARF</t>
  </si>
  <si>
    <t>3P0056</t>
  </si>
  <si>
    <t>A CAPELLO</t>
  </si>
  <si>
    <t>3P0057</t>
  </si>
  <si>
    <t>WHITE GLOVE</t>
  </si>
  <si>
    <t>3P0058</t>
  </si>
  <si>
    <t>SUNDRESS</t>
  </si>
  <si>
    <t>3P0059</t>
  </si>
  <si>
    <t>WILD SILK</t>
  </si>
  <si>
    <t>3P0060</t>
  </si>
  <si>
    <t>STARCHED LINEN</t>
  </si>
  <si>
    <t>3P0061</t>
  </si>
  <si>
    <t>PETTICOAT</t>
  </si>
  <si>
    <t>3P0062</t>
  </si>
  <si>
    <t>FRENCH BREAD</t>
  </si>
  <si>
    <t>3P0063</t>
  </si>
  <si>
    <t>TRAVERTINE</t>
  </si>
  <si>
    <t>3P0064</t>
  </si>
  <si>
    <t>TIRAMISU</t>
  </si>
  <si>
    <t>3P0066</t>
  </si>
  <si>
    <t>PALE SATEEN</t>
  </si>
  <si>
    <t>3P0067</t>
  </si>
  <si>
    <t>YELLOW SARI</t>
  </si>
  <si>
    <t>3P0068</t>
  </si>
  <si>
    <t>SOFT SARONG</t>
  </si>
  <si>
    <t>3P0069</t>
  </si>
  <si>
    <t>LEMON ORGANZA</t>
  </si>
  <si>
    <t>3P0071</t>
  </si>
  <si>
    <t>MANGO CUPCAKE</t>
  </si>
  <si>
    <t>3P0072</t>
  </si>
  <si>
    <t>YELLOW CHINTZ</t>
  </si>
  <si>
    <t>3P0076</t>
  </si>
  <si>
    <t>YELLOW BREEZE</t>
  </si>
  <si>
    <t>3P0077</t>
  </si>
  <si>
    <t>BLEACHED BY THE SUN</t>
  </si>
  <si>
    <t>3P0079</t>
  </si>
  <si>
    <t>AIRY LEMON</t>
  </si>
  <si>
    <t>3P0081</t>
  </si>
  <si>
    <t>WHITE CITY</t>
  </si>
  <si>
    <t>3P0082</t>
  </si>
  <si>
    <t>STARTING SPRING</t>
  </si>
  <si>
    <t>3P0085</t>
  </si>
  <si>
    <t>SOFT AS SILK</t>
  </si>
  <si>
    <t>3P0086</t>
  </si>
  <si>
    <t>INTRICATE</t>
  </si>
  <si>
    <t>3P0087</t>
  </si>
  <si>
    <t>LEMON LIME</t>
  </si>
  <si>
    <t>3P0088</t>
  </si>
  <si>
    <t>LEMON LACE</t>
  </si>
  <si>
    <t>3P0233</t>
  </si>
  <si>
    <t>ANGEL WING</t>
  </si>
  <si>
    <t>3P0245</t>
  </si>
  <si>
    <t>BASIC BEIGE</t>
  </si>
  <si>
    <t>3P0249</t>
  </si>
  <si>
    <t>CANDLE GLOW</t>
  </si>
  <si>
    <t>3P0730</t>
  </si>
  <si>
    <t>DIPPED IN HONEY</t>
  </si>
  <si>
    <t>3P0746</t>
  </si>
  <si>
    <t>SUNDAY SUNSHINE</t>
  </si>
  <si>
    <t>3P0754</t>
  </si>
  <si>
    <t>TOUCH OF SUNSHINE</t>
  </si>
  <si>
    <t>3P0770</t>
  </si>
  <si>
    <t>LEMON PUFF</t>
  </si>
  <si>
    <t>3P0857</t>
  </si>
  <si>
    <t>PRAIRIE PATH</t>
  </si>
  <si>
    <t>3P0858</t>
  </si>
  <si>
    <t>TIME FOR FUN</t>
  </si>
  <si>
    <t>3P1843</t>
  </si>
  <si>
    <t>SAVY WHITE</t>
  </si>
  <si>
    <t>3P1844</t>
  </si>
  <si>
    <t>SAUVIGNON WHITE</t>
  </si>
  <si>
    <t>3P1845</t>
  </si>
  <si>
    <t>POWDER PUFF</t>
  </si>
  <si>
    <t>3P1848</t>
  </si>
  <si>
    <t>WHITE ISLE</t>
  </si>
  <si>
    <t>3P1851</t>
  </si>
  <si>
    <t>VANITY TOP</t>
  </si>
  <si>
    <t>3P1852</t>
  </si>
  <si>
    <t>CRISP AIR</t>
  </si>
  <si>
    <t>3P1853</t>
  </si>
  <si>
    <t>MORNING RAYS</t>
  </si>
  <si>
    <t>3P1854</t>
  </si>
  <si>
    <t>FRESH LINEN</t>
  </si>
  <si>
    <t>3P1855</t>
  </si>
  <si>
    <t>FROTHY MILK</t>
  </si>
  <si>
    <t>3P1859</t>
  </si>
  <si>
    <t>BENCH TOP</t>
  </si>
  <si>
    <t>3P1860</t>
  </si>
  <si>
    <t>SAILING DAY</t>
  </si>
  <si>
    <t>3P1861</t>
  </si>
  <si>
    <t>CREAM FROTH</t>
  </si>
  <si>
    <t>3P1862</t>
  </si>
  <si>
    <t>SILVER BAND</t>
  </si>
  <si>
    <t>3P1863</t>
  </si>
  <si>
    <t>BEACHFRONT</t>
  </si>
  <si>
    <t>3P1864</t>
  </si>
  <si>
    <t>BONITA</t>
  </si>
  <si>
    <t>3P1865</t>
  </si>
  <si>
    <t>MOONSCAPE</t>
  </si>
  <si>
    <t>3P1866</t>
  </si>
  <si>
    <t>CREME CHIQUE</t>
  </si>
  <si>
    <t>3P1867</t>
  </si>
  <si>
    <t>GLORIOUS DAY</t>
  </si>
  <si>
    <t>3P1870</t>
  </si>
  <si>
    <t>SOUL SENSATION</t>
  </si>
  <si>
    <t>3P1871</t>
  </si>
  <si>
    <t>POISE</t>
  </si>
  <si>
    <t>3P1872</t>
  </si>
  <si>
    <t>SUNNY BEACH</t>
  </si>
  <si>
    <t>3P1873</t>
  </si>
  <si>
    <t>SHINING STAR</t>
  </si>
  <si>
    <t>3P1875</t>
  </si>
  <si>
    <t>FRESHEN UP</t>
  </si>
  <si>
    <t>3P1926</t>
  </si>
  <si>
    <t>WINE GLASS</t>
  </si>
  <si>
    <t>3P1934</t>
  </si>
  <si>
    <t>PEARLYN</t>
  </si>
  <si>
    <t>3P1935</t>
  </si>
  <si>
    <t>ARISTOCRATIC</t>
  </si>
  <si>
    <t>3P1936</t>
  </si>
  <si>
    <t>BONBONS</t>
  </si>
  <si>
    <t>3P1937</t>
  </si>
  <si>
    <t>WASHED CANVAS</t>
  </si>
  <si>
    <t>3P2068</t>
  </si>
  <si>
    <t>SOFT HANDS</t>
  </si>
  <si>
    <t>3P2069</t>
  </si>
  <si>
    <t>COCONUT CREAM</t>
  </si>
  <si>
    <t>3P2081</t>
  </si>
  <si>
    <t>BATH FOAM</t>
  </si>
  <si>
    <t>3P2082</t>
  </si>
  <si>
    <t>SCENIC SPOT</t>
  </si>
  <si>
    <t>3P2083</t>
  </si>
  <si>
    <t>AMAZING GRACE</t>
  </si>
  <si>
    <t>3P2095</t>
  </si>
  <si>
    <t>MORNING STROLL</t>
  </si>
  <si>
    <t>3P2096</t>
  </si>
  <si>
    <t>HANGING BIRCH</t>
  </si>
  <si>
    <t>3T0235</t>
  </si>
  <si>
    <t>BRIGHT IDEA</t>
  </si>
  <si>
    <t>3T0246</t>
  </si>
  <si>
    <t>PICNIC MAT</t>
  </si>
  <si>
    <t>3T0724</t>
  </si>
  <si>
    <t>GOLDEN SUNSHINE</t>
  </si>
  <si>
    <t>3T0731</t>
  </si>
  <si>
    <t>SWEET HONEY</t>
  </si>
  <si>
    <t>3T0732</t>
  </si>
  <si>
    <t>HONEY BUNCH</t>
  </si>
  <si>
    <t>3T0733</t>
  </si>
  <si>
    <t>DAISY HEART</t>
  </si>
  <si>
    <t>3T0739</t>
  </si>
  <si>
    <t>YELLOW HAZE</t>
  </si>
  <si>
    <t>3T0740</t>
  </si>
  <si>
    <t>HAY BALE</t>
  </si>
  <si>
    <t>3T0741</t>
  </si>
  <si>
    <t>LUCKY LUCY</t>
  </si>
  <si>
    <t>3T0747</t>
  </si>
  <si>
    <t>SILKY CORN</t>
  </si>
  <si>
    <t>3T0755</t>
  </si>
  <si>
    <t>SUN RAY</t>
  </si>
  <si>
    <t>3T0763</t>
  </si>
  <si>
    <t>CELEBRATION SUN</t>
  </si>
  <si>
    <t>3T0764</t>
  </si>
  <si>
    <t>SUNSWEPT</t>
  </si>
  <si>
    <t>3T0771</t>
  </si>
  <si>
    <t>SUNWASHED YELLOW</t>
  </si>
  <si>
    <t>3T0772</t>
  </si>
  <si>
    <t>SUN AND FUN</t>
  </si>
  <si>
    <t>3T0773</t>
  </si>
  <si>
    <t>SUNNY AT HEART</t>
  </si>
  <si>
    <t>3T0781</t>
  </si>
  <si>
    <t>GOLDEN TORTILLA</t>
  </si>
  <si>
    <t>3T0819</t>
  </si>
  <si>
    <t>LEMON LIGHT</t>
  </si>
  <si>
    <t>3T0820</t>
  </si>
  <si>
    <t>YELLOW ROSE</t>
  </si>
  <si>
    <t>3T0821</t>
  </si>
  <si>
    <t>YELLOW RIVER</t>
  </si>
  <si>
    <t>3T0827</t>
  </si>
  <si>
    <t>MEADOW MIST</t>
  </si>
  <si>
    <t>THE GREAT PLAINS</t>
  </si>
  <si>
    <t>3T0828</t>
  </si>
  <si>
    <t>OLIVE OIL</t>
  </si>
  <si>
    <t>3T0829</t>
  </si>
  <si>
    <t>MINT LEAF</t>
  </si>
  <si>
    <t>3T0851</t>
  </si>
  <si>
    <t>GRASSHOPPER WING</t>
  </si>
  <si>
    <t>3T0852</t>
  </si>
  <si>
    <t>SPRING ASPARAGUS</t>
  </si>
  <si>
    <t>3T0859</t>
  </si>
  <si>
    <t>PRAIRIE PRINCESS</t>
  </si>
  <si>
    <t>3T0860</t>
  </si>
  <si>
    <t>SPRING ATTITUDE</t>
  </si>
  <si>
    <t>3T0861</t>
  </si>
  <si>
    <t>SPRING WELCOME</t>
  </si>
  <si>
    <t>3T0867</t>
  </si>
  <si>
    <t>PISTACHIO PUDDING</t>
  </si>
  <si>
    <t>3T0875</t>
  </si>
  <si>
    <t>MAGNOLIA PETAL</t>
  </si>
  <si>
    <t>3T2070</t>
  </si>
  <si>
    <t>PIANO BAR</t>
  </si>
  <si>
    <t>3T2071</t>
  </si>
  <si>
    <t>ROYAL ARCH</t>
  </si>
  <si>
    <t>3T2072</t>
  </si>
  <si>
    <t>TOUCH OF CLASS</t>
  </si>
  <si>
    <t>3T2075</t>
  </si>
  <si>
    <t>SO DELIGHTFUL</t>
  </si>
  <si>
    <t>3T2084</t>
  </si>
  <si>
    <t>YELLOW VEIL</t>
  </si>
  <si>
    <t>3T2085</t>
  </si>
  <si>
    <t>YELLOW TART</t>
  </si>
  <si>
    <t>3T2086</t>
  </si>
  <si>
    <t>PINEAPPLE SHAKE</t>
  </si>
  <si>
    <t>3T2090</t>
  </si>
  <si>
    <t>HONEY PIE</t>
  </si>
  <si>
    <t>3T2091</t>
  </si>
  <si>
    <t>ORANGE CHARM</t>
  </si>
  <si>
    <t>3D0236</t>
  </si>
  <si>
    <t>GO FOR THE GOLD</t>
  </si>
  <si>
    <t>3D0242</t>
  </si>
  <si>
    <t>GOLDEN SILK</t>
  </si>
  <si>
    <t>3D0243</t>
  </si>
  <si>
    <t>SECRET TREASURE</t>
  </si>
  <si>
    <t>3D0247</t>
  </si>
  <si>
    <t>FERN FROST</t>
  </si>
  <si>
    <t>3D0254</t>
  </si>
  <si>
    <t>SUNFLOWER PETAL</t>
  </si>
  <si>
    <t>3D0782</t>
  </si>
  <si>
    <t>GOLDEN HAYSTACK</t>
  </si>
  <si>
    <t>3D0783</t>
  </si>
  <si>
    <t>WINTER GRASS</t>
  </si>
  <si>
    <t>3D0822</t>
  </si>
  <si>
    <t>GREEN BANANAS</t>
  </si>
  <si>
    <t>3D0823</t>
  </si>
  <si>
    <t>GLORY OF SPRING</t>
  </si>
  <si>
    <t>3D0862</t>
  </si>
  <si>
    <t>FROTENAC HILLS</t>
  </si>
  <si>
    <t>3D0863</t>
  </si>
  <si>
    <t>4P0090</t>
  </si>
  <si>
    <t>MINT TEA</t>
  </si>
  <si>
    <t>4P0091</t>
  </si>
  <si>
    <t>GLOAMING</t>
  </si>
  <si>
    <t>4P0092</t>
  </si>
  <si>
    <t>MISTY VALE</t>
  </si>
  <si>
    <t>4P0093</t>
  </si>
  <si>
    <t>ELEMINT</t>
  </si>
  <si>
    <t>4P0094</t>
  </si>
  <si>
    <t>ABSINTHE TOUCH</t>
  </si>
  <si>
    <t>4P0095</t>
  </si>
  <si>
    <t>ANASTASIA</t>
  </si>
  <si>
    <t>4P0096</t>
  </si>
  <si>
    <t>BELLA MINT</t>
  </si>
  <si>
    <t>4P0097</t>
  </si>
  <si>
    <t>WHITE CLOVER</t>
  </si>
  <si>
    <t>4P0098</t>
  </si>
  <si>
    <t>MINT FRAPPE</t>
  </si>
  <si>
    <t>4P0099</t>
  </si>
  <si>
    <t>MINT PASSION</t>
  </si>
  <si>
    <t>4P0100</t>
  </si>
  <si>
    <t>MISTY AVALON</t>
  </si>
  <si>
    <t>4P0101</t>
  </si>
  <si>
    <t>BERYL</t>
  </si>
  <si>
    <t>4P0102</t>
  </si>
  <si>
    <t>GLACIER WALL</t>
  </si>
  <si>
    <t>4P0103</t>
  </si>
  <si>
    <t>PORCELAIN</t>
  </si>
  <si>
    <t>4P0104</t>
  </si>
  <si>
    <t>TROPICAL STORM</t>
  </si>
  <si>
    <t>4P0107</t>
  </si>
  <si>
    <t>SPRITE FLOWER</t>
  </si>
  <si>
    <t>4P0108</t>
  </si>
  <si>
    <t>SPARK OF AQUA</t>
  </si>
  <si>
    <t>4P0109</t>
  </si>
  <si>
    <t>TWINKLE GLOW</t>
  </si>
  <si>
    <t>4P0110</t>
  </si>
  <si>
    <t>LAZY LAKE</t>
  </si>
  <si>
    <t>4P0111</t>
  </si>
  <si>
    <t>PIXIE</t>
  </si>
  <si>
    <t>4P0112</t>
  </si>
  <si>
    <t>CABANA BAY</t>
  </si>
  <si>
    <t>4P0113</t>
  </si>
  <si>
    <t>REFRESHING</t>
  </si>
  <si>
    <t>4P0114</t>
  </si>
  <si>
    <t>POLAR ICE</t>
  </si>
  <si>
    <t>4P0115</t>
  </si>
  <si>
    <t>MOUNTAIN MIST</t>
  </si>
  <si>
    <t>4P0116</t>
  </si>
  <si>
    <t>AQUA MOON</t>
  </si>
  <si>
    <t>4P0117</t>
  </si>
  <si>
    <t>AQUATONE</t>
  </si>
  <si>
    <t>4P0118</t>
  </si>
  <si>
    <t>OCEAN CREST</t>
  </si>
  <si>
    <t>4P0119</t>
  </si>
  <si>
    <t>CLEARLY COOL</t>
  </si>
  <si>
    <t>4P0120</t>
  </si>
  <si>
    <t>ALPINE GLOW</t>
  </si>
  <si>
    <t>4P0261</t>
  </si>
  <si>
    <t>DREAMY GREEN</t>
  </si>
  <si>
    <t>4P0262</t>
  </si>
  <si>
    <t>LILIES' ESSENCE</t>
  </si>
  <si>
    <t>4P0265</t>
  </si>
  <si>
    <t>DELICATE GREEN</t>
  </si>
  <si>
    <t>4P0266</t>
  </si>
  <si>
    <t>ESSENCE TEAL</t>
  </si>
  <si>
    <t>4P0269</t>
  </si>
  <si>
    <t>SPRINKLE OF GREEN</t>
  </si>
  <si>
    <t>4P0273</t>
  </si>
  <si>
    <t>DIVA MINT</t>
  </si>
  <si>
    <t>4P0277</t>
  </si>
  <si>
    <t>DREAMERS</t>
  </si>
  <si>
    <t>4P0882</t>
  </si>
  <si>
    <t>GREEN TWIG</t>
  </si>
  <si>
    <t>4P0906</t>
  </si>
  <si>
    <t>GREENBLUSHED OASIS</t>
  </si>
  <si>
    <t>4P0922</t>
  </si>
  <si>
    <t>SPRING AHEAD</t>
  </si>
  <si>
    <t>4P0930</t>
  </si>
  <si>
    <t>FLASH OF EMERALD</t>
  </si>
  <si>
    <t>4P0938</t>
  </si>
  <si>
    <t>GREEN MIST</t>
  </si>
  <si>
    <t>4P0946</t>
  </si>
  <si>
    <t>ENGLISH COUNTRYSIDE</t>
  </si>
  <si>
    <t>4P0954</t>
  </si>
  <si>
    <t>IRISH COUNTRYSIDE</t>
  </si>
  <si>
    <t>4P0962</t>
  </si>
  <si>
    <t>EMERALD ICE</t>
  </si>
  <si>
    <t>4P0969</t>
  </si>
  <si>
    <t>SEA SWIRL</t>
  </si>
  <si>
    <t>4P0970</t>
  </si>
  <si>
    <t>SPRING RAIN</t>
  </si>
  <si>
    <t>4P0977</t>
  </si>
  <si>
    <t>AEGEAN MIST</t>
  </si>
  <si>
    <t>4P0978</t>
  </si>
  <si>
    <t>FRESH AIR</t>
  </si>
  <si>
    <t>4P0985</t>
  </si>
  <si>
    <t>TENDER TOUCH</t>
  </si>
  <si>
    <t>4P0986</t>
  </si>
  <si>
    <t>SEASIDE GLOW</t>
  </si>
  <si>
    <t>4P0994</t>
  </si>
  <si>
    <t>HIDDEN SPRINGS</t>
  </si>
  <si>
    <t>4P1002</t>
  </si>
  <si>
    <t>SWIM TEAM</t>
  </si>
  <si>
    <t>4P1009</t>
  </si>
  <si>
    <t>FORGOTTEN SECRET</t>
  </si>
  <si>
    <t>4P1010</t>
  </si>
  <si>
    <t>SEASIDE CHARM</t>
  </si>
  <si>
    <t>4P1017</t>
  </si>
  <si>
    <t>SPRING BOUNTY</t>
  </si>
  <si>
    <t>4P1018</t>
  </si>
  <si>
    <t>WATER'S EDGE</t>
  </si>
  <si>
    <t>4P1026</t>
  </si>
  <si>
    <t>SEA WAVES</t>
  </si>
  <si>
    <t>4P1841</t>
  </si>
  <si>
    <t>ICICLE WHITE</t>
  </si>
  <si>
    <t>4P1842</t>
  </si>
  <si>
    <t>CREME WHITE</t>
  </si>
  <si>
    <t>4P1849</t>
  </si>
  <si>
    <t>FROZEN ICE</t>
  </si>
  <si>
    <t>4P1850</t>
  </si>
  <si>
    <t>MARBELLO WHITE</t>
  </si>
  <si>
    <t>4P1876</t>
  </si>
  <si>
    <t>LUSTROUS MINT</t>
  </si>
  <si>
    <t>4P1877</t>
  </si>
  <si>
    <t>GREEN APPLE</t>
  </si>
  <si>
    <t>4P1878</t>
  </si>
  <si>
    <t>MINT ESSENCE</t>
  </si>
  <si>
    <t>4P1879</t>
  </si>
  <si>
    <t>MINT MARTINI</t>
  </si>
  <si>
    <t>4P1880</t>
  </si>
  <si>
    <t>CUCUMBERINI</t>
  </si>
  <si>
    <t>4P1881</t>
  </si>
  <si>
    <t>CELESTIAL TEA</t>
  </si>
  <si>
    <t>4P1882</t>
  </si>
  <si>
    <t>COOL WATER</t>
  </si>
  <si>
    <t>4P1883</t>
  </si>
  <si>
    <t>ASPIRATION</t>
  </si>
  <si>
    <t>4P1884</t>
  </si>
  <si>
    <t>TRINITY</t>
  </si>
  <si>
    <t>4P1885</t>
  </si>
  <si>
    <t>FROZEN LAKE</t>
  </si>
  <si>
    <t>4P1886</t>
  </si>
  <si>
    <t>BY THE LAKE</t>
  </si>
  <si>
    <t>4P1887</t>
  </si>
  <si>
    <t>CLEAR CREEK</t>
  </si>
  <si>
    <t>4P2097</t>
  </si>
  <si>
    <t>SOBA</t>
  </si>
  <si>
    <t>4P2098</t>
  </si>
  <si>
    <t>PARADISE</t>
  </si>
  <si>
    <t>4P2105</t>
  </si>
  <si>
    <t>SPRING IS HERE</t>
  </si>
  <si>
    <t>4P2112</t>
  </si>
  <si>
    <t>MINTED</t>
  </si>
  <si>
    <t>4P2117</t>
  </si>
  <si>
    <t>TINGE OF SPRING</t>
  </si>
  <si>
    <t>4P2123</t>
  </si>
  <si>
    <t>YOUNG BUD</t>
  </si>
  <si>
    <t>4P2127</t>
  </si>
  <si>
    <t>PEAR TEA</t>
  </si>
  <si>
    <t>4P2128</t>
  </si>
  <si>
    <t>MISTY MORN</t>
  </si>
  <si>
    <t>4P2135</t>
  </si>
  <si>
    <t>YOUTHFUL</t>
  </si>
  <si>
    <t>4P2138</t>
  </si>
  <si>
    <t>FLOURISH</t>
  </si>
  <si>
    <t>4P2145</t>
  </si>
  <si>
    <t>QUIET MORNING</t>
  </si>
  <si>
    <t>4P2146</t>
  </si>
  <si>
    <t>NAIVE GREEN</t>
  </si>
  <si>
    <t>4P2152</t>
  </si>
  <si>
    <t>FALLING FOR GREEN</t>
  </si>
  <si>
    <t>4P2158</t>
  </si>
  <si>
    <t>WALKING DAY</t>
  </si>
  <si>
    <t>4P2159</t>
  </si>
  <si>
    <t>PICNIC DAY</t>
  </si>
  <si>
    <t>4P2160</t>
  </si>
  <si>
    <t>SPRING DAY</t>
  </si>
  <si>
    <t>4P2162</t>
  </si>
  <si>
    <t>REGAL TOUCH</t>
  </si>
  <si>
    <t>4P2168</t>
  </si>
  <si>
    <t>SOFT PEAK</t>
  </si>
  <si>
    <t>SAILOR'S TUNE</t>
  </si>
  <si>
    <t>4P2169</t>
  </si>
  <si>
    <t>PURITY CLEAR</t>
  </si>
  <si>
    <t>4P2179</t>
  </si>
  <si>
    <t>QUIET CORNER</t>
  </si>
  <si>
    <t>4P2184</t>
  </si>
  <si>
    <t>BUBBLE BATH</t>
  </si>
  <si>
    <t>4P2185</t>
  </si>
  <si>
    <t>LITTLE CACTUS</t>
  </si>
  <si>
    <t>4P2190</t>
  </si>
  <si>
    <t>COOL PINNACLE</t>
  </si>
  <si>
    <t>4P2196</t>
  </si>
  <si>
    <t>POOL DIP</t>
  </si>
  <si>
    <t>4P2197</t>
  </si>
  <si>
    <t>RIVER MIST</t>
  </si>
  <si>
    <t>4P2202</t>
  </si>
  <si>
    <t>REFRESH</t>
  </si>
  <si>
    <t>4P2209</t>
  </si>
  <si>
    <t>ENDEARING TOUCH</t>
  </si>
  <si>
    <t>4P2210</t>
  </si>
  <si>
    <t>SMALL TWIG</t>
  </si>
  <si>
    <t>4P2216</t>
  </si>
  <si>
    <t>GARDEN WALL</t>
  </si>
  <si>
    <t>4P2217</t>
  </si>
  <si>
    <t>AQUA ESSENCE</t>
  </si>
  <si>
    <t>4T0274</t>
  </si>
  <si>
    <t>SPRINGSATION</t>
  </si>
  <si>
    <t>4T0883</t>
  </si>
  <si>
    <t>SPRING FLING</t>
  </si>
  <si>
    <t>4T0884</t>
  </si>
  <si>
    <t>LOCKNESS</t>
  </si>
  <si>
    <t>4T0885</t>
  </si>
  <si>
    <t>BEST OF SPRING</t>
  </si>
  <si>
    <t>4T0891</t>
  </si>
  <si>
    <t>ENTICING AS SPRING</t>
  </si>
  <si>
    <t>4T0892</t>
  </si>
  <si>
    <t>LEAFY SPLENDOR</t>
  </si>
  <si>
    <t>4T0893</t>
  </si>
  <si>
    <t>CHELSEA GARDEN</t>
  </si>
  <si>
    <t>4T0899</t>
  </si>
  <si>
    <t>PEACE GARDEN</t>
  </si>
  <si>
    <t>4T0907</t>
  </si>
  <si>
    <t>BREATH OF SPRING</t>
  </si>
  <si>
    <t>4T0908</t>
  </si>
  <si>
    <t>IRISH MOSS</t>
  </si>
  <si>
    <t>4T0909</t>
  </si>
  <si>
    <t>GREEN VISION</t>
  </si>
  <si>
    <t>4T0915</t>
  </si>
  <si>
    <t>SNAPPY GREEN</t>
  </si>
  <si>
    <t>4T0916</t>
  </si>
  <si>
    <t>ALLIGATOR ALLEY</t>
  </si>
  <si>
    <t>4T0917</t>
  </si>
  <si>
    <t>GREEN GLEAM</t>
  </si>
  <si>
    <t>4T0923</t>
  </si>
  <si>
    <t>DOGWOOD LEAF</t>
  </si>
  <si>
    <t>4T0924</t>
  </si>
  <si>
    <t>GARDEN PARADISE</t>
  </si>
  <si>
    <t>4T0925</t>
  </si>
  <si>
    <t>FROSTED ICE</t>
  </si>
  <si>
    <t>5P0123</t>
  </si>
  <si>
    <t>CRISP MORNING</t>
  </si>
  <si>
    <t>5P0124</t>
  </si>
  <si>
    <t>AQUA ICE</t>
  </si>
  <si>
    <t>5P0125</t>
  </si>
  <si>
    <t>TOUCH OF BERMUDA</t>
  </si>
  <si>
    <t>5P0126</t>
  </si>
  <si>
    <t>BELLA AQUA</t>
  </si>
  <si>
    <t>5P0127</t>
  </si>
  <si>
    <t>AQUA FLIP</t>
  </si>
  <si>
    <t>5P0128</t>
  </si>
  <si>
    <t>MISTY MIRAGE</t>
  </si>
  <si>
    <t>5P0129</t>
  </si>
  <si>
    <t>BABY POOL</t>
  </si>
  <si>
    <t>5P0130</t>
  </si>
  <si>
    <t>TROPIC BREEZE</t>
  </si>
  <si>
    <t>5P0131</t>
  </si>
  <si>
    <t>TEAL FOG</t>
  </si>
  <si>
    <t>5P0132</t>
  </si>
  <si>
    <t>OPAQUE TEAL</t>
  </si>
  <si>
    <t>5P0133</t>
  </si>
  <si>
    <t>HYPNOTIC</t>
  </si>
  <si>
    <t>5P0134</t>
  </si>
  <si>
    <t>MUSE OF THE SEA</t>
  </si>
  <si>
    <t>5P0135</t>
  </si>
  <si>
    <t>AQUA CHILL</t>
  </si>
  <si>
    <t>5P0136</t>
  </si>
  <si>
    <t>WHISP OF BLUE</t>
  </si>
  <si>
    <t>5P0138</t>
  </si>
  <si>
    <t>BLUE WALTZ</t>
  </si>
  <si>
    <t>5P0139</t>
  </si>
  <si>
    <t>SKY LIFT</t>
  </si>
  <si>
    <t>5P0140</t>
  </si>
  <si>
    <t>SEVEN LAKES</t>
  </si>
  <si>
    <t>5P0141</t>
  </si>
  <si>
    <t>ROBIN'S EGG</t>
  </si>
  <si>
    <t>5P0142</t>
  </si>
  <si>
    <t>HEAVENING MIST</t>
  </si>
  <si>
    <t>5P0143</t>
  </si>
  <si>
    <t>FRESQUE</t>
  </si>
  <si>
    <t>5P0144</t>
  </si>
  <si>
    <t>ELFIN MIST</t>
  </si>
  <si>
    <t>5P0145</t>
  </si>
  <si>
    <t>AZTEC WHITE</t>
  </si>
  <si>
    <t>5P0146</t>
  </si>
  <si>
    <t>GOSSAMER</t>
  </si>
  <si>
    <t>5P0147</t>
  </si>
  <si>
    <t>GREAT WHITE</t>
  </si>
  <si>
    <t>5P0148</t>
  </si>
  <si>
    <t>LOBELIA</t>
  </si>
  <si>
    <t>5P0149</t>
  </si>
  <si>
    <t>DROP OF BLUE</t>
  </si>
  <si>
    <t>5P0150</t>
  </si>
  <si>
    <t>BRISK BREEZE</t>
  </si>
  <si>
    <t>5P0151</t>
  </si>
  <si>
    <t>ARUBA MIST</t>
  </si>
  <si>
    <t>5P0152</t>
  </si>
  <si>
    <t>BLUE MIST</t>
  </si>
  <si>
    <t>5P0281</t>
  </si>
  <si>
    <t>AQUA FISH</t>
  </si>
  <si>
    <t>5P0285</t>
  </si>
  <si>
    <t>BOTANY BLUE</t>
  </si>
  <si>
    <t>5P0286</t>
  </si>
  <si>
    <t>THE SKY'S THE LIMIT</t>
  </si>
  <si>
    <t>5P0289</t>
  </si>
  <si>
    <t>BLUE SAGE</t>
  </si>
  <si>
    <t>5P0290</t>
  </si>
  <si>
    <t>WATER WILLOW</t>
  </si>
  <si>
    <t>5P0297</t>
  </si>
  <si>
    <t>SOUTH BAY</t>
  </si>
  <si>
    <t>5P1033</t>
  </si>
  <si>
    <t>TEAR DROP</t>
  </si>
  <si>
    <t>5P1034</t>
  </si>
  <si>
    <t>FOLLOW THE TRADEWINDS</t>
  </si>
  <si>
    <t>5P1041</t>
  </si>
  <si>
    <t>DRIFT AWAY</t>
  </si>
  <si>
    <t>5P1042</t>
  </si>
  <si>
    <t>SOFT SPUN CLOUD</t>
  </si>
  <si>
    <t>5P1057</t>
  </si>
  <si>
    <t>GYPSY WIND</t>
  </si>
  <si>
    <t>5P1058</t>
  </si>
  <si>
    <t>IT'S CLEAR TO SEE</t>
  </si>
  <si>
    <t>5P1065</t>
  </si>
  <si>
    <t>IT'S A BOY</t>
  </si>
  <si>
    <t>5P1074</t>
  </si>
  <si>
    <t>SERENE THOUGHTS</t>
  </si>
  <si>
    <t>5P1082</t>
  </si>
  <si>
    <t>TRANQUIL TIMES</t>
  </si>
  <si>
    <t>5P1090</t>
  </si>
  <si>
    <t>AFTER THE RAIN</t>
  </si>
  <si>
    <t>5P1098</t>
  </si>
  <si>
    <t>PRECIOUS DEW DROP</t>
  </si>
  <si>
    <t>5P1105</t>
  </si>
  <si>
    <t>WATERCOLOR BLUE</t>
  </si>
  <si>
    <t>5P1106</t>
  </si>
  <si>
    <t>JUNE BREEZE</t>
  </si>
  <si>
    <t>5P1113</t>
  </si>
  <si>
    <t>DREAM A LITTLE DREAM</t>
  </si>
  <si>
    <t>5P1114</t>
  </si>
  <si>
    <t>BARELY BLUE</t>
  </si>
  <si>
    <t>5P1121</t>
  </si>
  <si>
    <t>SWIRLING WATER</t>
  </si>
  <si>
    <t>5P1122</t>
  </si>
  <si>
    <t>GULL LAKE</t>
  </si>
  <si>
    <t>5P1130</t>
  </si>
  <si>
    <t>LAKE OF SWANS</t>
  </si>
  <si>
    <t>5P1137</t>
  </si>
  <si>
    <t>CLOUD-WISPED SKY</t>
  </si>
  <si>
    <t>5P1138</t>
  </si>
  <si>
    <t>SMOOTH SAILING</t>
  </si>
  <si>
    <t>5P1145</t>
  </si>
  <si>
    <t>A GENTLE PLACE</t>
  </si>
  <si>
    <t>5P1146</t>
  </si>
  <si>
    <t>TRANQUIL TERESA</t>
  </si>
  <si>
    <t>5P1154</t>
  </si>
  <si>
    <t>CLEAR BLUE</t>
  </si>
  <si>
    <t>5P1162</t>
  </si>
  <si>
    <t>HEATHER HEIGHTS</t>
  </si>
  <si>
    <t>5P1169</t>
  </si>
  <si>
    <t>GENTLE FLOWER</t>
  </si>
  <si>
    <t>6P0153</t>
  </si>
  <si>
    <t>GLISTENING GLAZE</t>
  </si>
  <si>
    <t>6P0154</t>
  </si>
  <si>
    <t>SPRING LILAC</t>
  </si>
  <si>
    <t>6P0155</t>
  </si>
  <si>
    <t>SIMPLE SWEET</t>
  </si>
  <si>
    <t>6P0156</t>
  </si>
  <si>
    <t>PALE PHLOX</t>
  </si>
  <si>
    <t>6P0157</t>
  </si>
  <si>
    <t>NOSTOLGIC LILAC</t>
  </si>
  <si>
    <t>6P0158</t>
  </si>
  <si>
    <t>OBSESSION</t>
  </si>
  <si>
    <t>6P0159</t>
  </si>
  <si>
    <t>FRAGILE FLOWER</t>
  </si>
  <si>
    <t>6P0160</t>
  </si>
  <si>
    <t>EXOTIC FLORA</t>
  </si>
  <si>
    <t>6P0161</t>
  </si>
  <si>
    <t>DEW KISSED</t>
  </si>
  <si>
    <t>6P0162</t>
  </si>
  <si>
    <t>DROPS OF VIOLET</t>
  </si>
  <si>
    <t>6P0163</t>
  </si>
  <si>
    <t>JUST DEMURE</t>
  </si>
  <si>
    <t>6P0164</t>
  </si>
  <si>
    <t>BIT OF LILAC</t>
  </si>
  <si>
    <t>6P0165</t>
  </si>
  <si>
    <t>BELLADONNA</t>
  </si>
  <si>
    <t>6P0166</t>
  </si>
  <si>
    <t>APRIL GLOW</t>
  </si>
  <si>
    <t>6P0167</t>
  </si>
  <si>
    <t>ALLURE VIOLET</t>
  </si>
  <si>
    <t>6P0168</t>
  </si>
  <si>
    <t>PINK FIZZ</t>
  </si>
  <si>
    <t>6P0169</t>
  </si>
  <si>
    <t>EVER AFTER</t>
  </si>
  <si>
    <t>6P0170</t>
  </si>
  <si>
    <t>MARBLE TINT</t>
  </si>
  <si>
    <t>6P0171</t>
  </si>
  <si>
    <t>TEABERRY BUDS</t>
  </si>
  <si>
    <t>6P0172</t>
  </si>
  <si>
    <t>SWEET SHOP</t>
  </si>
  <si>
    <t>6P0173</t>
  </si>
  <si>
    <t>TOUCH OF BLUSH</t>
  </si>
  <si>
    <t>6P0174</t>
  </si>
  <si>
    <t>SWEET NOTHINGS</t>
  </si>
  <si>
    <t>6P0175</t>
  </si>
  <si>
    <t>CHENILLE PINK</t>
  </si>
  <si>
    <t>6P0176</t>
  </si>
  <si>
    <t>GULF BREEZE</t>
  </si>
  <si>
    <t>6P1193</t>
  </si>
  <si>
    <t>BELLISIMA</t>
  </si>
  <si>
    <t>6P1194</t>
  </si>
  <si>
    <t>NEW BLUE DAWN</t>
  </si>
  <si>
    <t>6P1201</t>
  </si>
  <si>
    <t>PHANTOM LAKE</t>
  </si>
  <si>
    <t>6P1202</t>
  </si>
  <si>
    <t>CLARITY</t>
  </si>
  <si>
    <t>6P1217</t>
  </si>
  <si>
    <t>ROMANIA</t>
  </si>
  <si>
    <t>6P1218</t>
  </si>
  <si>
    <t>VICTORIA GLACIER</t>
  </si>
  <si>
    <t>6P1226</t>
  </si>
  <si>
    <t>LAVENDER MIST</t>
  </si>
  <si>
    <t>6P1233</t>
  </si>
  <si>
    <t>DUSTY LILAC</t>
  </si>
  <si>
    <t>6P1234</t>
  </si>
  <si>
    <t>LAVENDER FREEZE</t>
  </si>
  <si>
    <t>6P1241</t>
  </si>
  <si>
    <t>PEONY PLACE</t>
  </si>
  <si>
    <t>6P1242</t>
  </si>
  <si>
    <t>PURPLE BLUSH</t>
  </si>
  <si>
    <t>6P1249</t>
  </si>
  <si>
    <t>LITTLE GRAPETTE</t>
  </si>
  <si>
    <t>6P1250</t>
  </si>
  <si>
    <t>PRELUDE TO PURPLE</t>
  </si>
  <si>
    <t>6P1257</t>
  </si>
  <si>
    <t>SLIGHT NUANCE</t>
  </si>
  <si>
    <t>6P1258</t>
  </si>
  <si>
    <t>PROUD PRUDENCE</t>
  </si>
  <si>
    <t>6P1265</t>
  </si>
  <si>
    <t>VANISHING VIOLET</t>
  </si>
  <si>
    <t>6P1266</t>
  </si>
  <si>
    <t>ROYAL TOUCH</t>
  </si>
  <si>
    <t>6P1273</t>
  </si>
  <si>
    <t>ALL'S QUIET</t>
  </si>
  <si>
    <t>6P1274</t>
  </si>
  <si>
    <t>HAPPY HEATHER</t>
  </si>
  <si>
    <t>6P1281</t>
  </si>
  <si>
    <t>LADY FRIEND</t>
  </si>
  <si>
    <t>6P1282</t>
  </si>
  <si>
    <t>SOFT LAVENDER</t>
  </si>
  <si>
    <t>6P1289</t>
  </si>
  <si>
    <t>LAVENDER FROST</t>
  </si>
  <si>
    <t>6P1290</t>
  </si>
  <si>
    <t>PURPLE PASTEL</t>
  </si>
  <si>
    <t>6P1297</t>
  </si>
  <si>
    <t>LILAC LIGHT</t>
  </si>
  <si>
    <t>6P1298</t>
  </si>
  <si>
    <t>PURPLE PRETENDER</t>
  </si>
  <si>
    <t>6P1305</t>
  </si>
  <si>
    <t>HAPPY EASTER</t>
  </si>
  <si>
    <t>6P1306</t>
  </si>
  <si>
    <t>MELODY OF MAY</t>
  </si>
  <si>
    <t>6P1314</t>
  </si>
  <si>
    <t>MORE LILAC</t>
  </si>
  <si>
    <t>6P1322</t>
  </si>
  <si>
    <t>MISS AMERICA</t>
  </si>
  <si>
    <t>6P1329</t>
  </si>
  <si>
    <t>INFINITE GRACE</t>
  </si>
  <si>
    <t>6P1330</t>
  </si>
  <si>
    <t>PURPUREA</t>
  </si>
  <si>
    <t>6P1338</t>
  </si>
  <si>
    <t>WHISPERING WISTERIA</t>
  </si>
  <si>
    <t>6P1345</t>
  </si>
  <si>
    <t>GAY PAREE</t>
  </si>
  <si>
    <t>6P1353</t>
  </si>
  <si>
    <t>CHERUB CHOIR</t>
  </si>
  <si>
    <t>6P1354</t>
  </si>
  <si>
    <t>MORNING MIST</t>
  </si>
  <si>
    <t>6P1361</t>
  </si>
  <si>
    <t>RASPBERRY WHISPER</t>
  </si>
  <si>
    <t>6P1362</t>
  </si>
  <si>
    <t>LIGHT LILAC</t>
  </si>
  <si>
    <t>6P1369</t>
  </si>
  <si>
    <t>FROSTY LILAC</t>
  </si>
  <si>
    <t>6P1370</t>
  </si>
  <si>
    <t>SUNRISE SURPRISE</t>
  </si>
  <si>
    <t>6P1377</t>
  </si>
  <si>
    <t>APRIL ANTHEM</t>
  </si>
  <si>
    <t>6P1378</t>
  </si>
  <si>
    <t>LITTLE LILAC</t>
  </si>
  <si>
    <t>6P1385</t>
  </si>
  <si>
    <t>VERY LAVENDER</t>
  </si>
  <si>
    <t>6P1386</t>
  </si>
  <si>
    <t>EASTER MORN</t>
  </si>
  <si>
    <t>6P1393</t>
  </si>
  <si>
    <t>ANGEL KISS</t>
  </si>
  <si>
    <t>6P1394</t>
  </si>
  <si>
    <t>SWEET BEGINNINGS</t>
  </si>
  <si>
    <t>6P1401</t>
  </si>
  <si>
    <t>AMETHYST ROSEBUD</t>
  </si>
  <si>
    <t>6P1402</t>
  </si>
  <si>
    <t>MYRTLE MIST</t>
  </si>
  <si>
    <t>6P1410</t>
  </si>
  <si>
    <t>PALE BLUSH</t>
  </si>
  <si>
    <t>6P1417</t>
  </si>
  <si>
    <t>CROWN PRINCESS</t>
  </si>
  <si>
    <t>6P1418</t>
  </si>
  <si>
    <t>PINK PALE</t>
  </si>
  <si>
    <t>6P1425</t>
  </si>
  <si>
    <t>PINK CONFECTION</t>
  </si>
  <si>
    <t>6P1426</t>
  </si>
  <si>
    <t>CRYSTAL STONE</t>
  </si>
  <si>
    <t>6P1888</t>
  </si>
  <si>
    <t>SOFT FLUFF</t>
  </si>
  <si>
    <t>6P1889</t>
  </si>
  <si>
    <t>PRETTY STYLE</t>
  </si>
  <si>
    <t>6P1890</t>
  </si>
  <si>
    <t>WINDSWEPT</t>
  </si>
  <si>
    <t>6P1891</t>
  </si>
  <si>
    <t>WIND CHILL</t>
  </si>
  <si>
    <t>6P1892</t>
  </si>
  <si>
    <t>LOVELY HORIZON</t>
  </si>
  <si>
    <t>6P1895</t>
  </si>
  <si>
    <t>EXQUISITE</t>
  </si>
  <si>
    <t>6P1896</t>
  </si>
  <si>
    <t>GLAZED</t>
  </si>
  <si>
    <t>6P1897</t>
  </si>
  <si>
    <t>WHITE TRAIL</t>
  </si>
  <si>
    <t>6P1898</t>
  </si>
  <si>
    <t>MASTERPIECE</t>
  </si>
  <si>
    <t>6P1899</t>
  </si>
  <si>
    <t>CRYSTAL QUARTZ</t>
  </si>
  <si>
    <t>6P1900</t>
  </si>
  <si>
    <t>FEELING SPECIAL</t>
  </si>
  <si>
    <t>6P2298</t>
  </si>
  <si>
    <t>TWILIGHT DREAMS</t>
  </si>
  <si>
    <t>6P2299</t>
  </si>
  <si>
    <t>GRAPE SCENT</t>
  </si>
  <si>
    <t>6P2309</t>
  </si>
  <si>
    <t>SIMPLY ME</t>
  </si>
  <si>
    <t>6P2313</t>
  </si>
  <si>
    <t>KNOWING NICOLE</t>
  </si>
  <si>
    <t>6P2320</t>
  </si>
  <si>
    <t>HINT OF VIOLET</t>
  </si>
  <si>
    <t>6P2325</t>
  </si>
  <si>
    <t>VIOLET RAYS</t>
  </si>
  <si>
    <t>6P2326</t>
  </si>
  <si>
    <t>GLASS LILAC</t>
  </si>
  <si>
    <t>6P2341</t>
  </si>
  <si>
    <t>LAUGHING LILAC</t>
  </si>
  <si>
    <t>6P2342</t>
  </si>
  <si>
    <t>BELL OF LOVE</t>
  </si>
  <si>
    <t>6P2356</t>
  </si>
  <si>
    <t>GENTLE YAWN</t>
  </si>
  <si>
    <t>6P2371</t>
  </si>
  <si>
    <t>RAE'S RENDITION</t>
  </si>
  <si>
    <t>6P2380</t>
  </si>
  <si>
    <t>BO PEEP</t>
  </si>
  <si>
    <t>6T0306</t>
  </si>
  <si>
    <t>AROMATIC FLORAL</t>
  </si>
  <si>
    <t>6T0309</t>
  </si>
  <si>
    <t>ASYSTASIA</t>
  </si>
  <si>
    <t>6T0310</t>
  </si>
  <si>
    <t>SAFE PASSAGE</t>
  </si>
  <si>
    <t>6T1195</t>
  </si>
  <si>
    <t>COLOR OF DREAMS</t>
  </si>
  <si>
    <t>6T1197</t>
  </si>
  <si>
    <t>BIG FALLS</t>
  </si>
  <si>
    <t>6T1203</t>
  </si>
  <si>
    <t>KIND OF BLUE</t>
  </si>
  <si>
    <t>6T1204</t>
  </si>
  <si>
    <t>PERIWINKLE POSE</t>
  </si>
  <si>
    <t>6T1205</t>
  </si>
  <si>
    <t>LAVENDER LASS</t>
  </si>
  <si>
    <t>6T1211</t>
  </si>
  <si>
    <t>VIOLET VALUE</t>
  </si>
  <si>
    <t>6T1212</t>
  </si>
  <si>
    <t>BRIGHT PERIWINKLE</t>
  </si>
  <si>
    <t>6T1213</t>
  </si>
  <si>
    <t>PURPLE SKY</t>
  </si>
  <si>
    <t>6T1219</t>
  </si>
  <si>
    <t>LADY LAVENDER</t>
  </si>
  <si>
    <t>6T1220</t>
  </si>
  <si>
    <t>PRINCE CHARMING</t>
  </si>
  <si>
    <t>6T1227</t>
  </si>
  <si>
    <t>PETITE PURPLE</t>
  </si>
  <si>
    <t>6T1228</t>
  </si>
  <si>
    <t>SHY VIOLET</t>
  </si>
  <si>
    <t>6T1235</t>
  </si>
  <si>
    <t>SPRING VIOLETS</t>
  </si>
  <si>
    <t>6T1236</t>
  </si>
  <si>
    <t>HEATHER GLEN</t>
  </si>
  <si>
    <t>6T1237</t>
  </si>
  <si>
    <t>POETIC PURPLE</t>
  </si>
  <si>
    <t>6T1243</t>
  </si>
  <si>
    <t>SIMPLY LILAC</t>
  </si>
  <si>
    <t>6T1244</t>
  </si>
  <si>
    <t>MINIATURE IRIS</t>
  </si>
  <si>
    <t>6T1251</t>
  </si>
  <si>
    <t>INNOCENT CREAM</t>
  </si>
  <si>
    <t>7P0177</t>
  </si>
  <si>
    <t>HAZEL CREAM</t>
  </si>
  <si>
    <t>7P0178</t>
  </si>
  <si>
    <t>FOSSIL BEIGE</t>
  </si>
  <si>
    <t>7P0179</t>
  </si>
  <si>
    <t>DRIFTING DUNE</t>
  </si>
  <si>
    <t>7P0180</t>
  </si>
  <si>
    <t>DUSTRY ROSE TINT</t>
  </si>
  <si>
    <t>7P0181</t>
  </si>
  <si>
    <t>CHAMPAGNE TOAST</t>
  </si>
  <si>
    <t>7P0182</t>
  </si>
  <si>
    <t>BISCUIT BEIGE</t>
  </si>
  <si>
    <t>7P0183</t>
  </si>
  <si>
    <t>FABULOUS WHITE</t>
  </si>
  <si>
    <t>7P0185</t>
  </si>
  <si>
    <t>ROCK SALT</t>
  </si>
  <si>
    <t>7P0186</t>
  </si>
  <si>
    <t>SCALLION</t>
  </si>
  <si>
    <t>7P0187</t>
  </si>
  <si>
    <t>PALACE WALLS</t>
  </si>
  <si>
    <t>7P0188</t>
  </si>
  <si>
    <t>ORGANIC IVORY</t>
  </si>
  <si>
    <t>7P0189</t>
  </si>
  <si>
    <t>MINERAL WHITE</t>
  </si>
  <si>
    <t>7P0190</t>
  </si>
  <si>
    <t>LIGHT MURALS</t>
  </si>
  <si>
    <t>7P0191</t>
  </si>
  <si>
    <t>TOUCHSTONE</t>
  </si>
  <si>
    <t>7P0192</t>
  </si>
  <si>
    <t>BLUSHING BRIDE</t>
  </si>
  <si>
    <t>7P0333</t>
  </si>
  <si>
    <t>CREAM SWIRLS</t>
  </si>
  <si>
    <t>7P0337</t>
  </si>
  <si>
    <t>POTTERY</t>
  </si>
  <si>
    <t>7P0338</t>
  </si>
  <si>
    <t>WARM SHAWL</t>
  </si>
  <si>
    <t>7P0341</t>
  </si>
  <si>
    <t>AQUA APPEAL</t>
  </si>
  <si>
    <t>7P1441</t>
  </si>
  <si>
    <t>PROVINCIAL PARK</t>
  </si>
  <si>
    <t>7P1442</t>
  </si>
  <si>
    <t>SPRING BANQUET</t>
  </si>
  <si>
    <t>7P1449</t>
  </si>
  <si>
    <t>EMERALD CITY</t>
  </si>
  <si>
    <t>7P1450</t>
  </si>
  <si>
    <t>EASTERN LIGHT</t>
  </si>
  <si>
    <t>7P1458</t>
  </si>
  <si>
    <t>GREEN FILLER</t>
  </si>
  <si>
    <t>7P1465</t>
  </si>
  <si>
    <t>GREEN PEACE</t>
  </si>
  <si>
    <t>7P1466</t>
  </si>
  <si>
    <t>SPRING INSPIRATION</t>
  </si>
  <si>
    <t>7P1473</t>
  </si>
  <si>
    <t>SOFT JADE</t>
  </si>
  <si>
    <t>7P1474</t>
  </si>
  <si>
    <t>GLIMPSE OF GREEN</t>
  </si>
  <si>
    <t>7P1481</t>
  </si>
  <si>
    <t>MY GARDEN</t>
  </si>
  <si>
    <t>7P1482</t>
  </si>
  <si>
    <t>CHIC SPROUT</t>
  </si>
  <si>
    <t>7P1489</t>
  </si>
  <si>
    <t>ESMERALDA EVENING</t>
  </si>
  <si>
    <t>7P1490</t>
  </si>
  <si>
    <t>SUMMER SMILE</t>
  </si>
  <si>
    <t>7P1497</t>
  </si>
  <si>
    <t>GARDEN MEDLEY</t>
  </si>
  <si>
    <t>7P1498</t>
  </si>
  <si>
    <t>SPRING BREAK</t>
  </si>
  <si>
    <t>7P1505</t>
  </si>
  <si>
    <t>SOMETHING GREEN</t>
  </si>
  <si>
    <t>7P1506</t>
  </si>
  <si>
    <t>SPINNEY MOUNTAIN</t>
  </si>
  <si>
    <t>7P1513</t>
  </si>
  <si>
    <t>THINK SPRING</t>
  </si>
  <si>
    <t>7P1514</t>
  </si>
  <si>
    <t>BRIDAL WREATH</t>
  </si>
  <si>
    <t>7P1521</t>
  </si>
  <si>
    <t>KISS OF SPRING</t>
  </si>
  <si>
    <t>7P1522</t>
  </si>
  <si>
    <t>SPRING MELODY</t>
  </si>
  <si>
    <t>7P1529</t>
  </si>
  <si>
    <t>CLOUD OF DUST</t>
  </si>
  <si>
    <t>7P1538</t>
  </si>
  <si>
    <t>STEAMED MILK</t>
  </si>
  <si>
    <t>7P1545</t>
  </si>
  <si>
    <t>SUTHERLAND</t>
  </si>
  <si>
    <t>7P1546</t>
  </si>
  <si>
    <t>POWDERHORN</t>
  </si>
  <si>
    <t>7P1553</t>
  </si>
  <si>
    <t>SIERRA FOOTHILLS</t>
  </si>
  <si>
    <t>7P1554</t>
  </si>
  <si>
    <t>PIANO KEYS</t>
  </si>
  <si>
    <t>7P1561</t>
  </si>
  <si>
    <t>VANILLA FROST</t>
  </si>
  <si>
    <t>7P1562</t>
  </si>
  <si>
    <t>VILLA FLORENCE</t>
  </si>
  <si>
    <t>7P1569</t>
  </si>
  <si>
    <t>ARTISTOS</t>
  </si>
  <si>
    <t>7P1570</t>
  </si>
  <si>
    <t>ANTIQUE ALMOND</t>
  </si>
  <si>
    <t>7P1578</t>
  </si>
  <si>
    <t>SAND DOLLAR BEACH</t>
  </si>
  <si>
    <t>7P1586</t>
  </si>
  <si>
    <t>WATER CHESTNUT</t>
  </si>
  <si>
    <t>7P1593</t>
  </si>
  <si>
    <t>ANTIQUA</t>
  </si>
  <si>
    <t>7P1594</t>
  </si>
  <si>
    <t>ALMONDINE</t>
  </si>
  <si>
    <t>7P1601</t>
  </si>
  <si>
    <t>BEACH PARTY</t>
  </si>
  <si>
    <t>7P1602</t>
  </si>
  <si>
    <t>SOFT SAND</t>
  </si>
  <si>
    <t>7P1609</t>
  </si>
  <si>
    <t>SANDHURST</t>
  </si>
  <si>
    <t>7P1610</t>
  </si>
  <si>
    <t>ANGEL FOOD</t>
  </si>
  <si>
    <t>7P1617</t>
  </si>
  <si>
    <t>CASABA</t>
  </si>
  <si>
    <t>7P1618</t>
  </si>
  <si>
    <t>CRYSTAL BEACH</t>
  </si>
  <si>
    <t>7P1625</t>
  </si>
  <si>
    <t>BEAUTY AND THE BEACH</t>
  </si>
  <si>
    <t>7P1626</t>
  </si>
  <si>
    <t>BEIGE BLUSH</t>
  </si>
  <si>
    <t>7P1633</t>
  </si>
  <si>
    <t>SEA OF CORAL</t>
  </si>
  <si>
    <t>7P1634</t>
  </si>
  <si>
    <t>PRETTIEST PALE</t>
  </si>
  <si>
    <t>7P1641</t>
  </si>
  <si>
    <t>BARE ESSENTIAL</t>
  </si>
  <si>
    <t>7P1642</t>
  </si>
  <si>
    <t>PALE STARLET</t>
  </si>
  <si>
    <t>7P1649</t>
  </si>
  <si>
    <t>STELLAR LIGHT</t>
  </si>
  <si>
    <t>7P1650</t>
  </si>
  <si>
    <t>ROSE PORCELAIN</t>
  </si>
  <si>
    <t>7P1657</t>
  </si>
  <si>
    <t>LITTLE PRECIOUS</t>
  </si>
  <si>
    <t>7P1658</t>
  </si>
  <si>
    <t>SPRING PETALS</t>
  </si>
  <si>
    <t>7P1665</t>
  </si>
  <si>
    <t>244 , 237 , 221</t>
  </si>
  <si>
    <t>235 , 214 , 187</t>
  </si>
  <si>
    <t>227 , 203 , 177</t>
  </si>
  <si>
    <t>215 , 192 , 163</t>
  </si>
  <si>
    <t>228 , 199 , 180</t>
  </si>
  <si>
    <t>220 , 190 , 171</t>
  </si>
  <si>
    <t>247 , 228 , 202</t>
  </si>
  <si>
    <t>237 , 222 , 199</t>
  </si>
  <si>
    <t>245 , 216 , 180</t>
  </si>
  <si>
    <t>233 , 211 , 173</t>
  </si>
  <si>
    <t>241 , 207 , 169</t>
  </si>
  <si>
    <t>244 , 202 , 165</t>
  </si>
  <si>
    <t>240 , 198 , 156</t>
  </si>
  <si>
    <t>252 , 218 , 175</t>
  </si>
  <si>
    <t>244 , 228 , 209</t>
  </si>
  <si>
    <t>250 , 225 , 201</t>
  </si>
  <si>
    <t>248 , 224 , 194</t>
  </si>
  <si>
    <t>245 , 229 , 207</t>
  </si>
  <si>
    <t>250 , 226 , 205</t>
  </si>
  <si>
    <t>249 , 221 , 195</t>
  </si>
  <si>
    <t>251 , 226 , 207</t>
  </si>
  <si>
    <t>247 , 215 , 191</t>
  </si>
  <si>
    <t>255 , 226 , 202</t>
  </si>
  <si>
    <t>255 , 236 , 198</t>
  </si>
  <si>
    <t>250 , 223 , 187</t>
  </si>
  <si>
    <t>255 , 234 , 196</t>
  </si>
  <si>
    <t>245 , 223 , 190</t>
  </si>
  <si>
    <t>251 , 230 , 193</t>
  </si>
  <si>
    <t>245 , 243 , 238</t>
  </si>
  <si>
    <t>242 , 238 , 229</t>
  </si>
  <si>
    <t>238 , 226 , 208</t>
  </si>
  <si>
    <t>244 , 241 , 231</t>
  </si>
  <si>
    <t>245 , 241 , 229</t>
  </si>
  <si>
    <t>245 , 237 , 216</t>
  </si>
  <si>
    <t>246 , 236 , 216</t>
  </si>
  <si>
    <t>243 , 236 , 200</t>
  </si>
  <si>
    <t>242 , 239 , 232</t>
  </si>
  <si>
    <t>233 , 224 , 221</t>
  </si>
  <si>
    <t>247 , 235 , 219</t>
  </si>
  <si>
    <t>248 , 246 , 236</t>
  </si>
  <si>
    <t>246 , 231 , 218</t>
  </si>
  <si>
    <t>248 , 234 , 212</t>
  </si>
  <si>
    <t>247 , 225 , 196</t>
  </si>
  <si>
    <t>249 , 228 , 199</t>
  </si>
  <si>
    <t>248 , 229 , 203</t>
  </si>
  <si>
    <t>248 , 233 , 210</t>
  </si>
  <si>
    <t>255 , 233 , 201</t>
  </si>
  <si>
    <t>247 , 235 , 208</t>
  </si>
  <si>
    <t>246 , 236 , 214</t>
  </si>
  <si>
    <t>248 , 235 , 202</t>
  </si>
  <si>
    <t>248 , 242 , 212</t>
  </si>
  <si>
    <t>244 , 234 , 208</t>
  </si>
  <si>
    <t>252 , 240 , 209</t>
  </si>
  <si>
    <t>246 , 236 , 212</t>
  </si>
  <si>
    <t>245 , 235 , 210</t>
  </si>
  <si>
    <t>249 , 229 , 190</t>
  </si>
  <si>
    <t>246 , 234 , 210</t>
  </si>
  <si>
    <t>248 , 194 , 135</t>
  </si>
  <si>
    <t>245 , 212 , 179</t>
  </si>
  <si>
    <t>239 , 196 , 154</t>
  </si>
  <si>
    <t>238 , 227 , 206</t>
  </si>
  <si>
    <t>248 , 219 , 169</t>
  </si>
  <si>
    <t>235 , 212 , 170</t>
  </si>
  <si>
    <t>251 , 241 , 219</t>
  </si>
  <si>
    <t>253 , 240 , 213</t>
  </si>
  <si>
    <t>251 , 229 , 193</t>
  </si>
  <si>
    <t>251 , 232 , 199</t>
  </si>
  <si>
    <t>245 , 226 , 192</t>
  </si>
  <si>
    <t>233 , 221 , 197</t>
  </si>
  <si>
    <t>227 , 213 , 187</t>
  </si>
  <si>
    <t>220 , 202 , 163</t>
  </si>
  <si>
    <t>241 , 232 , 213</t>
  </si>
  <si>
    <t>252 , 247 , 226</t>
  </si>
  <si>
    <t>253 , 247 , 222</t>
  </si>
  <si>
    <t>253 , 246 , 216</t>
  </si>
  <si>
    <t>234 , 224 , 184</t>
  </si>
  <si>
    <t>241 , 221 , 177</t>
  </si>
  <si>
    <t>251 , 249 , 226</t>
  </si>
  <si>
    <t>249 , 248 , 219</t>
  </si>
  <si>
    <t>250 , 248 , 213</t>
  </si>
  <si>
    <t>235 , 238 , 238</t>
  </si>
  <si>
    <t>230 , 237 , 228</t>
  </si>
  <si>
    <t>239 , 239 , 217</t>
  </si>
  <si>
    <t>232 , 235 , 208</t>
  </si>
  <si>
    <t>228 , 232 , 200</t>
  </si>
  <si>
    <t>225 , 229 , 193</t>
  </si>
  <si>
    <t>252 , 237 , 200</t>
  </si>
  <si>
    <t>222 , 210 , 190</t>
  </si>
  <si>
    <t>246 , 239 , 201</t>
  </si>
  <si>
    <t>253 , 240 , 206</t>
  </si>
  <si>
    <t>255 , 239 , 196</t>
  </si>
  <si>
    <t>254 , 244 , 199</t>
  </si>
  <si>
    <t>253 , 244 , 201</t>
  </si>
  <si>
    <t>235 , 243 , 212</t>
  </si>
  <si>
    <t>235 , 240 , 201</t>
  </si>
  <si>
    <t>240 , 239 , 231</t>
  </si>
  <si>
    <t>242 , 242 , 234</t>
  </si>
  <si>
    <t>239 , 240 , 236</t>
  </si>
  <si>
    <t>241 , 239 , 229</t>
  </si>
  <si>
    <t>244 , 239 , 226</t>
  </si>
  <si>
    <t>243 , 238 , 228</t>
  </si>
  <si>
    <t>241 , 237 , 227</t>
  </si>
  <si>
    <t>242 , 238 , 224</t>
  </si>
  <si>
    <t>241 , 235 , 219</t>
  </si>
  <si>
    <t>246 , 244 , 231</t>
  </si>
  <si>
    <t>241 , 237 , 222</t>
  </si>
  <si>
    <t>244 , 240 , 227</t>
  </si>
  <si>
    <t>248 , 242 , 225</t>
  </si>
  <si>
    <t>244 , 234 , 216</t>
  </si>
  <si>
    <t>244 , 241 , 222</t>
  </si>
  <si>
    <t>244 , 238 , 214</t>
  </si>
  <si>
    <t>246 , 240 , 215</t>
  </si>
  <si>
    <t>242 , 234 , 205</t>
  </si>
  <si>
    <t>241 , 230 , 202</t>
  </si>
  <si>
    <t>246 , 243 , 222</t>
  </si>
  <si>
    <t>240 , 229 , 201</t>
  </si>
  <si>
    <t>235 , 231 , 197</t>
  </si>
  <si>
    <t>245 , 236 , 223</t>
  </si>
  <si>
    <t>243 , 237 , 224</t>
  </si>
  <si>
    <t>243 , 238 , 224</t>
  </si>
  <si>
    <t>249 , 243 , 226</t>
  </si>
  <si>
    <t>244 , 237 , 224</t>
  </si>
  <si>
    <t>248 , 233 , 201</t>
  </si>
  <si>
    <t>241 , 229 , 191</t>
  </si>
  <si>
    <t>245 , 237 , 202</t>
  </si>
  <si>
    <t>247 , 233 , 195</t>
  </si>
  <si>
    <t>246 , 230 , 185</t>
  </si>
  <si>
    <t>241 , 231 , 194</t>
  </si>
  <si>
    <t>240 , 229 , 182</t>
  </si>
  <si>
    <t>253 , 199 , 115</t>
  </si>
  <si>
    <t>200 , 185 , 161</t>
  </si>
  <si>
    <t>255 , 224 , 157</t>
  </si>
  <si>
    <t>250 , 231 , 183</t>
  </si>
  <si>
    <t>251 , 223 , 163</t>
  </si>
  <si>
    <t>247 , 211 , 140</t>
  </si>
  <si>
    <t>246 , 229 , 181</t>
  </si>
  <si>
    <t>244 , 218 , 162</t>
  </si>
  <si>
    <t>245 , 211 , 140</t>
  </si>
  <si>
    <t>255 , 236 , 179</t>
  </si>
  <si>
    <t>255 , 240 , 177</t>
  </si>
  <si>
    <t>255 , 239 , 187</t>
  </si>
  <si>
    <t>255 , 233 , 165</t>
  </si>
  <si>
    <t>255 , 242 , 187</t>
  </si>
  <si>
    <t>255 , 238 , 167</t>
  </si>
  <si>
    <t>255 , 233 , 146</t>
  </si>
  <si>
    <t>241 , 213 , 141</t>
  </si>
  <si>
    <t>246 , 237 , 187</t>
  </si>
  <si>
    <t>239 , 227 , 165</t>
  </si>
  <si>
    <t>230 , 215 , 142</t>
  </si>
  <si>
    <t>233 , 233 , 179</t>
  </si>
  <si>
    <t>227 , 225 , 162</t>
  </si>
  <si>
    <t>220 , 218 , 145</t>
  </si>
  <si>
    <t>234 , 240 , 183</t>
  </si>
  <si>
    <t>223 , 232 , 166</t>
  </si>
  <si>
    <t>229 , 236 , 190</t>
  </si>
  <si>
    <t>211 , 224 , 164</t>
  </si>
  <si>
    <t>197 , 213 , 148</t>
  </si>
  <si>
    <t>227 , 240 , 189</t>
  </si>
  <si>
    <t>227 , 241 , 183</t>
  </si>
  <si>
    <t>239 , 221 , 173</t>
  </si>
  <si>
    <t>232 , 212 , 159</t>
  </si>
  <si>
    <t>231 , 209 , 155</t>
  </si>
  <si>
    <t>243 , 221 , 143</t>
  </si>
  <si>
    <t>243 , 223 , 179</t>
  </si>
  <si>
    <t>244 , 217 , 150</t>
  </si>
  <si>
    <t>233 , 210 , 142</t>
  </si>
  <si>
    <t>240 , 220 , 161</t>
  </si>
  <si>
    <t>231 , 207 , 140</t>
  </si>
  <si>
    <t>243 , 172 , 69</t>
  </si>
  <si>
    <t>214 , 184 , 121</t>
  </si>
  <si>
    <t>213 , 172 , 109</t>
  </si>
  <si>
    <t>180 , 149 , 110</t>
  </si>
  <si>
    <t>195 , 189 , 107</t>
  </si>
  <si>
    <t>237 , 199 , 107</t>
  </si>
  <si>
    <t>223 , 183 , 87</t>
  </si>
  <si>
    <t>219 , 201 , 109</t>
  </si>
  <si>
    <t>206 , 184 , 87</t>
  </si>
  <si>
    <t>181 , 196 , 113</t>
  </si>
  <si>
    <t>167 , 185 , 101</t>
  </si>
  <si>
    <t>233 , 246 , 229</t>
  </si>
  <si>
    <t>229 , 246 , 227</t>
  </si>
  <si>
    <t>221 , 234 , 213</t>
  </si>
  <si>
    <t>219 , 245 , 219</t>
  </si>
  <si>
    <t>202 , 227 , 196</t>
  </si>
  <si>
    <t>187 , 220 , 188</t>
  </si>
  <si>
    <t>171 , 211 , 174</t>
  </si>
  <si>
    <t>226 , 236 , 224</t>
  </si>
  <si>
    <t>219 , 231 , 218</t>
  </si>
  <si>
    <t>220 , 229 , 222</t>
  </si>
  <si>
    <t>220 , 236 , 227</t>
  </si>
  <si>
    <t>213 , 226 , 218</t>
  </si>
  <si>
    <t>203 , 219 , 213</t>
  </si>
  <si>
    <t>198 , 239 , 221</t>
  </si>
  <si>
    <t>170 , 217 , 192</t>
  </si>
  <si>
    <t>212 , 237 , 226</t>
  </si>
  <si>
    <t>220 , 244 , 231</t>
  </si>
  <si>
    <t>207 , 241 , 223</t>
  </si>
  <si>
    <t>203 , 240 , 222</t>
  </si>
  <si>
    <t>185 , 224 , 212</t>
  </si>
  <si>
    <t>180 , 217 , 208</t>
  </si>
  <si>
    <t>223 , 241 , 231</t>
  </si>
  <si>
    <t>203 , 228 , 220</t>
  </si>
  <si>
    <t>213 , 242 , 232</t>
  </si>
  <si>
    <t>203 , 232 , 221</t>
  </si>
  <si>
    <t>194 , 224 , 215</t>
  </si>
  <si>
    <t>196 , 229 , 217</t>
  </si>
  <si>
    <t>195 , 237 , 225</t>
  </si>
  <si>
    <t>171 , 211 , 201</t>
  </si>
  <si>
    <t>222 , 226 , 191</t>
  </si>
  <si>
    <t>201 , 204 , 155</t>
  </si>
  <si>
    <t>230 , 243 , 218</t>
  </si>
  <si>
    <t>197 , 225 , 198</t>
  </si>
  <si>
    <t>202 , 236 , 189</t>
  </si>
  <si>
    <t>219 , 235 , 219</t>
  </si>
  <si>
    <t>181 , 209 , 209</t>
  </si>
  <si>
    <t>226 , 238 , 203</t>
  </si>
  <si>
    <t>223 , 236 , 208</t>
  </si>
  <si>
    <t>202 , 239 , 212</t>
  </si>
  <si>
    <t>198 , 231 , 208</t>
  </si>
  <si>
    <t>196 , 235 , 215</t>
  </si>
  <si>
    <t>191 , 237 , 216</t>
  </si>
  <si>
    <t>195 , 231 , 217</t>
  </si>
  <si>
    <t>184 , 234 , 224</t>
  </si>
  <si>
    <t>204 , 236 , 229</t>
  </si>
  <si>
    <t>191 , 233 , 222</t>
  </si>
  <si>
    <t>218 , 243 , 234</t>
  </si>
  <si>
    <t>181 , 232 , 224</t>
  </si>
  <si>
    <t>208 , 239 , 232</t>
  </si>
  <si>
    <t>187 , 231 , 226</t>
  </si>
  <si>
    <t>184 , 231 , 229</t>
  </si>
  <si>
    <t>183 , 224 , 224</t>
  </si>
  <si>
    <t>204 , 235 , 230</t>
  </si>
  <si>
    <t>184 , 226 , 227</t>
  </si>
  <si>
    <t>206 , 229 , 226</t>
  </si>
  <si>
    <t>189 , 219 , 221</t>
  </si>
  <si>
    <t>191 , 223 , 225</t>
  </si>
  <si>
    <t>236 , 238 , 228</t>
  </si>
  <si>
    <t>233 , 235 , 228</t>
  </si>
  <si>
    <t>248 , 246 , 235</t>
  </si>
  <si>
    <t>247 , 245 , 234</t>
  </si>
  <si>
    <t>239 , 240 , 225</t>
  </si>
  <si>
    <t>234 , 237 , 220</t>
  </si>
  <si>
    <t>232 , 238 , 222</t>
  </si>
  <si>
    <t>231 , 240 , 229</t>
  </si>
  <si>
    <t>229 , 238 , 219</t>
  </si>
  <si>
    <t>229 , 237 , 207</t>
  </si>
  <si>
    <t>231 , 242 , 239</t>
  </si>
  <si>
    <t>227 , 235 , 232</t>
  </si>
  <si>
    <t>229 , 236 , 232</t>
  </si>
  <si>
    <t>228 , 232 , 224</t>
  </si>
  <si>
    <t>229 , 234 , 229</t>
  </si>
  <si>
    <t>229 , 234 , 227</t>
  </si>
  <si>
    <t>239 , 239 , 206</t>
  </si>
  <si>
    <t>238 , 231 , 175</t>
  </si>
  <si>
    <t>237 , 238 , 197</t>
  </si>
  <si>
    <t>233 , 239 , 194</t>
  </si>
  <si>
    <t>232 , 236 , 211</t>
  </si>
  <si>
    <t>227 , 238 , 213</t>
  </si>
  <si>
    <t>225 , 235 , 222</t>
  </si>
  <si>
    <t>209 , 229 , 203</t>
  </si>
  <si>
    <t>219 , 239 , 218</t>
  </si>
  <si>
    <t>218 , 238 , 213</t>
  </si>
  <si>
    <t>224 , 237 , 224</t>
  </si>
  <si>
    <t>190 , 233 , 211</t>
  </si>
  <si>
    <t>213 , 238 , 220</t>
  </si>
  <si>
    <t>212 , 239 , 227</t>
  </si>
  <si>
    <t>217 , 239 , 229</t>
  </si>
  <si>
    <t>199 , 228 , 216</t>
  </si>
  <si>
    <t>198 , 228 , 221</t>
  </si>
  <si>
    <t>218 , 238 , 224</t>
  </si>
  <si>
    <t>202 , 227 , 214</t>
  </si>
  <si>
    <t>221 , 238 , 234</t>
  </si>
  <si>
    <t>221 , 235 , 225</t>
  </si>
  <si>
    <t>207 , 234 , 225</t>
  </si>
  <si>
    <t>190 , 230 , 224</t>
  </si>
  <si>
    <t>216 , 238 , 236</t>
  </si>
  <si>
    <t>200 , 236 , 232</t>
  </si>
  <si>
    <t>208 , 233 , 228</t>
  </si>
  <si>
    <t>221 , 232 , 227</t>
  </si>
  <si>
    <t>209 , 225 , 222</t>
  </si>
  <si>
    <t>222 , 235 , 229</t>
  </si>
  <si>
    <t>207 , 229 , 224</t>
  </si>
  <si>
    <t>164 , 213 , 197</t>
  </si>
  <si>
    <t>216 , 233 , 191</t>
  </si>
  <si>
    <t>202 , 223 , 171</t>
  </si>
  <si>
    <t>183 , 210 , 150</t>
  </si>
  <si>
    <t>216 , 238 , 193</t>
  </si>
  <si>
    <t>199 , 230 , 174</t>
  </si>
  <si>
    <t>185 , 221 , 155</t>
  </si>
  <si>
    <t>200 , 236 , 197</t>
  </si>
  <si>
    <t>210 , 230 , 193</t>
  </si>
  <si>
    <t>182 , 215 , 175</t>
  </si>
  <si>
    <t>163 , 202 , 159</t>
  </si>
  <si>
    <t>196 , 234 , 193</t>
  </si>
  <si>
    <t>167 , 227 , 179</t>
  </si>
  <si>
    <t>145 , 218 , 162</t>
  </si>
  <si>
    <t>184 , 229 , 199</t>
  </si>
  <si>
    <t>162 , 223 , 185</t>
  </si>
  <si>
    <t>136 , 210 , 163</t>
  </si>
  <si>
    <t>207 , 233 , 238</t>
  </si>
  <si>
    <t>209 , 236 , 235</t>
  </si>
  <si>
    <t>195 , 233 , 235</t>
  </si>
  <si>
    <t>184 , 220 , 220</t>
  </si>
  <si>
    <t>174 , 222 , 215</t>
  </si>
  <si>
    <t>151 , 212 , 217</t>
  </si>
  <si>
    <t>210 , 232 , 234</t>
  </si>
  <si>
    <t>199 , 235 , 232</t>
  </si>
  <si>
    <t>187 , 232 , 232</t>
  </si>
  <si>
    <t>171 , 225 , 226</t>
  </si>
  <si>
    <t>165 , 219 , 225</t>
  </si>
  <si>
    <t>161 , 218 , 221</t>
  </si>
  <si>
    <t>168 , 212 , 222</t>
  </si>
  <si>
    <t>145 , 213 , 223</t>
  </si>
  <si>
    <t>214 , 229 , 237</t>
  </si>
  <si>
    <t>183 , 223 , 232</t>
  </si>
  <si>
    <t>196 , 215 , 230</t>
  </si>
  <si>
    <t>169 , 206 , 225</t>
  </si>
  <si>
    <t>174 , 221 , 236</t>
  </si>
  <si>
    <t>146 , 209 , 230</t>
  </si>
  <si>
    <t>149 , 202 , 216</t>
  </si>
  <si>
    <t>223 , 228 , 236</t>
  </si>
  <si>
    <t>231 , 231 , 234</t>
  </si>
  <si>
    <t>223 , 225 , 236</t>
  </si>
  <si>
    <t>216 , 218 , 234</t>
  </si>
  <si>
    <t>211 , 221 , 236</t>
  </si>
  <si>
    <t>194 , 215 , 235</t>
  </si>
  <si>
    <t>199 , 212 , 233</t>
  </si>
  <si>
    <t>185 , 210 , 234</t>
  </si>
  <si>
    <t>166 , 218 , 231</t>
  </si>
  <si>
    <t>201 , 231 , 220</t>
  </si>
  <si>
    <t>163 , 227 , 223</t>
  </si>
  <si>
    <t>195 , 225 , 236</t>
  </si>
  <si>
    <t>168 , 212 , 233</t>
  </si>
  <si>
    <t>217 , 209 , 226</t>
  </si>
  <si>
    <t>201 , 230 , 230</t>
  </si>
  <si>
    <t>188 , 227 , 231</t>
  </si>
  <si>
    <t>198 , 225 , 228</t>
  </si>
  <si>
    <t>182 , 221 , 227</t>
  </si>
  <si>
    <t>205 , 229 , 228</t>
  </si>
  <si>
    <t>190 , 221 , 230</t>
  </si>
  <si>
    <t>200 , 225 , 230</t>
  </si>
  <si>
    <t>187 , 226 , 235</t>
  </si>
  <si>
    <t>180 , 221 , 232</t>
  </si>
  <si>
    <t>191 , 224 , 233</t>
  </si>
  <si>
    <t>189 , 222 , 232</t>
  </si>
  <si>
    <t>204 , 227 , 232</t>
  </si>
  <si>
    <t>189 , 218 , 230</t>
  </si>
  <si>
    <t>214 , 228 , 234</t>
  </si>
  <si>
    <t>193 , 216 , 229</t>
  </si>
  <si>
    <t>207 , 228 , 234</t>
  </si>
  <si>
    <t>189 , 221 , 235</t>
  </si>
  <si>
    <t>194 , 222 , 237</t>
  </si>
  <si>
    <t>209 , 224 , 232</t>
  </si>
  <si>
    <t>195 , 216 , 232</t>
  </si>
  <si>
    <t>211 , 223 , 230</t>
  </si>
  <si>
    <t>198 , 219 , 232</t>
  </si>
  <si>
    <t>197 , 219 , 232</t>
  </si>
  <si>
    <t>199 , 220 , 235</t>
  </si>
  <si>
    <t>210 , 223 , 232</t>
  </si>
  <si>
    <t>232 , 221 , 235</t>
  </si>
  <si>
    <t>228 , 216 , 236</t>
  </si>
  <si>
    <t>238 , 222 , 236</t>
  </si>
  <si>
    <t>231 , 214 , 233</t>
  </si>
  <si>
    <t>220 , 207 , 234</t>
  </si>
  <si>
    <t>227 , 208 , 231</t>
  </si>
  <si>
    <t>217 , 203 , 232</t>
  </si>
  <si>
    <t>206 , 195 , 220</t>
  </si>
  <si>
    <t>237 , 220 , 236</t>
  </si>
  <si>
    <t>241 , 225 , 234</t>
  </si>
  <si>
    <t>239 , 217 , 233</t>
  </si>
  <si>
    <t>234 , 212 , 233</t>
  </si>
  <si>
    <t>230 , 204 , 230</t>
  </si>
  <si>
    <t>235 , 207 , 231</t>
  </si>
  <si>
    <t>225 , 198 , 228</t>
  </si>
  <si>
    <t>230 , 198 , 227</t>
  </si>
  <si>
    <t>248 , 238 , 238</t>
  </si>
  <si>
    <t>246 , 226 , 238</t>
  </si>
  <si>
    <t>246 , 219 , 225</t>
  </si>
  <si>
    <t>242 , 210 , 227</t>
  </si>
  <si>
    <t>244 , 209 , 222</t>
  </si>
  <si>
    <t>244 , 203 , 219</t>
  </si>
  <si>
    <t>241 , 203 , 228</t>
  </si>
  <si>
    <t>237 , 196 , 226</t>
  </si>
  <si>
    <t>215 , 225 , 230</t>
  </si>
  <si>
    <t>207 , 215 , 229</t>
  </si>
  <si>
    <t>218 , 224 , 227</t>
  </si>
  <si>
    <t>207 , 214 , 225</t>
  </si>
  <si>
    <t>214 , 224 , 233</t>
  </si>
  <si>
    <t>209 , 216 , 230</t>
  </si>
  <si>
    <t>203 , 214 , 231</t>
  </si>
  <si>
    <t>224 , 227 , 234</t>
  </si>
  <si>
    <t>212 , 217 , 231</t>
  </si>
  <si>
    <t>225 , 228 , 233</t>
  </si>
  <si>
    <t>216 , 216 , 229</t>
  </si>
  <si>
    <t>228 , 226 , 236</t>
  </si>
  <si>
    <t>209 , 215 , 233</t>
  </si>
  <si>
    <t>221 , 224 , 232</t>
  </si>
  <si>
    <t>214 , 214 , 228</t>
  </si>
  <si>
    <t>227 , 225 , 230</t>
  </si>
  <si>
    <t>217 , 217 , 228</t>
  </si>
  <si>
    <t>230 , 224 , 230</t>
  </si>
  <si>
    <t>210 , 209 , 221</t>
  </si>
  <si>
    <t>227 , 225 , 229</t>
  </si>
  <si>
    <t>216 , 215 , 228</t>
  </si>
  <si>
    <t>223 , 223 , 231</t>
  </si>
  <si>
    <t>217 , 213 , 227</t>
  </si>
  <si>
    <t>230 , 222 , 229</t>
  </si>
  <si>
    <t>223 , 214 , 227</t>
  </si>
  <si>
    <t>232 , 226 , 233</t>
  </si>
  <si>
    <t>219 , 215 , 227</t>
  </si>
  <si>
    <t>228 , 218 , 228</t>
  </si>
  <si>
    <t>223 , 213 , 232</t>
  </si>
  <si>
    <t>234 , 223 , 227</t>
  </si>
  <si>
    <t>226 , 214 , 225</t>
  </si>
  <si>
    <t>229 , 215 , 230</t>
  </si>
  <si>
    <t>236 , 225 , 232</t>
  </si>
  <si>
    <t>239 , 224 , 231</t>
  </si>
  <si>
    <t>226 , 211 , 224</t>
  </si>
  <si>
    <t>231 , 220 , 225</t>
  </si>
  <si>
    <t>229 , 209 , 222</t>
  </si>
  <si>
    <t>235 , 224 , 231</t>
  </si>
  <si>
    <t>229 , 211 , 226</t>
  </si>
  <si>
    <t>236 , 220 , 229</t>
  </si>
  <si>
    <t>236 , 215 , 226</t>
  </si>
  <si>
    <t>234 , 221 , 234</t>
  </si>
  <si>
    <t>235 , 210 , 227</t>
  </si>
  <si>
    <t>239 , 220 , 228</t>
  </si>
  <si>
    <t>238 , 211 , 226</t>
  </si>
  <si>
    <t>236 , 218 , 230</t>
  </si>
  <si>
    <t>235 , 209 , 225</t>
  </si>
  <si>
    <t>234 , 206 , 226</t>
  </si>
  <si>
    <t>248 , 229 , 233</t>
  </si>
  <si>
    <t>236 , 209 , 225</t>
  </si>
  <si>
    <t>238 , 212 , 214</t>
  </si>
  <si>
    <t>235 , 204 , 215</t>
  </si>
  <si>
    <t>234 , 234 , 233</t>
  </si>
  <si>
    <t>234 , 234 , 235</t>
  </si>
  <si>
    <t>232 , 232 , 235</t>
  </si>
  <si>
    <t>228 , 230 , 233</t>
  </si>
  <si>
    <t>226 , 231 , 237</t>
  </si>
  <si>
    <t>215 , 220 , 226</t>
  </si>
  <si>
    <t>233 , 231 , 229</t>
  </si>
  <si>
    <t>236 , 235 , 236</t>
  </si>
  <si>
    <t>236 , 232 , 233</t>
  </si>
  <si>
    <t>235 , 232 , 231</t>
  </si>
  <si>
    <t>235 , 228 , 229</t>
  </si>
  <si>
    <t>223 , 225 , 231</t>
  </si>
  <si>
    <t>205 , 215 , 232</t>
  </si>
  <si>
    <t>225 , 225 , 231</t>
  </si>
  <si>
    <t>212 , 212 , 221</t>
  </si>
  <si>
    <t>215 , 207 , 224</t>
  </si>
  <si>
    <t>229 , 222 , 234</t>
  </si>
  <si>
    <t>219 , 213 , 230</t>
  </si>
  <si>
    <t>239 , 233 , 232</t>
  </si>
  <si>
    <t>225 , 214 , 222</t>
  </si>
  <si>
    <t>235 , 222 , 233</t>
  </si>
  <si>
    <t>241 , 222 , 231</t>
  </si>
  <si>
    <t>241 , 226 , 223</t>
  </si>
  <si>
    <t>237 , 165 , 195</t>
  </si>
  <si>
    <t>197 , 180 , 200</t>
  </si>
  <si>
    <t>201 , 142 , 190</t>
  </si>
  <si>
    <t>189 , 199 , 219</t>
  </si>
  <si>
    <t>140 , 160 , 193</t>
  </si>
  <si>
    <t>189 , 201 , 218</t>
  </si>
  <si>
    <t>165 , 181 , 205</t>
  </si>
  <si>
    <t>143 , 162 , 190</t>
  </si>
  <si>
    <t>193 , 202 , 221</t>
  </si>
  <si>
    <t>167 , 181 , 209</t>
  </si>
  <si>
    <t>144 , 160 , 195</t>
  </si>
  <si>
    <t>195 , 207 , 227</t>
  </si>
  <si>
    <t>170 , 184 , 216</t>
  </si>
  <si>
    <t>190 , 201 , 225</t>
  </si>
  <si>
    <t>163 , 181 , 213</t>
  </si>
  <si>
    <t>197 , 202 , 224</t>
  </si>
  <si>
    <t>174 , 182 , 213</t>
  </si>
  <si>
    <t>155 , 165 , 206</t>
  </si>
  <si>
    <t>198 , 200 , 218</t>
  </si>
  <si>
    <t>178 , 184 , 213</t>
  </si>
  <si>
    <t>196 , 201 , 227</t>
  </si>
  <si>
    <t>233 , 226 , 224</t>
  </si>
  <si>
    <t>228 , 221 , 220</t>
  </si>
  <si>
    <t>238 , 229 , 223</t>
  </si>
  <si>
    <t>233 , 220 , 215</t>
  </si>
  <si>
    <t>229 , 215 , 212</t>
  </si>
  <si>
    <t>223 , 214 , 214</t>
  </si>
  <si>
    <t>221 , 205 , 200</t>
  </si>
  <si>
    <t>238 , 235 , 225</t>
  </si>
  <si>
    <t>230 , 223 , 212</t>
  </si>
  <si>
    <t>224 , 218 , 206</t>
  </si>
  <si>
    <t>222 , 215 , 203</t>
  </si>
  <si>
    <t>209 , 198 , 183</t>
  </si>
  <si>
    <t>214 , 203 , 189</t>
  </si>
  <si>
    <t>203 , 194 , 178</t>
  </si>
  <si>
    <t>197 , 188 , 171</t>
  </si>
  <si>
    <t>237 , 209 , 199</t>
  </si>
  <si>
    <t>238 , 223 , 209</t>
  </si>
  <si>
    <t>219 , 186 , 164</t>
  </si>
  <si>
    <t>211 , 199 , 184</t>
  </si>
  <si>
    <t>212 , 239 , 232</t>
  </si>
  <si>
    <t>192 , 223 , 222</t>
  </si>
  <si>
    <t>205 , 229 , 227</t>
  </si>
  <si>
    <t>193 , 223 , 219</t>
  </si>
  <si>
    <t>197 , 225 , 217</t>
  </si>
  <si>
    <t>211 , 230 , 221</t>
  </si>
  <si>
    <t>199 , 222 , 215</t>
  </si>
  <si>
    <t>218 , 236 , 223</t>
  </si>
  <si>
    <t>199 , 225 , 215</t>
  </si>
  <si>
    <t>221 , 233 , 220</t>
  </si>
  <si>
    <t>204 , 226 , 212</t>
  </si>
  <si>
    <t>220 , 231 , 219</t>
  </si>
  <si>
    <t>207 , 224 , 208</t>
  </si>
  <si>
    <t>226 , 235 , 218</t>
  </si>
  <si>
    <t>213 , 227 , 207</t>
  </si>
  <si>
    <t>232 , 235 , 217</t>
  </si>
  <si>
    <t>217 , 228 , 205</t>
  </si>
  <si>
    <t>229 , 232 , 210</t>
  </si>
  <si>
    <t>226 , 228 , 201</t>
  </si>
  <si>
    <t>234 , 233 , 214</t>
  </si>
  <si>
    <t>217 , 218 , 194</t>
  </si>
  <si>
    <t>234 , 233 , 211</t>
  </si>
  <si>
    <t>233 , 228 , 199</t>
  </si>
  <si>
    <t>239 , 235 , 220</t>
  </si>
  <si>
    <t>228 , 223 , 200</t>
  </si>
  <si>
    <t>240 , 230 , 209</t>
  </si>
  <si>
    <t>233 , 222 , 195</t>
  </si>
  <si>
    <t>250 , 239 , 217</t>
  </si>
  <si>
    <t>238 , 225 , 198</t>
  </si>
  <si>
    <t>242 , 229 , 206</t>
  </si>
  <si>
    <t>248 , 231 , 200</t>
  </si>
  <si>
    <t>245 , 229 , 199</t>
  </si>
  <si>
    <t>246 , 235 , 220</t>
  </si>
  <si>
    <t>239 , 221 , 198</t>
  </si>
  <si>
    <t>247 , 230 , 207</t>
  </si>
  <si>
    <t>246 , 226 , 196</t>
  </si>
  <si>
    <t>245 , 230 , 211</t>
  </si>
  <si>
    <t>242 , 222 , 194</t>
  </si>
  <si>
    <t>245 , 231 , 213</t>
  </si>
  <si>
    <t>237 , 216 , 199</t>
  </si>
  <si>
    <t>247 , 222 , 203</t>
  </si>
  <si>
    <t>244 , 214 , 193</t>
  </si>
  <si>
    <t>246 , 218 , 203</t>
  </si>
  <si>
    <t>243 , 207 , 190</t>
  </si>
  <si>
    <t>243 , 216 , 204</t>
  </si>
  <si>
    <t>235 , 198 , 186</t>
  </si>
  <si>
    <t>243 , 216 , 208</t>
  </si>
  <si>
    <t>231 , 191 , 183</t>
  </si>
  <si>
    <t>241 , 218 , 211</t>
  </si>
  <si>
    <t>227 , 191 , 186</t>
  </si>
  <si>
    <t>239 , 217 , 216</t>
  </si>
  <si>
    <t>ROSY LIPS</t>
  </si>
  <si>
    <t>7P1666</t>
  </si>
  <si>
    <t>232 , 199 , 198</t>
  </si>
  <si>
    <t>PINK SUNSET</t>
  </si>
  <si>
    <t>7P1674</t>
  </si>
  <si>
    <t>229 , 205 , 211</t>
  </si>
  <si>
    <t>SUGAR CANDY</t>
  </si>
  <si>
    <t>7P1925</t>
  </si>
  <si>
    <t>245 , 234 , 222</t>
  </si>
  <si>
    <t>PICTURESQUE</t>
  </si>
  <si>
    <t>7P1928</t>
  </si>
  <si>
    <t>240 , 234 , 220</t>
  </si>
  <si>
    <t>TIP OF ICEBERG</t>
  </si>
  <si>
    <t>7P1940</t>
  </si>
  <si>
    <t>233 , 231 , 219</t>
  </si>
  <si>
    <t>FINE WINE</t>
  </si>
  <si>
    <t>7P1941</t>
  </si>
  <si>
    <t>237 , 232 , 220</t>
  </si>
  <si>
    <t>SOFT WHISPERS</t>
  </si>
  <si>
    <t>7P1942</t>
  </si>
  <si>
    <t>239 , 234 , 222</t>
  </si>
  <si>
    <t>BEING DISCREET</t>
  </si>
  <si>
    <t>7P1943</t>
  </si>
  <si>
    <t>233 , 228 , 214</t>
  </si>
  <si>
    <t>SCOTCH DROPS</t>
  </si>
  <si>
    <t>7P1944</t>
  </si>
  <si>
    <t>232 , 229 , 218</t>
  </si>
  <si>
    <t>HAVE FAITH</t>
  </si>
  <si>
    <t>7P1945</t>
  </si>
  <si>
    <t>229 , 223 , 210</t>
  </si>
  <si>
    <t>PINE SEED</t>
  </si>
  <si>
    <t>7P1946</t>
  </si>
  <si>
    <t>232 , 228 , 220</t>
  </si>
  <si>
    <t>HOPE</t>
  </si>
  <si>
    <t>7P1947</t>
  </si>
  <si>
    <t>238 , 234 , 222</t>
  </si>
  <si>
    <t>FLOATING LANTERN</t>
  </si>
  <si>
    <t>7P1948</t>
  </si>
  <si>
    <t>232 , 226 , 212</t>
  </si>
  <si>
    <t>LIGHT DESSERT</t>
  </si>
  <si>
    <t>7P1949</t>
  </si>
  <si>
    <t>233 , 231 , 220</t>
  </si>
  <si>
    <t>MIRAGE</t>
  </si>
  <si>
    <t>7P1950</t>
  </si>
  <si>
    <t>PALE SATIN</t>
  </si>
  <si>
    <t>7P1951</t>
  </si>
  <si>
    <t>222 , 215 , 202</t>
  </si>
  <si>
    <t>OPALINE</t>
  </si>
  <si>
    <t>7P1952</t>
  </si>
  <si>
    <t>226 , 217 , 203</t>
  </si>
  <si>
    <t>OPAL STONE</t>
  </si>
  <si>
    <t>7P1953</t>
  </si>
  <si>
    <t>234 , 229 , 217</t>
  </si>
  <si>
    <t>SOFT SONATA</t>
  </si>
  <si>
    <t>7P1954</t>
  </si>
  <si>
    <t>228 , 222 , 210</t>
  </si>
  <si>
    <t>DREAMY DAYS</t>
  </si>
  <si>
    <t>7P1955</t>
  </si>
  <si>
    <t>236 , 232 , 225</t>
  </si>
  <si>
    <t>STARRY WHITE</t>
  </si>
  <si>
    <t>7P1956</t>
  </si>
  <si>
    <t>233 , 228 , 220</t>
  </si>
  <si>
    <t>GROWING PLANT</t>
  </si>
  <si>
    <t>7P2391</t>
  </si>
  <si>
    <t>232 , 234 , 218</t>
  </si>
  <si>
    <t>APPLE SHAKE</t>
  </si>
  <si>
    <t>7P2392</t>
  </si>
  <si>
    <t>215 , 226 , 205</t>
  </si>
  <si>
    <t>LILY IN A POND</t>
  </si>
  <si>
    <t>7P2399</t>
  </si>
  <si>
    <t>233 , 232 , 210</t>
  </si>
  <si>
    <t>LOTUS LEAF</t>
  </si>
  <si>
    <t>7P2400</t>
  </si>
  <si>
    <t>223 , 225 , 197</t>
  </si>
  <si>
    <t>PINCHETS CLOUD</t>
  </si>
  <si>
    <t>7P2404</t>
  </si>
  <si>
    <t>228 , 225 , 201</t>
  </si>
  <si>
    <t>VANILLIAN</t>
  </si>
  <si>
    <t>7P2408</t>
  </si>
  <si>
    <t>238 , 236 , 213</t>
  </si>
  <si>
    <t>BLINKING EYES</t>
  </si>
  <si>
    <t>7P2412</t>
  </si>
  <si>
    <t>239 , 234 , 217</t>
  </si>
  <si>
    <t>FROTHY CREAM</t>
  </si>
  <si>
    <t>7P2413</t>
  </si>
  <si>
    <t>226 , 218 , 195</t>
  </si>
  <si>
    <t>BEIGE WOOL</t>
  </si>
  <si>
    <t>7P2425</t>
  </si>
  <si>
    <t>243 , 233 , 213</t>
  </si>
  <si>
    <t>MOONSHINE</t>
  </si>
  <si>
    <t>7P2426</t>
  </si>
  <si>
    <t>240 , 227 , 202</t>
  </si>
  <si>
    <t>LIGHT SPRINKLE</t>
  </si>
  <si>
    <t>7P2431</t>
  </si>
  <si>
    <t>244 , 233 , 206</t>
  </si>
  <si>
    <t>VENUS VEIL</t>
  </si>
  <si>
    <t>7P2442</t>
  </si>
  <si>
    <t>245 , 239 , 225</t>
  </si>
  <si>
    <t>SOYA</t>
  </si>
  <si>
    <t>7P2445</t>
  </si>
  <si>
    <t>242 , 233 , 215</t>
  </si>
  <si>
    <t>SIAMESE CAT</t>
  </si>
  <si>
    <t>7P2446</t>
  </si>
  <si>
    <t>240 , 227 , 205</t>
  </si>
  <si>
    <t>LILY BUD</t>
  </si>
  <si>
    <t>7P2452</t>
  </si>
  <si>
    <t>240 , 227 , 206</t>
  </si>
  <si>
    <t>PUDDING</t>
  </si>
  <si>
    <t>7P2464</t>
  </si>
  <si>
    <t>244 , 235 , 222</t>
  </si>
  <si>
    <t>MACADEMIA ROLL</t>
  </si>
  <si>
    <t>7P2465</t>
  </si>
  <si>
    <t>235 , 222 , 201</t>
  </si>
  <si>
    <t>GENTEELE</t>
  </si>
  <si>
    <t>7P2471</t>
  </si>
  <si>
    <t>237 , 223 , 207</t>
  </si>
  <si>
    <t>ANTIQUE SCROLL</t>
  </si>
  <si>
    <t>7P2472</t>
  </si>
  <si>
    <t>230 , 212 , 192</t>
  </si>
  <si>
    <t>BAKER'S DAY</t>
  </si>
  <si>
    <t>7P2478</t>
  </si>
  <si>
    <t>232 , 208 , 185</t>
  </si>
  <si>
    <t>WIFT OF PERFUME</t>
  </si>
  <si>
    <t>7P2484</t>
  </si>
  <si>
    <t>244 , 231 , 213</t>
  </si>
  <si>
    <t>WITH THE WIND</t>
  </si>
  <si>
    <t>7P2485</t>
  </si>
  <si>
    <t>235 , 211 , 187</t>
  </si>
  <si>
    <t>ALMONDE</t>
  </si>
  <si>
    <t>7P2491</t>
  </si>
  <si>
    <t>243 , 232 , 217</t>
  </si>
  <si>
    <t>SPICED DISH</t>
  </si>
  <si>
    <t>7P2492</t>
  </si>
  <si>
    <t>236 , 212 , 192</t>
  </si>
  <si>
    <t>PORCELAIN CUP</t>
  </si>
  <si>
    <t>7P2499</t>
  </si>
  <si>
    <t>241 , 234 , 226</t>
  </si>
  <si>
    <t>SIERA'S QUILT</t>
  </si>
  <si>
    <t>7P2500</t>
  </si>
  <si>
    <t>237 , 222 , 210</t>
  </si>
  <si>
    <t>LAZY SUNDAY</t>
  </si>
  <si>
    <t>7P2506</t>
  </si>
  <si>
    <t>245 , 233 , 225</t>
  </si>
  <si>
    <t>AUTUMN WALK</t>
  </si>
  <si>
    <t>7P2507</t>
  </si>
  <si>
    <t>229 , 210 , 196</t>
  </si>
  <si>
    <t>SWEET GARDENIA</t>
  </si>
  <si>
    <t>8P0193</t>
  </si>
  <si>
    <t>234 , 229 , 219</t>
  </si>
  <si>
    <t>SUNWASHED</t>
  </si>
  <si>
    <t>8P0194</t>
  </si>
  <si>
    <t>232 , 230 , 221</t>
  </si>
  <si>
    <t>TAILWIND</t>
  </si>
  <si>
    <t>8P0195</t>
  </si>
  <si>
    <t>232 , 232 , 228</t>
  </si>
  <si>
    <t>SWEET SULTANA</t>
  </si>
  <si>
    <t>8P0196</t>
  </si>
  <si>
    <t>222 , 222 , 219</t>
  </si>
  <si>
    <t>SNOW DRIFT</t>
  </si>
  <si>
    <t>8P0197</t>
  </si>
  <si>
    <t>222 , 220 , 213</t>
  </si>
  <si>
    <t>SILK PALACE</t>
  </si>
  <si>
    <t>8P0198</t>
  </si>
  <si>
    <t>227 , 225 , 215</t>
  </si>
  <si>
    <t>EGG CREAM</t>
  </si>
  <si>
    <t>8P0199</t>
  </si>
  <si>
    <t>219 , 217 , 206</t>
  </si>
  <si>
    <t>TRILLIUM</t>
  </si>
  <si>
    <t>8P0200</t>
  </si>
  <si>
    <t>214 , 211 , 200</t>
  </si>
  <si>
    <t>WEDDING GOWN</t>
  </si>
  <si>
    <t>8P0201</t>
  </si>
  <si>
    <t>244 , 238 , 240</t>
  </si>
  <si>
    <t>TIARA</t>
  </si>
  <si>
    <t>8P0203</t>
  </si>
  <si>
    <t>215 , 212 , 205</t>
  </si>
  <si>
    <t>TOPSAIL</t>
  </si>
  <si>
    <t>8P0204</t>
  </si>
  <si>
    <t>205 , 204 , 198</t>
  </si>
  <si>
    <t>SNOW BITS</t>
  </si>
  <si>
    <t>8P0205</t>
  </si>
  <si>
    <t>206 , 208 , 207</t>
  </si>
  <si>
    <t>DUSTY GRAY</t>
  </si>
  <si>
    <t>8P0206</t>
  </si>
  <si>
    <t>210 , 211 , 209</t>
  </si>
  <si>
    <t>SERENE SUMMIT</t>
  </si>
  <si>
    <t>8P0207</t>
  </si>
  <si>
    <t>208 , 209 , 208</t>
  </si>
  <si>
    <t>POETIC WHITE</t>
  </si>
  <si>
    <t>8P0208</t>
  </si>
  <si>
    <t>206 , 205 , 198</t>
  </si>
  <si>
    <t>MOON FLOWER</t>
  </si>
  <si>
    <t>8P0209</t>
  </si>
  <si>
    <t>229 , 234 , 230</t>
  </si>
  <si>
    <t>PALM BEACH SAND</t>
  </si>
  <si>
    <t>8P0210</t>
  </si>
  <si>
    <t>228 , 225 , 219</t>
  </si>
  <si>
    <t>HILL GRAY</t>
  </si>
  <si>
    <t>8P0211</t>
  </si>
  <si>
    <t>219 , 227 , 227</t>
  </si>
  <si>
    <t>FRESH DEW</t>
  </si>
  <si>
    <t>8P0212</t>
  </si>
  <si>
    <t>212 , 223 , 224</t>
  </si>
  <si>
    <t>ECHO</t>
  </si>
  <si>
    <t>8P0213</t>
  </si>
  <si>
    <t>203 , 215 , 216</t>
  </si>
  <si>
    <t>GAZEBO</t>
  </si>
  <si>
    <t>8P0214</t>
  </si>
  <si>
    <t>195 , 209 , 212</t>
  </si>
  <si>
    <t>GENTLE DAWN</t>
  </si>
  <si>
    <t>8P0215</t>
  </si>
  <si>
    <t>194 , 204 , 200</t>
  </si>
  <si>
    <t>DEW MIST</t>
  </si>
  <si>
    <t>8P0216</t>
  </si>
  <si>
    <t>196 , 198 , 191</t>
  </si>
  <si>
    <t>DISTANT HAZE</t>
  </si>
  <si>
    <t>8P0345</t>
  </si>
  <si>
    <t>225 , 228 , 229</t>
  </si>
  <si>
    <t>GRAY FELT</t>
  </si>
  <si>
    <t>8P0349</t>
  </si>
  <si>
    <t>214 , 214 , 210</t>
  </si>
  <si>
    <t>SOUTHERN PLANTATION</t>
  </si>
  <si>
    <t>8P1689</t>
  </si>
  <si>
    <t>225 , 225 , 220</t>
  </si>
  <si>
    <t>FIRST THAW</t>
  </si>
  <si>
    <t>8P1690</t>
  </si>
  <si>
    <t>210 , 215 , 213</t>
  </si>
  <si>
    <t>MILK MOUSTACHE</t>
  </si>
  <si>
    <t>8P1697</t>
  </si>
  <si>
    <t>226 , 225 , 219</t>
  </si>
  <si>
    <t>SIERRA SNOW</t>
  </si>
  <si>
    <t>8P1698</t>
  </si>
  <si>
    <t>213 , 212 , 207</t>
  </si>
  <si>
    <t>PICKET FENCE</t>
  </si>
  <si>
    <t>8P1706</t>
  </si>
  <si>
    <t>227 , 220 , 211</t>
  </si>
  <si>
    <t>SUMMER WHITE</t>
  </si>
  <si>
    <t>8P1713</t>
  </si>
  <si>
    <t>233 , 223 , 214</t>
  </si>
  <si>
    <t>ITALIAN MARBLE</t>
  </si>
  <si>
    <t>8P1714</t>
  </si>
  <si>
    <t>225 , 218 , 210</t>
  </si>
  <si>
    <t>SNOW TOP</t>
  </si>
  <si>
    <t>8P1721</t>
  </si>
  <si>
    <t>223 , 217 , 213</t>
  </si>
  <si>
    <t>WINTER WALTZ</t>
  </si>
  <si>
    <t>8P1722</t>
  </si>
  <si>
    <t>210 , 205 , 202</t>
  </si>
  <si>
    <t>PEARLY WHITE</t>
  </si>
  <si>
    <t>8P1729</t>
  </si>
  <si>
    <t>233 , 221 , 216</t>
  </si>
  <si>
    <t>STAR GAZER</t>
  </si>
  <si>
    <t>8P1730</t>
  </si>
  <si>
    <t>209 , 201 , 198</t>
  </si>
  <si>
    <t>SOFT BEAUTY</t>
  </si>
  <si>
    <t>8P1737</t>
  </si>
  <si>
    <t>227 , 212 , 207</t>
  </si>
  <si>
    <t>ROSE QUARTZ</t>
  </si>
  <si>
    <t>8P1738</t>
  </si>
  <si>
    <t>214 , 197 , 193</t>
  </si>
  <si>
    <t>MEDINA</t>
  </si>
  <si>
    <t>8P1745</t>
  </si>
  <si>
    <t>227 , 210 , 203</t>
  </si>
  <si>
    <t>TAUPE TREND</t>
  </si>
  <si>
    <t>8P1746</t>
  </si>
  <si>
    <t>217 , 201 , 196</t>
  </si>
  <si>
    <t>ARABLE</t>
  </si>
  <si>
    <t>8P1753</t>
  </si>
  <si>
    <t>229 , 210 , 207</t>
  </si>
  <si>
    <t>PATCHOULI</t>
  </si>
  <si>
    <t>8P1754</t>
  </si>
  <si>
    <t>215 , 199 , 198</t>
  </si>
  <si>
    <t>GREEK GODDESS</t>
  </si>
  <si>
    <t>8P1761</t>
  </si>
  <si>
    <t>228 , 214 , 213</t>
  </si>
  <si>
    <t>SHEER STYLE</t>
  </si>
  <si>
    <t>8P1762</t>
  </si>
  <si>
    <t>219 , 208 , 211</t>
  </si>
  <si>
    <t>ICE CREAM SOCIAL</t>
  </si>
  <si>
    <t>8P1769</t>
  </si>
  <si>
    <t>230 , 219 , 222</t>
  </si>
  <si>
    <t>FIRST FLIRT</t>
  </si>
  <si>
    <t>8P1770</t>
  </si>
  <si>
    <t>216 , 201 , 207</t>
  </si>
  <si>
    <t>CALISTA</t>
  </si>
  <si>
    <t>8P1777</t>
  </si>
  <si>
    <t>237 , 231 , 229</t>
  </si>
  <si>
    <t>BEGUILING BLOSSOM</t>
  </si>
  <si>
    <t>8P1778</t>
  </si>
  <si>
    <t>212 , 208 , 216</t>
  </si>
  <si>
    <t>GENTLY RAINING</t>
  </si>
  <si>
    <t>8P1785</t>
  </si>
  <si>
    <t>220 , 221 , 225</t>
  </si>
  <si>
    <t>LILAC BREEZE</t>
  </si>
  <si>
    <t>8P1786</t>
  </si>
  <si>
    <t>207 , 209 , 219</t>
  </si>
  <si>
    <t>SILVER STREAK</t>
  </si>
  <si>
    <t>8P1794</t>
  </si>
  <si>
    <t>201 , 206 , 212</t>
  </si>
  <si>
    <t>EASTER LILY</t>
  </si>
  <si>
    <t>8P1801</t>
  </si>
  <si>
    <t>223 , 230 , 230</t>
  </si>
  <si>
    <t>INDUSTRIAL STEEL</t>
  </si>
  <si>
    <t>8P1802</t>
  </si>
  <si>
    <t>203 , 209 , 211</t>
  </si>
  <si>
    <t>SAIL AWAY</t>
  </si>
  <si>
    <t>8P1809</t>
  </si>
  <si>
    <t>221 , 233 , 234</t>
  </si>
  <si>
    <t>ICE PALACE</t>
  </si>
  <si>
    <t>8P1810</t>
  </si>
  <si>
    <t>196 , 210 , 216</t>
  </si>
  <si>
    <t>MOUNTAIN SPRINGS</t>
  </si>
  <si>
    <t>8P1817</t>
  </si>
  <si>
    <t>214 , 226 , 224</t>
  </si>
  <si>
    <t>BRIGHT BROOK</t>
  </si>
  <si>
    <t>8P1818</t>
  </si>
  <si>
    <t>193 , 214 , 222</t>
  </si>
  <si>
    <t>MOON DANCE</t>
  </si>
  <si>
    <t>8P1825</t>
  </si>
  <si>
    <t>217 , 228 , 226</t>
  </si>
  <si>
    <t>CRYSTAL RIVER</t>
  </si>
  <si>
    <t>8P1826</t>
  </si>
  <si>
    <t>194 , 214 , 216</t>
  </si>
  <si>
    <t>WISPS OF CLOUDS</t>
  </si>
  <si>
    <t>8P1833</t>
  </si>
  <si>
    <t>220 , 226 , 222</t>
  </si>
  <si>
    <t>MURANO MIST</t>
  </si>
  <si>
    <t>8P1834</t>
  </si>
  <si>
    <t>198 , 212 , 211</t>
  </si>
  <si>
    <t>WISHING WELL</t>
  </si>
  <si>
    <t>8P1957</t>
  </si>
  <si>
    <t>233 , 228 , 221</t>
  </si>
  <si>
    <t>WOVEN SCARF</t>
  </si>
  <si>
    <t>8P1958</t>
  </si>
  <si>
    <t>228 , 225 , 222</t>
  </si>
  <si>
    <t>FLYING SEAGULL</t>
  </si>
  <si>
    <t>8P1959</t>
  </si>
  <si>
    <t>SECRETS</t>
  </si>
  <si>
    <t>8P1960</t>
  </si>
  <si>
    <t>227 , 226 , 221</t>
  </si>
  <si>
    <t>SHOOTING STAR</t>
  </si>
  <si>
    <t>8P1961</t>
  </si>
  <si>
    <t>222 , 219 , 212</t>
  </si>
  <si>
    <t>WINTER MORNING</t>
  </si>
  <si>
    <t>8P1962</t>
  </si>
  <si>
    <t>225 , 225 , 221</t>
  </si>
  <si>
    <t>LIGHT POLISH</t>
  </si>
  <si>
    <t>8P2515</t>
  </si>
  <si>
    <t>249 , 229 , 220</t>
  </si>
  <si>
    <t>NUDE BRUSH</t>
  </si>
  <si>
    <t>8P2516</t>
  </si>
  <si>
    <t>239 , 207 , 197</t>
  </si>
  <si>
    <t>PALE AMARYLLIS</t>
  </si>
  <si>
    <t>8P2529</t>
  </si>
  <si>
    <t>222 , 193 , 188</t>
  </si>
  <si>
    <t>ANGELIC</t>
  </si>
  <si>
    <t>8P2536</t>
  </si>
  <si>
    <t>232 , 219 , 213</t>
  </si>
  <si>
    <t>CLOUDY TAUPE</t>
  </si>
  <si>
    <t>8P2537</t>
  </si>
  <si>
    <t>223 , 206 , 201</t>
  </si>
  <si>
    <t>AURA</t>
  </si>
  <si>
    <t>8P2542</t>
  </si>
  <si>
    <t>235 , 219 , 210</t>
  </si>
  <si>
    <t>FARAWAY</t>
  </si>
  <si>
    <t>8P2543</t>
  </si>
  <si>
    <t>227 , 208 , 199</t>
  </si>
  <si>
    <t>HUSH HUSH</t>
  </si>
  <si>
    <t>8P2549</t>
  </si>
  <si>
    <t>236 , 221 , 212</t>
  </si>
  <si>
    <t>DRIED ROSE</t>
  </si>
  <si>
    <t>8P2550</t>
  </si>
  <si>
    <t>218 , 195 , 185</t>
  </si>
  <si>
    <t>LACED UP</t>
  </si>
  <si>
    <t>8P2556</t>
  </si>
  <si>
    <t>237 , 225 , 216</t>
  </si>
  <si>
    <t>VICTORIAN VEIL</t>
  </si>
  <si>
    <t>8P2557</t>
  </si>
  <si>
    <t>223 , 208 , 196</t>
  </si>
  <si>
    <t>SOFT WINGS</t>
  </si>
  <si>
    <t>8P2564</t>
  </si>
  <si>
    <t>243 , 233 , 225</t>
  </si>
  <si>
    <t>LIGHT FOOTED</t>
  </si>
  <si>
    <t>8P2565</t>
  </si>
  <si>
    <t>222 , 207 , 197</t>
  </si>
  <si>
    <t>SOLFEGE</t>
  </si>
  <si>
    <t>8P2571</t>
  </si>
  <si>
    <t>228 , 212 , 206</t>
  </si>
  <si>
    <t>DANCING NOTES</t>
  </si>
  <si>
    <t>8P2572</t>
  </si>
  <si>
    <t>215 , 200 , 197</t>
  </si>
  <si>
    <t>ROSENBERG</t>
  </si>
  <si>
    <t>8P2585</t>
  </si>
  <si>
    <t>225 , 218 , 212</t>
  </si>
  <si>
    <t>GIVEN GRACE</t>
  </si>
  <si>
    <t>8P2589</t>
  </si>
  <si>
    <t>229 , 220 , 221</t>
  </si>
  <si>
    <t>COMPASS ROSE</t>
  </si>
  <si>
    <t>8P2590</t>
  </si>
  <si>
    <t>222 , 204 , 205</t>
  </si>
  <si>
    <t>FLOWER PIN</t>
  </si>
  <si>
    <t>8P2604</t>
  </si>
  <si>
    <t>215 , 218 , 219</t>
  </si>
  <si>
    <t>FLEETING THOUGHT</t>
  </si>
  <si>
    <t>8P2607</t>
  </si>
  <si>
    <t>214 , 219 , 221</t>
  </si>
  <si>
    <t>STEEL A GLANZE</t>
  </si>
  <si>
    <t>8P2608</t>
  </si>
  <si>
    <t>SKY SHIMMER</t>
  </si>
  <si>
    <t>8P2615</t>
  </si>
  <si>
    <t>225 , 231 , 228</t>
  </si>
  <si>
    <t>SHIFTING CLOUDS</t>
  </si>
  <si>
    <t>8P2616</t>
  </si>
  <si>
    <t>206 , 216 , 218</t>
  </si>
  <si>
    <t>GLOBE TROTTER</t>
  </si>
  <si>
    <t>8P2627</t>
  </si>
  <si>
    <t>193 , 217 , 224</t>
  </si>
  <si>
    <t>DEW IN THE MORN</t>
  </si>
  <si>
    <t>8P2634</t>
  </si>
  <si>
    <t>222 , 230 , 228</t>
  </si>
  <si>
    <t>FLUTTERING WINGS</t>
  </si>
  <si>
    <t>8P2642</t>
  </si>
  <si>
    <t>225 , 234 , 229</t>
  </si>
  <si>
    <t>WIND WHIPPED</t>
  </si>
  <si>
    <t>8P2643</t>
  </si>
  <si>
    <t>204 , 223 , 223</t>
  </si>
  <si>
    <t>PALE GEMSTONE</t>
  </si>
  <si>
    <t>8P2654</t>
  </si>
  <si>
    <t>212 , 221 , 217</t>
  </si>
  <si>
    <t>WHISTLING STONE</t>
  </si>
  <si>
    <t>8P2655</t>
  </si>
  <si>
    <t>196 , 209 , 205</t>
  </si>
  <si>
    <t>STEAM BATH</t>
  </si>
  <si>
    <t>8P2665</t>
  </si>
  <si>
    <t>231 , 235 , 227</t>
  </si>
  <si>
    <t>GENTLE CREEK</t>
  </si>
  <si>
    <t>8P2666</t>
  </si>
  <si>
    <t>209 , 218 , 216</t>
  </si>
  <si>
    <t>SEIZE THE DAY</t>
  </si>
  <si>
    <t>8P2673</t>
  </si>
  <si>
    <t>210 , 221 , 221</t>
  </si>
  <si>
    <t>TECHNO GREY</t>
  </si>
  <si>
    <t>8P2674</t>
  </si>
  <si>
    <t>183 , 197 , 200</t>
  </si>
  <si>
    <t>WHITE SPHERE</t>
  </si>
  <si>
    <t>8P2679</t>
  </si>
  <si>
    <t>228 , 227 , 222</t>
  </si>
  <si>
    <t>OUTER SPACE</t>
  </si>
  <si>
    <t>8P2680</t>
  </si>
  <si>
    <t>207 , 208 , 206</t>
  </si>
  <si>
    <t>SNOW FORT</t>
  </si>
  <si>
    <t>8P2687</t>
  </si>
  <si>
    <t>224 , 223 , 218</t>
  </si>
  <si>
    <t>SILVER FRAME</t>
  </si>
  <si>
    <t>8P2688</t>
  </si>
  <si>
    <t>213 , 213 , 209</t>
  </si>
  <si>
    <t>TUXE WHITE</t>
  </si>
  <si>
    <t>8P2698</t>
  </si>
  <si>
    <t>219 , 221 , 219</t>
  </si>
  <si>
    <t>SILVER STREAM</t>
  </si>
  <si>
    <t>8P2705</t>
  </si>
  <si>
    <t>233 , 230 , 225</t>
  </si>
  <si>
    <t>JET STREAM</t>
  </si>
  <si>
    <t>8P2706</t>
  </si>
  <si>
    <t>216 , 212 , 209</t>
  </si>
  <si>
    <t>WOOLLEN</t>
  </si>
  <si>
    <t>8P2713</t>
  </si>
  <si>
    <t>223 , 220 , 216</t>
  </si>
  <si>
    <t>SOFT KNIT</t>
  </si>
  <si>
    <t>8P2714</t>
  </si>
  <si>
    <t>212 , 207 , 202</t>
  </si>
  <si>
    <t>NOSTALGIA</t>
  </si>
  <si>
    <t>8P2721</t>
  </si>
  <si>
    <t>240 , 232 , 219</t>
  </si>
  <si>
    <t>WORK BENCH</t>
  </si>
  <si>
    <t>8P2722</t>
  </si>
  <si>
    <t>229 , 220 , 208</t>
  </si>
  <si>
    <t>QUIET DAY</t>
  </si>
  <si>
    <t>8P2729</t>
  </si>
  <si>
    <t>228 , 220 , 211</t>
  </si>
  <si>
    <t>ARCTIC ALPS</t>
  </si>
  <si>
    <t>8P2730</t>
  </si>
  <si>
    <t>239 , 231 , 218</t>
  </si>
  <si>
    <t>HIDE AND SEEK</t>
  </si>
  <si>
    <t>8P2735</t>
  </si>
  <si>
    <t>240 , 234 , 221</t>
  </si>
  <si>
    <t>SILENT HALL</t>
  </si>
  <si>
    <t>8P2736</t>
  </si>
  <si>
    <t>227 , 217 , 202</t>
  </si>
  <si>
    <t>MILKY OFF-WHITE</t>
  </si>
  <si>
    <t>8P2743</t>
  </si>
  <si>
    <t>233 , 223 , 203</t>
  </si>
  <si>
    <t>SAND IN MY EYE</t>
  </si>
  <si>
    <t>8P2744</t>
  </si>
  <si>
    <t>225 , 215 , 193</t>
  </si>
  <si>
    <t>SANDY WHITE</t>
  </si>
  <si>
    <t>8P2749</t>
  </si>
  <si>
    <t>238 , 231 , 214</t>
  </si>
  <si>
    <t>FROSTED WHITE</t>
  </si>
  <si>
    <t>8P2750</t>
  </si>
  <si>
    <t>226 , 217 , 196</t>
  </si>
  <si>
    <t>SEA SALT</t>
  </si>
  <si>
    <t>8P2760</t>
  </si>
  <si>
    <t>241 , 236 , 225</t>
  </si>
  <si>
    <t>Concat</t>
  </si>
  <si>
    <t>3P1845 - POWDER PUFF
8P0201 - WEDDING GOWN
3P1843 - SAVY WHITE</t>
  </si>
  <si>
    <t xml:space="preserve">
2P0035 - APRICOT DATES
3P0063 - TRAVERTINE
8P2744 - SAND IN MY EYE</t>
  </si>
  <si>
    <t>3D0242 - GO FOR THE GOLD
3T0246 - PICNIC MAT
7P0338 - POTTERY</t>
  </si>
  <si>
    <t>RAL 790-M</t>
  </si>
  <si>
    <t>2A2926</t>
  </si>
  <si>
    <t>D4E963</t>
  </si>
  <si>
    <t>c8c0b1</t>
  </si>
  <si>
    <t>a19d91</t>
  </si>
  <si>
    <t>9a896f</t>
  </si>
  <si>
    <t>9c8b71</t>
  </si>
  <si>
    <t>b6a996</t>
  </si>
  <si>
    <t>F3EDE8</t>
  </si>
  <si>
    <t>F2E4DF</t>
  </si>
  <si>
    <t>F7EAE5</t>
  </si>
  <si>
    <t>EFE3DF</t>
  </si>
  <si>
    <t>F7E2E2</t>
  </si>
  <si>
    <t>F7E2E0</t>
  </si>
  <si>
    <t>F5E2E2</t>
  </si>
  <si>
    <t>E7D3D3</t>
  </si>
  <si>
    <t>F7EDE9</t>
  </si>
  <si>
    <t>F6EDE9</t>
  </si>
  <si>
    <t>F7EBE5</t>
  </si>
  <si>
    <t>F5E6E1</t>
  </si>
  <si>
    <t>F9E9DE</t>
  </si>
  <si>
    <t>F4E6DD</t>
  </si>
  <si>
    <t>F3E3D7</t>
  </si>
  <si>
    <t>F9E4D1</t>
  </si>
  <si>
    <t>ECE7E4</t>
  </si>
  <si>
    <t>EFE8E3</t>
  </si>
  <si>
    <t>EFEAE6</t>
  </si>
  <si>
    <t>F7EBE4</t>
  </si>
  <si>
    <t>F7EBE2</t>
  </si>
  <si>
    <t>F7EBE0</t>
  </si>
  <si>
    <t>EADED5</t>
  </si>
  <si>
    <t>E7DECF</t>
  </si>
  <si>
    <t>EAE7E1</t>
  </si>
  <si>
    <t>F7F0E6</t>
  </si>
  <si>
    <t>F3ECDE</t>
  </si>
  <si>
    <t>F4E9DA</t>
  </si>
  <si>
    <t>F3EADB</t>
  </si>
  <si>
    <t>F0E5D6</t>
  </si>
  <si>
    <t>F5E8D9</t>
  </si>
  <si>
    <t>F7E4CB</t>
  </si>
  <si>
    <t>EEE9E2</t>
  </si>
  <si>
    <t>F7ECE1</t>
  </si>
  <si>
    <t>EBE3D9</t>
  </si>
  <si>
    <t>F2EAE1</t>
  </si>
  <si>
    <t>F6ECDF</t>
  </si>
  <si>
    <t>F0E7D4</t>
  </si>
  <si>
    <t>EEE3CF</t>
  </si>
  <si>
    <t>EEE1CB</t>
  </si>
  <si>
    <t>F7F0DD</t>
  </si>
  <si>
    <t>F4EED9</t>
  </si>
  <si>
    <t>F1E3C8</t>
  </si>
  <si>
    <t>ECDEC6</t>
  </si>
  <si>
    <t>E7DCC3</t>
  </si>
  <si>
    <t>E7D5B9</t>
  </si>
  <si>
    <t>E4D6C0</t>
  </si>
  <si>
    <t>E6D6BE</t>
  </si>
  <si>
    <t>F7F0E3</t>
  </si>
  <si>
    <t>F7EEDF</t>
  </si>
  <si>
    <t>F3E9DD</t>
  </si>
  <si>
    <t>F4ECDE</t>
  </si>
  <si>
    <t>E9DFD2</t>
  </si>
  <si>
    <t>E7E1D6</t>
  </si>
  <si>
    <t>E5DDD0</t>
  </si>
  <si>
    <t>E6DCCA</t>
  </si>
  <si>
    <t>F6F0E3</t>
  </si>
  <si>
    <t>F8F1DF</t>
  </si>
  <si>
    <t>F6F0E1</t>
  </si>
  <si>
    <t>F9EEDD</t>
  </si>
  <si>
    <t>ECE5D8</t>
  </si>
  <si>
    <t>F1E7D4</t>
  </si>
  <si>
    <t>F1E8D8</t>
  </si>
  <si>
    <t>E6DED3</t>
  </si>
  <si>
    <t>F7F1E7</t>
  </si>
  <si>
    <t>F4EEE0</t>
  </si>
  <si>
    <t>F2ECDE</t>
  </si>
  <si>
    <t>F3EEDD</t>
  </si>
  <si>
    <t>EEE7DA</t>
  </si>
  <si>
    <t>F0EADA</t>
  </si>
  <si>
    <t>EDE7DB</t>
  </si>
  <si>
    <t>EDE7DC</t>
  </si>
  <si>
    <t>F5F0E7</t>
  </si>
  <si>
    <t>F0E9E0</t>
  </si>
  <si>
    <t>F3EDE0</t>
  </si>
  <si>
    <t>F4EDDF</t>
  </si>
  <si>
    <t>EFE8DD</t>
  </si>
  <si>
    <t>E9E3D9</t>
  </si>
  <si>
    <t>E0D8CB</t>
  </si>
  <si>
    <t>F6F0DE</t>
  </si>
  <si>
    <t>F3EEDF</t>
  </si>
  <si>
    <t>F2EEE3</t>
  </si>
  <si>
    <t>F5EFE1</t>
  </si>
  <si>
    <t>F0EADC</t>
  </si>
  <si>
    <t>F0E9DA</t>
  </si>
  <si>
    <t>E9E4D9</t>
  </si>
  <si>
    <t>E6E0D3</t>
  </si>
  <si>
    <t>F4F0E5</t>
  </si>
  <si>
    <t>F2EEE2</t>
  </si>
  <si>
    <t>F7F2E3</t>
  </si>
  <si>
    <t>EFEADF</t>
  </si>
  <si>
    <t>F3EFE1</t>
  </si>
  <si>
    <t>EFE8DA</t>
  </si>
  <si>
    <t>E9E2D3</t>
  </si>
  <si>
    <t>F6F3E8</t>
  </si>
  <si>
    <t>F5F2E6</t>
  </si>
  <si>
    <t>F1ECE2</t>
  </si>
  <si>
    <t>F0ECDE</t>
  </si>
  <si>
    <t>EEEADE</t>
  </si>
  <si>
    <t>E9E5DA</t>
  </si>
  <si>
    <t>E7E5DA</t>
  </si>
  <si>
    <t>E2DED6</t>
  </si>
  <si>
    <t>F6F3E7</t>
  </si>
  <si>
    <t>F3EFDC</t>
  </si>
  <si>
    <t>F3EEDA</t>
  </si>
  <si>
    <t>F6F2DF</t>
  </si>
  <si>
    <t>EEECE1</t>
  </si>
  <si>
    <t>ECEADC</t>
  </si>
  <si>
    <t>E3E3DC</t>
  </si>
  <si>
    <t>D9D8CF</t>
  </si>
  <si>
    <t>F3F2EC</t>
  </si>
  <si>
    <t>F1EDE4</t>
  </si>
  <si>
    <t>F1EEE0</t>
  </si>
  <si>
    <t>EEEADD</t>
  </si>
  <si>
    <t>E8E8DE</t>
  </si>
  <si>
    <t>E7E7DE</t>
  </si>
  <si>
    <t>E4E3D6</t>
  </si>
  <si>
    <t>DCDED1</t>
  </si>
  <si>
    <t>EEECE7</t>
  </si>
  <si>
    <t>EDEBE3</t>
  </si>
  <si>
    <t>EDEFE3</t>
  </si>
  <si>
    <t>EEEEDF</t>
  </si>
  <si>
    <t>EFEFDE</t>
  </si>
  <si>
    <t>E9EEDB</t>
  </si>
  <si>
    <t>E8EEDB</t>
  </si>
  <si>
    <t>E8ECD9</t>
  </si>
  <si>
    <t>F0EFE9</t>
  </si>
  <si>
    <t>ECECE4</t>
  </si>
  <si>
    <t>EEEEE8</t>
  </si>
  <si>
    <t>EAEBE4</t>
  </si>
  <si>
    <t>EBEDE2</t>
  </si>
  <si>
    <t>E6E7D9</t>
  </si>
  <si>
    <t>E8EEE1</t>
  </si>
  <si>
    <t>E3EADC</t>
  </si>
  <si>
    <t>F0EFEA</t>
  </si>
  <si>
    <t>EDEFE2</t>
  </si>
  <si>
    <t>EBEDE4</t>
  </si>
  <si>
    <t>EBEEE4</t>
  </si>
  <si>
    <t>E7EFE2</t>
  </si>
  <si>
    <t>E0E7E0</t>
  </si>
  <si>
    <t>DADBD4</t>
  </si>
  <si>
    <t>DBDCD6</t>
  </si>
  <si>
    <t>F0EEE8</t>
  </si>
  <si>
    <t>E8E8E2</t>
  </si>
  <si>
    <t>EAEBE6</t>
  </si>
  <si>
    <t>E7EBE5</t>
  </si>
  <si>
    <t>E8EEE4</t>
  </si>
  <si>
    <t>E2EDDF</t>
  </si>
  <si>
    <t>E1EDDD</t>
  </si>
  <si>
    <t>D9E2DA</t>
  </si>
  <si>
    <t>E0E0DC</t>
  </si>
  <si>
    <t>DFE5E1</t>
  </si>
  <si>
    <t>E4E8E1</t>
  </si>
  <si>
    <t>E3ECE4</t>
  </si>
  <si>
    <t>E4EDE1</t>
  </si>
  <si>
    <t>E2ECE1</t>
  </si>
  <si>
    <t>DDECDE</t>
  </si>
  <si>
    <t>DCEADD</t>
  </si>
  <si>
    <t>E7EDE9</t>
  </si>
  <si>
    <t>E1E3E1</t>
  </si>
  <si>
    <t>E0E4E3</t>
  </si>
  <si>
    <t>E2EAE7</t>
  </si>
  <si>
    <t>E1EDE6</t>
  </si>
  <si>
    <t>DEEAE4</t>
  </si>
  <si>
    <t>DBE8E0</t>
  </si>
  <si>
    <t>D4DAD8</t>
  </si>
  <si>
    <t>E7ECEB</t>
  </si>
  <si>
    <t>E2E8E5</t>
  </si>
  <si>
    <t>DEE5E3</t>
  </si>
  <si>
    <t>E0EAE6</t>
  </si>
  <si>
    <t>DCE4E1</t>
  </si>
  <si>
    <t>DFEBE6</t>
  </si>
  <si>
    <t>DFEDE6</t>
  </si>
  <si>
    <t>D1E8E2</t>
  </si>
  <si>
    <t>E4E5E4</t>
  </si>
  <si>
    <t>DBE4E8</t>
  </si>
  <si>
    <t>D9E7E6</t>
  </si>
  <si>
    <t>D9E5E3</t>
  </si>
  <si>
    <t>D4E4E6</t>
  </si>
  <si>
    <t>D3E2E0</t>
  </si>
  <si>
    <t>D1E3E3</t>
  </si>
  <si>
    <t>C7E2E7</t>
  </si>
  <si>
    <t>E6E3E0</t>
  </si>
  <si>
    <t>EAEAE9</t>
  </si>
  <si>
    <t>ECE6E4</t>
  </si>
  <si>
    <t>E9E6E8</t>
  </si>
  <si>
    <t>E8E4E6</t>
  </si>
  <si>
    <t>E8E1E4</t>
  </si>
  <si>
    <t>E7E2E9</t>
  </si>
  <si>
    <t>E1DBE5</t>
  </si>
  <si>
    <t>EAE3DF</t>
  </si>
  <si>
    <t>F4E8E7</t>
  </si>
  <si>
    <t>EBDDDA</t>
  </si>
  <si>
    <t>F0E5E5</t>
  </si>
  <si>
    <t>F2E7E7</t>
  </si>
  <si>
    <t>EEE0E3</t>
  </si>
  <si>
    <t>EDDEE4</t>
  </si>
  <si>
    <t>EBC0DE</t>
  </si>
  <si>
    <t>ECBED9</t>
  </si>
  <si>
    <t>E2BBCF</t>
  </si>
  <si>
    <t>E1A5CA</t>
  </si>
  <si>
    <t>D786B0</t>
  </si>
  <si>
    <t>CF78AA</t>
  </si>
  <si>
    <t>B05987</t>
  </si>
  <si>
    <t>F3ECE9</t>
  </si>
  <si>
    <t>F2E2E8</t>
  </si>
  <si>
    <t>EFCFE4</t>
  </si>
  <si>
    <t>DCA0CB</t>
  </si>
  <si>
    <t>D693C1</t>
  </si>
  <si>
    <t>CC79B0</t>
  </si>
  <si>
    <t>6D4358</t>
  </si>
  <si>
    <t>D7A3C9</t>
  </si>
  <si>
    <t>C983B6</t>
  </si>
  <si>
    <t>BB7BB1</t>
  </si>
  <si>
    <t>B06A9F</t>
  </si>
  <si>
    <t>A15E88</t>
  </si>
  <si>
    <t>71476A</t>
  </si>
  <si>
    <t>6A475C</t>
  </si>
  <si>
    <t>CCA1C8</t>
  </si>
  <si>
    <t>B987B7</t>
  </si>
  <si>
    <t>A7799F</t>
  </si>
  <si>
    <t>AC6EA2</t>
  </si>
  <si>
    <t>955D8F</t>
  </si>
  <si>
    <t>64405E</t>
  </si>
  <si>
    <t>E7D0E2</t>
  </si>
  <si>
    <t>E0C1DE</t>
  </si>
  <si>
    <t>C8ADCE</t>
  </si>
  <si>
    <t>C8A8CF</t>
  </si>
  <si>
    <t>BB95C3</t>
  </si>
  <si>
    <t>AA7EB2</t>
  </si>
  <si>
    <t>8F588E</t>
  </si>
  <si>
    <t>6A4C6E</t>
  </si>
  <si>
    <t>CAB1DA</t>
  </si>
  <si>
    <t>B296BE</t>
  </si>
  <si>
    <t>A785B5</t>
  </si>
  <si>
    <t>9E7AB1</t>
  </si>
  <si>
    <t>7A6187</t>
  </si>
  <si>
    <t>5F4467</t>
  </si>
  <si>
    <t>4C4556</t>
  </si>
  <si>
    <t>D8CDE2</t>
  </si>
  <si>
    <t>D1C2DF</t>
  </si>
  <si>
    <t>B1A0C2</t>
  </si>
  <si>
    <t>997FA9</t>
  </si>
  <si>
    <t>705B83</t>
  </si>
  <si>
    <t>685B7D</t>
  </si>
  <si>
    <t>AD98C9</t>
  </si>
  <si>
    <t>A584B9</t>
  </si>
  <si>
    <t>73618D</t>
  </si>
  <si>
    <t>5B5581</t>
  </si>
  <si>
    <t>564B62</t>
  </si>
  <si>
    <t>50415C</t>
  </si>
  <si>
    <t>DED6DC</t>
  </si>
  <si>
    <t>CFC5D1</t>
  </si>
  <si>
    <t>C3B7C7</t>
  </si>
  <si>
    <t>ACA6B8</t>
  </si>
  <si>
    <t>746F7F</t>
  </si>
  <si>
    <t>554D5D</t>
  </si>
  <si>
    <t>E0D7E1</t>
  </si>
  <si>
    <t>CEC2D9</t>
  </si>
  <si>
    <t>BBB1CD</t>
  </si>
  <si>
    <t>A097BA</t>
  </si>
  <si>
    <t>978CB5</t>
  </si>
  <si>
    <t>887DA3</t>
  </si>
  <si>
    <t>5E506C</t>
  </si>
  <si>
    <t>53465B</t>
  </si>
  <si>
    <t>DCD7DA</t>
  </si>
  <si>
    <t>DFDAE7</t>
  </si>
  <si>
    <t>D9D0E3</t>
  </si>
  <si>
    <t>CAC0DF</t>
  </si>
  <si>
    <t>B4ADD4</t>
  </si>
  <si>
    <t>A49DCB</t>
  </si>
  <si>
    <t>827AB0</t>
  </si>
  <si>
    <t>5C527A</t>
  </si>
  <si>
    <t>D5D2DF</t>
  </si>
  <si>
    <t>C8C3D8</t>
  </si>
  <si>
    <t>C6C3DC</t>
  </si>
  <si>
    <t>B5B4CD</t>
  </si>
  <si>
    <t>A2A3C6</t>
  </si>
  <si>
    <t>9B9DC4</t>
  </si>
  <si>
    <t>7D7CAB</t>
  </si>
  <si>
    <t>D9D5D9</t>
  </si>
  <si>
    <t>CDC9D1</t>
  </si>
  <si>
    <t>BCB7C3</t>
  </si>
  <si>
    <t>A7A7B4</t>
  </si>
  <si>
    <t>8C8C9C</t>
  </si>
  <si>
    <t>6E6C7B</t>
  </si>
  <si>
    <t>504D55</t>
  </si>
  <si>
    <t>47454F</t>
  </si>
  <si>
    <t>DFDBE0</t>
  </si>
  <si>
    <t>D1CED9</t>
  </si>
  <si>
    <t>BCB9CB</t>
  </si>
  <si>
    <t>A3A5B9</t>
  </si>
  <si>
    <t>9699AF</t>
  </si>
  <si>
    <t>7C7D93</t>
  </si>
  <si>
    <t>6C6D84</t>
  </si>
  <si>
    <t>4F4D5A</t>
  </si>
  <si>
    <t>E1DFE3</t>
  </si>
  <si>
    <t>D5D5E0</t>
  </si>
  <si>
    <t>C7C8DC</t>
  </si>
  <si>
    <t>9FA4C6</t>
  </si>
  <si>
    <t>9298BC</t>
  </si>
  <si>
    <t>8087AD</t>
  </si>
  <si>
    <t>73799F</t>
  </si>
  <si>
    <t>53516F</t>
  </si>
  <si>
    <t>E3E3E6</t>
  </si>
  <si>
    <t>D8DBE7</t>
  </si>
  <si>
    <t>C8CEE4</t>
  </si>
  <si>
    <t>BAC2E1</t>
  </si>
  <si>
    <t>A4AED6</t>
  </si>
  <si>
    <t>8C98C9</t>
  </si>
  <si>
    <t>6977B0</t>
  </si>
  <si>
    <t>52578D</t>
  </si>
  <si>
    <t>E1E3E7</t>
  </si>
  <si>
    <t>CCD3E3</t>
  </si>
  <si>
    <t>C7CDE7</t>
  </si>
  <si>
    <t>B8C3E2</t>
  </si>
  <si>
    <t>9FAED6</t>
  </si>
  <si>
    <t>8298C9</t>
  </si>
  <si>
    <t>6A7FB7</t>
  </si>
  <si>
    <t>5D6BA6</t>
  </si>
  <si>
    <t>CFD4DE</t>
  </si>
  <si>
    <t>B7BFD3</t>
  </si>
  <si>
    <t>9FA9C2</t>
  </si>
  <si>
    <t>8896B1</t>
  </si>
  <si>
    <t>74829F</t>
  </si>
  <si>
    <t>D5DADC</t>
  </si>
  <si>
    <t>C2C9D1</t>
  </si>
  <si>
    <t>B0BAC8</t>
  </si>
  <si>
    <t>9EA9B9</t>
  </si>
  <si>
    <t>808DA0</t>
  </si>
  <si>
    <t>626B7D</t>
  </si>
  <si>
    <t>3D4255</t>
  </si>
  <si>
    <t>484C56</t>
  </si>
  <si>
    <t>5981B6</t>
  </si>
  <si>
    <t>5F79B4</t>
  </si>
  <si>
    <t>5470A9</t>
  </si>
  <si>
    <t>49689E</t>
  </si>
  <si>
    <t>424F81</t>
  </si>
  <si>
    <t>3B4F7D</t>
  </si>
  <si>
    <t>38435F</t>
  </si>
  <si>
    <t>DFE6EE</t>
  </si>
  <si>
    <t>CEDEEA</t>
  </si>
  <si>
    <t>C4D7E6</t>
  </si>
  <si>
    <t>A8C4E2</t>
  </si>
  <si>
    <t>94B3D8</t>
  </si>
  <si>
    <t>739BCB</t>
  </si>
  <si>
    <t>507BB2</t>
  </si>
  <si>
    <t>305B90</t>
  </si>
  <si>
    <t>C6D6E1</t>
  </si>
  <si>
    <t>AFC8DD</t>
  </si>
  <si>
    <t>A2BFD9</t>
  </si>
  <si>
    <t>96B2CF</t>
  </si>
  <si>
    <t>7A9DC2</t>
  </si>
  <si>
    <t>5A81A9</t>
  </si>
  <si>
    <t>2E5282</t>
  </si>
  <si>
    <t>3E4158</t>
  </si>
  <si>
    <t>A1C5E5</t>
  </si>
  <si>
    <t>7294B3</t>
  </si>
  <si>
    <t>5E82A8</t>
  </si>
  <si>
    <t>407EB6</t>
  </si>
  <si>
    <t>3D6992</t>
  </si>
  <si>
    <t>26638E</t>
  </si>
  <si>
    <t>2A5684</t>
  </si>
  <si>
    <t>43505F</t>
  </si>
  <si>
    <t>C8D9E1</t>
  </si>
  <si>
    <t>B6CEDB</t>
  </si>
  <si>
    <t>A0C0D4</t>
  </si>
  <si>
    <t>85A8C0</t>
  </si>
  <si>
    <t>6F95B2</t>
  </si>
  <si>
    <t>4C7390</t>
  </si>
  <si>
    <t>3D4C60</t>
  </si>
  <si>
    <t>C8D9DF</t>
  </si>
  <si>
    <t>ABC6D6</t>
  </si>
  <si>
    <t>8FADC1</t>
  </si>
  <si>
    <t>6C90A9</t>
  </si>
  <si>
    <t>5B7E98</t>
  </si>
  <si>
    <t>52738C</t>
  </si>
  <si>
    <t>404F62</t>
  </si>
  <si>
    <t>C3E1EA</t>
  </si>
  <si>
    <t>A9D3E7</t>
  </si>
  <si>
    <t>8BC5E3</t>
  </si>
  <si>
    <t>2B88BE</t>
  </si>
  <si>
    <t>2C7FB2</t>
  </si>
  <si>
    <t>275C91</t>
  </si>
  <si>
    <t>404D69</t>
  </si>
  <si>
    <t>C4DEE8</t>
  </si>
  <si>
    <t>BAD7E2</t>
  </si>
  <si>
    <t>95C5DC</t>
  </si>
  <si>
    <t>86B8D1</t>
  </si>
  <si>
    <t>619FBE</t>
  </si>
  <si>
    <t>4386A8</t>
  </si>
  <si>
    <t>285B79</t>
  </si>
  <si>
    <t>34556E</t>
  </si>
  <si>
    <t>A4D4E3</t>
  </si>
  <si>
    <t>82C5DD</t>
  </si>
  <si>
    <t>75C8E4</t>
  </si>
  <si>
    <t>78BAD4</t>
  </si>
  <si>
    <t>44A7CF</t>
  </si>
  <si>
    <t>238CB0</t>
  </si>
  <si>
    <t>0D648A</t>
  </si>
  <si>
    <t>265D7A</t>
  </si>
  <si>
    <t>B8D2DA</t>
  </si>
  <si>
    <t>A2C5D2</t>
  </si>
  <si>
    <t>96BDCC</t>
  </si>
  <si>
    <t>7EA5B7</t>
  </si>
  <si>
    <t>668FA3</t>
  </si>
  <si>
    <t>598EA2</t>
  </si>
  <si>
    <t>31566B</t>
  </si>
  <si>
    <t>C6D7D9</t>
  </si>
  <si>
    <t>B9C8C8</t>
  </si>
  <si>
    <t>B5CED3</t>
  </si>
  <si>
    <t>A5C0C5</t>
  </si>
  <si>
    <t>94B0B8</t>
  </si>
  <si>
    <t>7796A0</t>
  </si>
  <si>
    <t>57747D</t>
  </si>
  <si>
    <t>40494E</t>
  </si>
  <si>
    <t>ABDAE9</t>
  </si>
  <si>
    <t>78C6E6</t>
  </si>
  <si>
    <t>55BADE</t>
  </si>
  <si>
    <t>078BBE</t>
  </si>
  <si>
    <t>1D739D</t>
  </si>
  <si>
    <t>32567F</t>
  </si>
  <si>
    <t>3F526B</t>
  </si>
  <si>
    <t>35485A</t>
  </si>
  <si>
    <t>D4E8E9</t>
  </si>
  <si>
    <t>C4E3E6</t>
  </si>
  <si>
    <t>9DD6E2</t>
  </si>
  <si>
    <t>7BCBDD</t>
  </si>
  <si>
    <t>57B9D1</t>
  </si>
  <si>
    <t>2AABC8</t>
  </si>
  <si>
    <t>0096B4</t>
  </si>
  <si>
    <t>00637D</t>
  </si>
  <si>
    <t>BCE4EC</t>
  </si>
  <si>
    <t>49B6CA</t>
  </si>
  <si>
    <t>268AA5</t>
  </si>
  <si>
    <t>007B98</t>
  </si>
  <si>
    <t>007BA1</t>
  </si>
  <si>
    <t>19708C</t>
  </si>
  <si>
    <t>3A657A</t>
  </si>
  <si>
    <t>8ED3E9</t>
  </si>
  <si>
    <t>59A8B8</t>
  </si>
  <si>
    <t>0091AE</t>
  </si>
  <si>
    <t>0088A3</t>
  </si>
  <si>
    <t>007D95</t>
  </si>
  <si>
    <t>2A6071</t>
  </si>
  <si>
    <t>2B5971</t>
  </si>
  <si>
    <t>3A5164</t>
  </si>
  <si>
    <t>B7D3D6</t>
  </si>
  <si>
    <t>A1C5CD</t>
  </si>
  <si>
    <t>92B6BF</t>
  </si>
  <si>
    <t>709CA7</t>
  </si>
  <si>
    <t>3A808F</t>
  </si>
  <si>
    <t>517D87</t>
  </si>
  <si>
    <t>405D64</t>
  </si>
  <si>
    <t>CFE6E5</t>
  </si>
  <si>
    <t>BEE2E3</t>
  </si>
  <si>
    <t>A5D9DF</t>
  </si>
  <si>
    <t>8ACEDA</t>
  </si>
  <si>
    <t>77C1CF</t>
  </si>
  <si>
    <t>51AEC1</t>
  </si>
  <si>
    <t>0990A4</t>
  </si>
  <si>
    <t>C0E8E7</t>
  </si>
  <si>
    <t>9EDCDF</t>
  </si>
  <si>
    <t>80D1D9</t>
  </si>
  <si>
    <t>6EC6D0</t>
  </si>
  <si>
    <t>2DB1BE</t>
  </si>
  <si>
    <t>00647A</t>
  </si>
  <si>
    <t>354B56</t>
  </si>
  <si>
    <t>C0E3DE</t>
  </si>
  <si>
    <t>A7DBDA</t>
  </si>
  <si>
    <t>8BCFD1</t>
  </si>
  <si>
    <t>7DC4C6</t>
  </si>
  <si>
    <t>53ACAF</t>
  </si>
  <si>
    <t>2E9395</t>
  </si>
  <si>
    <t>007A7D</t>
  </si>
  <si>
    <t>196A6D</t>
  </si>
  <si>
    <t>ADE1E2</t>
  </si>
  <si>
    <t>94D8DA</t>
  </si>
  <si>
    <t>63C4C7</t>
  </si>
  <si>
    <t>00979B</t>
  </si>
  <si>
    <t>008B95</t>
  </si>
  <si>
    <t>235F69</t>
  </si>
  <si>
    <t>84D3D4</t>
  </si>
  <si>
    <t>3BBFC2</t>
  </si>
  <si>
    <t>3AB4B9</t>
  </si>
  <si>
    <t>00888B</t>
  </si>
  <si>
    <t>00798A</t>
  </si>
  <si>
    <t>006B7C</t>
  </si>
  <si>
    <t>D0E4DE</t>
  </si>
  <si>
    <t>B0CFCC</t>
  </si>
  <si>
    <t>94C5C5</t>
  </si>
  <si>
    <t>83B1B5</t>
  </si>
  <si>
    <t>6EA1A8</t>
  </si>
  <si>
    <t>699FA3</t>
  </si>
  <si>
    <t>487C80</t>
  </si>
  <si>
    <t>3B585C</t>
  </si>
  <si>
    <t>C7DCD6</t>
  </si>
  <si>
    <t>B5D1CD</t>
  </si>
  <si>
    <t>9EC3BF</t>
  </si>
  <si>
    <t>84A8A8</t>
  </si>
  <si>
    <t>3E5B5A</t>
  </si>
  <si>
    <t>BADDD6</t>
  </si>
  <si>
    <t>A2D1CD</t>
  </si>
  <si>
    <t>94C4C1</t>
  </si>
  <si>
    <t>70B1B1</t>
  </si>
  <si>
    <t>65A09B</t>
  </si>
  <si>
    <t>4B8883</t>
  </si>
  <si>
    <t>2B6764</t>
  </si>
  <si>
    <t>2B5D5F</t>
  </si>
  <si>
    <t>D2ECE4</t>
  </si>
  <si>
    <t>C2E8E2</t>
  </si>
  <si>
    <t>A8E3DE</t>
  </si>
  <si>
    <t>84D9D5</t>
  </si>
  <si>
    <t>72CECB</t>
  </si>
  <si>
    <t>31BBB7</t>
  </si>
  <si>
    <t>00A8A0</t>
  </si>
  <si>
    <t>006F69</t>
  </si>
  <si>
    <t>C6E6E4</t>
  </si>
  <si>
    <t>8FDACD</t>
  </si>
  <si>
    <t>40C4B0</t>
  </si>
  <si>
    <t>3DB8A5</t>
  </si>
  <si>
    <t>00938E</t>
  </si>
  <si>
    <t>375F5E</t>
  </si>
  <si>
    <t>D1EBE1</t>
  </si>
  <si>
    <t>C0E9E0</t>
  </si>
  <si>
    <t>A8E4DB</t>
  </si>
  <si>
    <t>82D9CF</t>
  </si>
  <si>
    <t>63CCC3</t>
  </si>
  <si>
    <t>33BDB2</t>
  </si>
  <si>
    <t>00AA9B</t>
  </si>
  <si>
    <t>BEDED5</t>
  </si>
  <si>
    <t>93DACA</t>
  </si>
  <si>
    <t>72CEC0</t>
  </si>
  <si>
    <t>00A08C</t>
  </si>
  <si>
    <t>00847D</t>
  </si>
  <si>
    <t>00796E</t>
  </si>
  <si>
    <t>D0E8DF</t>
  </si>
  <si>
    <t>C1E4DB</t>
  </si>
  <si>
    <t>AADCD1</t>
  </si>
  <si>
    <t>9FD6CB</t>
  </si>
  <si>
    <t>83C0B9</t>
  </si>
  <si>
    <t>66AEA5</t>
  </si>
  <si>
    <t>266A61</t>
  </si>
  <si>
    <t>CFE7DC</t>
  </si>
  <si>
    <t>C0E1D3</t>
  </si>
  <si>
    <t>AFD8CB</t>
  </si>
  <si>
    <t>99CCBE</t>
  </si>
  <si>
    <t>87BAAE</t>
  </si>
  <si>
    <t>6BA699</t>
  </si>
  <si>
    <t>4E8576</t>
  </si>
  <si>
    <t>366F64</t>
  </si>
  <si>
    <t>52C2AF</t>
  </si>
  <si>
    <t>40A79C</t>
  </si>
  <si>
    <t>0A7369</t>
  </si>
  <si>
    <t>2A6256</t>
  </si>
  <si>
    <t>334A40</t>
  </si>
  <si>
    <t>639F83</t>
  </si>
  <si>
    <t>3F9F86</t>
  </si>
  <si>
    <t>00936B</t>
  </si>
  <si>
    <t>00896C</t>
  </si>
  <si>
    <t>345A52</t>
  </si>
  <si>
    <t>C8E8D9</t>
  </si>
  <si>
    <t>ACE3D2</t>
  </si>
  <si>
    <t>8BD7C2</t>
  </si>
  <si>
    <t>7ECBB6</t>
  </si>
  <si>
    <t>65BDA7</t>
  </si>
  <si>
    <t>36A484</t>
  </si>
  <si>
    <t>D2E6D8</t>
  </si>
  <si>
    <t>B7D9C8</t>
  </si>
  <si>
    <t>A3CEBC</t>
  </si>
  <si>
    <t>8BB8A6</t>
  </si>
  <si>
    <t>74A491</t>
  </si>
  <si>
    <t>3E5F55</t>
  </si>
  <si>
    <t>36574A</t>
  </si>
  <si>
    <t>87ACAA</t>
  </si>
  <si>
    <t>77A59B</t>
  </si>
  <si>
    <t>6B9488</t>
  </si>
  <si>
    <t>5C9178</t>
  </si>
  <si>
    <t>30795A</t>
  </si>
  <si>
    <t>3E6D59</t>
  </si>
  <si>
    <t>D2ECD0</t>
  </si>
  <si>
    <t>87C697</t>
  </si>
  <si>
    <t>75C48D</t>
  </si>
  <si>
    <t>29A35F</t>
  </si>
  <si>
    <t>33855C</t>
  </si>
  <si>
    <t>2F805B</t>
  </si>
  <si>
    <t>27755E</t>
  </si>
  <si>
    <t>2F4E42</t>
  </si>
  <si>
    <t>D3ECDE</t>
  </si>
  <si>
    <t>B6E7CE</t>
  </si>
  <si>
    <t>B0E6D0</t>
  </si>
  <si>
    <t>98DFC4</t>
  </si>
  <si>
    <t>85D8B6</t>
  </si>
  <si>
    <t>88D4B7</t>
  </si>
  <si>
    <t>5FC19B</t>
  </si>
  <si>
    <t>0D8B5A</t>
  </si>
  <si>
    <t>DBEEDE</t>
  </si>
  <si>
    <t>D3E6D6</t>
  </si>
  <si>
    <t>C3DECC</t>
  </si>
  <si>
    <t>ADD2BC</t>
  </si>
  <si>
    <t>98BEA8</t>
  </si>
  <si>
    <t>77A38A</t>
  </si>
  <si>
    <t>668F74</t>
  </si>
  <si>
    <t>4B6B5A</t>
  </si>
  <si>
    <t>DEF0DB</t>
  </si>
  <si>
    <t>D9E5D5</t>
  </si>
  <si>
    <t>C8DCC9</t>
  </si>
  <si>
    <t>B4D0B7</t>
  </si>
  <si>
    <t>A2BFA6</t>
  </si>
  <si>
    <t>88A68B</t>
  </si>
  <si>
    <t>6F8D6E</t>
  </si>
  <si>
    <t>5A6D52</t>
  </si>
  <si>
    <t>D0EAD4</t>
  </si>
  <si>
    <t>B5E1C5</t>
  </si>
  <si>
    <t>A4DBBA</t>
  </si>
  <si>
    <t>97CCA7</t>
  </si>
  <si>
    <t>77B98B</t>
  </si>
  <si>
    <t>60A16C</t>
  </si>
  <si>
    <t>418D50</t>
  </si>
  <si>
    <t>43684D</t>
  </si>
  <si>
    <t>D1F0CE</t>
  </si>
  <si>
    <t>8CC47D</t>
  </si>
  <si>
    <t>4F8B3B</t>
  </si>
  <si>
    <t>4A8348</t>
  </si>
  <si>
    <t>437D4C</t>
  </si>
  <si>
    <t>337E4D</t>
  </si>
  <si>
    <t>3F6555</t>
  </si>
  <si>
    <t>33534D</t>
  </si>
  <si>
    <t>E2EDD5</t>
  </si>
  <si>
    <t>D4E8C4</t>
  </si>
  <si>
    <t>C1E3B6</t>
  </si>
  <si>
    <t>B5DCA5</t>
  </si>
  <si>
    <t>95CC84</t>
  </si>
  <si>
    <t>7BBB63</t>
  </si>
  <si>
    <t>6BA54D</t>
  </si>
  <si>
    <t>EAEDD6</t>
  </si>
  <si>
    <t>E6ECCE</t>
  </si>
  <si>
    <t>E1ECBE</t>
  </si>
  <si>
    <t>D0E5B2</t>
  </si>
  <si>
    <t>C2DD9F</t>
  </si>
  <si>
    <t>ACD484</t>
  </si>
  <si>
    <t>94C261</t>
  </si>
  <si>
    <t>74AB37</t>
  </si>
  <si>
    <t>CDECB7</t>
  </si>
  <si>
    <t>BCDB95</t>
  </si>
  <si>
    <t>B1D27A</t>
  </si>
  <si>
    <t>97C15B</t>
  </si>
  <si>
    <t>6BA13D</t>
  </si>
  <si>
    <t>57914B</t>
  </si>
  <si>
    <t>5B764C</t>
  </si>
  <si>
    <t>D3EDB9</t>
  </si>
  <si>
    <t>D5E8AA</t>
  </si>
  <si>
    <t>ABC47F</t>
  </si>
  <si>
    <t>7B8D3C</t>
  </si>
  <si>
    <t>4F7047</t>
  </si>
  <si>
    <t>4F5F3D</t>
  </si>
  <si>
    <t>E6F2D0</t>
  </si>
  <si>
    <t>CCE4AA</t>
  </si>
  <si>
    <t>7F9049</t>
  </si>
  <si>
    <t>6F8E54</t>
  </si>
  <si>
    <t>5D7240</t>
  </si>
  <si>
    <t>556B52</t>
  </si>
  <si>
    <t>4C6049</t>
  </si>
  <si>
    <t>E5ECD5</t>
  </si>
  <si>
    <t>D6E5C2</t>
  </si>
  <si>
    <t>C7DBB1</t>
  </si>
  <si>
    <t>BCD1A1</t>
  </si>
  <si>
    <t>9EBC83</t>
  </si>
  <si>
    <t>89A763</t>
  </si>
  <si>
    <t>6D8B46</t>
  </si>
  <si>
    <t>E1E8D3</t>
  </si>
  <si>
    <t>D4E0C6</t>
  </si>
  <si>
    <t>C9D7B9</t>
  </si>
  <si>
    <t>B9CAA9</t>
  </si>
  <si>
    <t>9EB38B</t>
  </si>
  <si>
    <t>5F7549</t>
  </si>
  <si>
    <t>56634B</t>
  </si>
  <si>
    <t>E3E5D1</t>
  </si>
  <si>
    <t>D7DCC4</t>
  </si>
  <si>
    <t>CAD2B4</t>
  </si>
  <si>
    <t>B2BA9A</t>
  </si>
  <si>
    <t>9FA987</t>
  </si>
  <si>
    <t>838A67</t>
  </si>
  <si>
    <t>6E734F</t>
  </si>
  <si>
    <t>F0EFDA</t>
  </si>
  <si>
    <t>EBEBD1</t>
  </si>
  <si>
    <t>E8EBC7</t>
  </si>
  <si>
    <t>DCE4B3</t>
  </si>
  <si>
    <t>CCD69A</t>
  </si>
  <si>
    <t>B8C77D</t>
  </si>
  <si>
    <t>A5B75D</t>
  </si>
  <si>
    <t>889F3F</t>
  </si>
  <si>
    <t>EBEBD6</t>
  </si>
  <si>
    <t>E8E7CC</t>
  </si>
  <si>
    <t>D9DAB5</t>
  </si>
  <si>
    <t>D1D3A9</t>
  </si>
  <si>
    <t>C4C499</t>
  </si>
  <si>
    <t>ADAE7C</t>
  </si>
  <si>
    <t>93945D</t>
  </si>
  <si>
    <t>86844C</t>
  </si>
  <si>
    <t>EBEBD3</t>
  </si>
  <si>
    <t>E7E9CA</t>
  </si>
  <si>
    <t>DFE4BC</t>
  </si>
  <si>
    <t>D6DDAD</t>
  </si>
  <si>
    <t>C7CE96</t>
  </si>
  <si>
    <t>B4BF7E</t>
  </si>
  <si>
    <t>A0AB5F</t>
  </si>
  <si>
    <t>E2EEC9</t>
  </si>
  <si>
    <t>D1E09A</t>
  </si>
  <si>
    <t>CBE49B</t>
  </si>
  <si>
    <t>C3D77E</t>
  </si>
  <si>
    <t>BCD776</t>
  </si>
  <si>
    <t>A5B332</t>
  </si>
  <si>
    <t>9DAA38</t>
  </si>
  <si>
    <t>EDF1D7</t>
  </si>
  <si>
    <t>D3E388</t>
  </si>
  <si>
    <t>C0D149</t>
  </si>
  <si>
    <t>88993B</t>
  </si>
  <si>
    <t>7C854D</t>
  </si>
  <si>
    <t>697C47</t>
  </si>
  <si>
    <t>626E3C</t>
  </si>
  <si>
    <t>ECF1CC</t>
  </si>
  <si>
    <t>CADB8F</t>
  </si>
  <si>
    <t>C9DA70</t>
  </si>
  <si>
    <t>B4BB2E</t>
  </si>
  <si>
    <t>6F7D39</t>
  </si>
  <si>
    <t>59663C</t>
  </si>
  <si>
    <t>555D3C</t>
  </si>
  <si>
    <t>3F5340</t>
  </si>
  <si>
    <t>EFF3D4</t>
  </si>
  <si>
    <t>D5DC82</t>
  </si>
  <si>
    <t>C0D05E</t>
  </si>
  <si>
    <t>AABC37</t>
  </si>
  <si>
    <t>838F47</t>
  </si>
  <si>
    <t>82883A</t>
  </si>
  <si>
    <t>60643B</t>
  </si>
  <si>
    <t>E2E6AC</t>
  </si>
  <si>
    <t>DDD98D</t>
  </si>
  <si>
    <t>CBD762</t>
  </si>
  <si>
    <t>C1CB48</t>
  </si>
  <si>
    <t>AEB134</t>
  </si>
  <si>
    <t>9FA43B</t>
  </si>
  <si>
    <t>90953E</t>
  </si>
  <si>
    <t>747D49</t>
  </si>
  <si>
    <t>F1EFD7</t>
  </si>
  <si>
    <t>EFEECE</t>
  </si>
  <si>
    <t>ECEAC0</t>
  </si>
  <si>
    <t>E7E9B3</t>
  </si>
  <si>
    <t>DFE29D</t>
  </si>
  <si>
    <t>CFD879</t>
  </si>
  <si>
    <t>BACC51</t>
  </si>
  <si>
    <t>A8C14F</t>
  </si>
  <si>
    <t>D8E29D</t>
  </si>
  <si>
    <t>CDCF63</t>
  </si>
  <si>
    <t>C8CD3B</t>
  </si>
  <si>
    <t>BFBA34</t>
  </si>
  <si>
    <t>B7B639</t>
  </si>
  <si>
    <t>ADA643</t>
  </si>
  <si>
    <t>9F973C</t>
  </si>
  <si>
    <t>746E3F</t>
  </si>
  <si>
    <t>CABA70</t>
  </si>
  <si>
    <t>BEB57C</t>
  </si>
  <si>
    <t>A8A96A</t>
  </si>
  <si>
    <t>ACA03C</t>
  </si>
  <si>
    <t>948B3A</t>
  </si>
  <si>
    <t>6A6E3D</t>
  </si>
  <si>
    <t>EFECD0</t>
  </si>
  <si>
    <t>EEEBC8</t>
  </si>
  <si>
    <t>E8E5B9</t>
  </si>
  <si>
    <t>E6E1AF</t>
  </si>
  <si>
    <t>D7D393</t>
  </si>
  <si>
    <t>CCC97D</t>
  </si>
  <si>
    <t>B4B359</t>
  </si>
  <si>
    <t>A09E3B</t>
  </si>
  <si>
    <t>F1F0D4</t>
  </si>
  <si>
    <t>EADB75</t>
  </si>
  <si>
    <t>DFD162</t>
  </si>
  <si>
    <t>D0BE34</t>
  </si>
  <si>
    <t>B9A535</t>
  </si>
  <si>
    <t>BDAD34</t>
  </si>
  <si>
    <t>9A893E</t>
  </si>
  <si>
    <t>62593C</t>
  </si>
  <si>
    <t>F1EDD2</t>
  </si>
  <si>
    <t>EEE9C4</t>
  </si>
  <si>
    <t>EAE8BA</t>
  </si>
  <si>
    <t>E1DE9D</t>
  </si>
  <si>
    <t>E1DD84</t>
  </si>
  <si>
    <t>DDD86F</t>
  </si>
  <si>
    <t>D6D56E</t>
  </si>
  <si>
    <t>C2C458</t>
  </si>
  <si>
    <t>E7E4CF</t>
  </si>
  <si>
    <t>DFDCC3</t>
  </si>
  <si>
    <t>CDCBAA</t>
  </si>
  <si>
    <t>BBB899</t>
  </si>
  <si>
    <t>ACA885</t>
  </si>
  <si>
    <t>9F9972</t>
  </si>
  <si>
    <t>8C8861</t>
  </si>
  <si>
    <t>76724E</t>
  </si>
  <si>
    <t>E7E2CB</t>
  </si>
  <si>
    <t>E1DBBE</t>
  </si>
  <si>
    <t>D2CCA6</t>
  </si>
  <si>
    <t>BEB792</t>
  </si>
  <si>
    <t>AAA17A</t>
  </si>
  <si>
    <t>9E9367</t>
  </si>
  <si>
    <t>8F855C</t>
  </si>
  <si>
    <t>7F764D</t>
  </si>
  <si>
    <t>EDE7CB</t>
  </si>
  <si>
    <t>E9E1BD</t>
  </si>
  <si>
    <t>DFD6A9</t>
  </si>
  <si>
    <t>D0C38F</t>
  </si>
  <si>
    <t>BFB278</t>
  </si>
  <si>
    <t>B4A464</t>
  </si>
  <si>
    <t>A69858</t>
  </si>
  <si>
    <t>9A8B4A</t>
  </si>
  <si>
    <t>EFE6BF</t>
  </si>
  <si>
    <t>ECE1B2</t>
  </si>
  <si>
    <t>E1D69B</t>
  </si>
  <si>
    <t>D9CB87</t>
  </si>
  <si>
    <t>D5C67C</t>
  </si>
  <si>
    <t>C2B25D</t>
  </si>
  <si>
    <t>A1953E</t>
  </si>
  <si>
    <t>807E3C</t>
  </si>
  <si>
    <t>EBD981</t>
  </si>
  <si>
    <t>E1C432</t>
  </si>
  <si>
    <t>AA9342</t>
  </si>
  <si>
    <t>A38631</t>
  </si>
  <si>
    <t>937A36</t>
  </si>
  <si>
    <t>84773C</t>
  </si>
  <si>
    <t>756B3B</t>
  </si>
  <si>
    <t>66623D</t>
  </si>
  <si>
    <t>F7F0D8</t>
  </si>
  <si>
    <t>F9EFC8</t>
  </si>
  <si>
    <t>F9ECB9</t>
  </si>
  <si>
    <t>F4E199</t>
  </si>
  <si>
    <t>EDCD61</t>
  </si>
  <si>
    <t>D1AC2E</t>
  </si>
  <si>
    <t>B2922D</t>
  </si>
  <si>
    <t>95813A</t>
  </si>
  <si>
    <t>F2EDD7</t>
  </si>
  <si>
    <t>F3EACF</t>
  </si>
  <si>
    <t>F1E7C5</t>
  </si>
  <si>
    <t>EDDEB1</t>
  </si>
  <si>
    <t>DFCE99</t>
  </si>
  <si>
    <t>D2BF80</t>
  </si>
  <si>
    <t>BDA65D</t>
  </si>
  <si>
    <t>A38E41</t>
  </si>
  <si>
    <t>F1EAD6</t>
  </si>
  <si>
    <t>E9DEC1</t>
  </si>
  <si>
    <t>E2D4B3</t>
  </si>
  <si>
    <t>D2C49F</t>
  </si>
  <si>
    <t>C3B38B</t>
  </si>
  <si>
    <t>B5A574</t>
  </si>
  <si>
    <t>A39362</t>
  </si>
  <si>
    <t>F0E9CA</t>
  </si>
  <si>
    <t>F0D579</t>
  </si>
  <si>
    <t>F2D16F</t>
  </si>
  <si>
    <t>D0A61F</t>
  </si>
  <si>
    <t>BE9933</t>
  </si>
  <si>
    <t>B2883E</t>
  </si>
  <si>
    <t>A48039</t>
  </si>
  <si>
    <t>9F8048</t>
  </si>
  <si>
    <t>F5ECD0</t>
  </si>
  <si>
    <t>F5E9C4</t>
  </si>
  <si>
    <t>F4E4B1</t>
  </si>
  <si>
    <t>ECD798</t>
  </si>
  <si>
    <t>EAD18A</t>
  </si>
  <si>
    <t>E2CA7E</t>
  </si>
  <si>
    <t>D2B557</t>
  </si>
  <si>
    <t>BEA03E</t>
  </si>
  <si>
    <t>F7F2DA</t>
  </si>
  <si>
    <t>F8F0CF</t>
  </si>
  <si>
    <t>F9EFC4</t>
  </si>
  <si>
    <t>FCECB3</t>
  </si>
  <si>
    <t>FEE795</t>
  </si>
  <si>
    <t>FEE27B</t>
  </si>
  <si>
    <t>F2D15D</t>
  </si>
  <si>
    <t>F1C83A</t>
  </si>
  <si>
    <t>F7F2DE</t>
  </si>
  <si>
    <t>F8F1D5</t>
  </si>
  <si>
    <t>F9E9C0</t>
  </si>
  <si>
    <t>FDEBB7</t>
  </si>
  <si>
    <t>FEE495</t>
  </si>
  <si>
    <t>FEDC74</t>
  </si>
  <si>
    <t>FED774</t>
  </si>
  <si>
    <t>F5CB5A</t>
  </si>
  <si>
    <t>F9F0D8</t>
  </si>
  <si>
    <t>F9EECE</t>
  </si>
  <si>
    <t>F4E0B4</t>
  </si>
  <si>
    <t>F2D8A3</t>
  </si>
  <si>
    <t>EBCB8E</t>
  </si>
  <si>
    <t>DBB163</t>
  </si>
  <si>
    <t>CFA452</t>
  </si>
  <si>
    <t>BE9540</t>
  </si>
  <si>
    <t>F3E8D1</t>
  </si>
  <si>
    <t>E4CBA1</t>
  </si>
  <si>
    <t>E2BD89</t>
  </si>
  <si>
    <t>D4AE70</t>
  </si>
  <si>
    <t>A87C46</t>
  </si>
  <si>
    <t>A8814A</t>
  </si>
  <si>
    <t>86663D</t>
  </si>
  <si>
    <t>7C5B3A</t>
  </si>
  <si>
    <t>F0DFBE</t>
  </si>
  <si>
    <t>EDD6AB</t>
  </si>
  <si>
    <t>E3C798</t>
  </si>
  <si>
    <t>D3B17A</t>
  </si>
  <si>
    <t>C6A265</t>
  </si>
  <si>
    <t>BD9759</t>
  </si>
  <si>
    <t>A98345</t>
  </si>
  <si>
    <t>7C5E39</t>
  </si>
  <si>
    <t>F7F0D7</t>
  </si>
  <si>
    <t>F9EECC</t>
  </si>
  <si>
    <t>FCEDBF</t>
  </si>
  <si>
    <t>FDEAB5</t>
  </si>
  <si>
    <t>FDD98B</t>
  </si>
  <si>
    <t>FAD074</t>
  </si>
  <si>
    <t>F9C455</t>
  </si>
  <si>
    <t>CC993F</t>
  </si>
  <si>
    <t>F5EED7</t>
  </si>
  <si>
    <t>F6EBCD</t>
  </si>
  <si>
    <t>F8E9C1</t>
  </si>
  <si>
    <t>FAE4AE</t>
  </si>
  <si>
    <t>FBDA97</t>
  </si>
  <si>
    <t>F9CE76</t>
  </si>
  <si>
    <t>F6BE54</t>
  </si>
  <si>
    <t>C4943B</t>
  </si>
  <si>
    <t>F7ECD3</t>
  </si>
  <si>
    <t>FAEFD3</t>
  </si>
  <si>
    <t>FCEBC0</t>
  </si>
  <si>
    <t>FEE8B2</t>
  </si>
  <si>
    <t>FEE19D</t>
  </si>
  <si>
    <t>FEDD86</t>
  </si>
  <si>
    <t>FED87A</t>
  </si>
  <si>
    <t>EDB438</t>
  </si>
  <si>
    <t>FAEAC9</t>
  </si>
  <si>
    <t>FEE7BC</t>
  </si>
  <si>
    <t>FEDDA2</t>
  </si>
  <si>
    <t>FED18C</t>
  </si>
  <si>
    <t>FEC267</t>
  </si>
  <si>
    <t>F7AF43</t>
  </si>
  <si>
    <t>EDA42E</t>
  </si>
  <si>
    <t>D3993C</t>
  </si>
  <si>
    <t>F6EAD2</t>
  </si>
  <si>
    <t>FAE4BC</t>
  </si>
  <si>
    <t>FBDDA9</t>
  </si>
  <si>
    <t>F8D096</t>
  </si>
  <si>
    <t>F1BC70</t>
  </si>
  <si>
    <t>EFBD74</t>
  </si>
  <si>
    <t>E2A754</t>
  </si>
  <si>
    <t>D2953C</t>
  </si>
  <si>
    <t>F5E9D3</t>
  </si>
  <si>
    <t>F8E1BE</t>
  </si>
  <si>
    <t>F8D6A6</t>
  </si>
  <si>
    <t>EEC088</t>
  </si>
  <si>
    <t>E7B274</t>
  </si>
  <si>
    <t>D99E57</t>
  </si>
  <si>
    <t>CA8C44</t>
  </si>
  <si>
    <t>A77548</t>
  </si>
  <si>
    <t>FAEBC9</t>
  </si>
  <si>
    <t>FEE7BA</t>
  </si>
  <si>
    <t>FEE3A8</t>
  </si>
  <si>
    <t>FED98F</t>
  </si>
  <si>
    <t>FEC967</t>
  </si>
  <si>
    <t>FEBB39</t>
  </si>
  <si>
    <t>FEB73B</t>
  </si>
  <si>
    <t>FAAA26</t>
  </si>
  <si>
    <t>E89125</t>
  </si>
  <si>
    <t>CB8536</t>
  </si>
  <si>
    <t>C27A3C</t>
  </si>
  <si>
    <t>A2653E</t>
  </si>
  <si>
    <t>F8EDD5</t>
  </si>
  <si>
    <t>FBE9C7</t>
  </si>
  <si>
    <t>FCE2BB</t>
  </si>
  <si>
    <t>FEDDA9</t>
  </si>
  <si>
    <t>FECE8B</t>
  </si>
  <si>
    <t>FEBA5E</t>
  </si>
  <si>
    <t>FEA01C</t>
  </si>
  <si>
    <t>D38B36</t>
  </si>
  <si>
    <t>F8EED9</t>
  </si>
  <si>
    <t>FBEBCE</t>
  </si>
  <si>
    <t>FBE3BD</t>
  </si>
  <si>
    <t>FED9A1</t>
  </si>
  <si>
    <t>FEC882</t>
  </si>
  <si>
    <t>FEB969</t>
  </si>
  <si>
    <t>FEA844</t>
  </si>
  <si>
    <t>DB8E3B</t>
  </si>
  <si>
    <t>FAECD5</t>
  </si>
  <si>
    <t>FCDEBB</t>
  </si>
  <si>
    <t>FDD6AB</t>
  </si>
  <si>
    <t>F5C090</t>
  </si>
  <si>
    <t>EFB27C</t>
  </si>
  <si>
    <t>DF9758</t>
  </si>
  <si>
    <t>C97D41</t>
  </si>
  <si>
    <t>A96339</t>
  </si>
  <si>
    <t>F7EBD7</t>
  </si>
  <si>
    <t>FAE8CE</t>
  </si>
  <si>
    <t>FDE4C2</t>
  </si>
  <si>
    <t>FEDBB0</t>
  </si>
  <si>
    <t>FECC98</t>
  </si>
  <si>
    <t>FEAF6C</t>
  </si>
  <si>
    <t>D37E35</t>
  </si>
  <si>
    <t>AB6F44</t>
  </si>
  <si>
    <t>FCDAB7</t>
  </si>
  <si>
    <t>FCD1A7</t>
  </si>
  <si>
    <t>F9C394</t>
  </si>
  <si>
    <t>EFAB77</t>
  </si>
  <si>
    <t>E7975B</t>
  </si>
  <si>
    <t>D78143</t>
  </si>
  <si>
    <t>B96937</t>
  </si>
  <si>
    <t>FCE2CB</t>
  </si>
  <si>
    <t>FEBD8E</t>
  </si>
  <si>
    <t>FCAF83</t>
  </si>
  <si>
    <t>DD9969</t>
  </si>
  <si>
    <t>C57439</t>
  </si>
  <si>
    <t>A8663F</t>
  </si>
  <si>
    <t>6E4B45</t>
  </si>
  <si>
    <t>FED3A6</t>
  </si>
  <si>
    <t>FEB97B</t>
  </si>
  <si>
    <t>FEAF77</t>
  </si>
  <si>
    <t>D5825C</t>
  </si>
  <si>
    <t>D36E44</t>
  </si>
  <si>
    <t>C86941</t>
  </si>
  <si>
    <t>AF5E3F</t>
  </si>
  <si>
    <t>974F47</t>
  </si>
  <si>
    <t>FECDA8</t>
  </si>
  <si>
    <t>FEC294</t>
  </si>
  <si>
    <t>FDAF7E</t>
  </si>
  <si>
    <t>B6715A</t>
  </si>
  <si>
    <t>9B634E</t>
  </si>
  <si>
    <t>8B543F</t>
  </si>
  <si>
    <t>7B594F</t>
  </si>
  <si>
    <t>FED0AD</t>
  </si>
  <si>
    <t>FECB9C</t>
  </si>
  <si>
    <t>FEC48E</t>
  </si>
  <si>
    <t>FEBC85</t>
  </si>
  <si>
    <t>C76944</t>
  </si>
  <si>
    <t>A95D4D</t>
  </si>
  <si>
    <t>7A5144</t>
  </si>
  <si>
    <t>664B43</t>
  </si>
  <si>
    <t>C87949</t>
  </si>
  <si>
    <t>C8733A</t>
  </si>
  <si>
    <t>AD633A</t>
  </si>
  <si>
    <t>A8674B</t>
  </si>
  <si>
    <t>A2583F</t>
  </si>
  <si>
    <t>7F4A46</t>
  </si>
  <si>
    <t>FCE9D4</t>
  </si>
  <si>
    <t>FEE3C9</t>
  </si>
  <si>
    <t>FED6B4</t>
  </si>
  <si>
    <t>FEBE98</t>
  </si>
  <si>
    <t>FEA578</t>
  </si>
  <si>
    <t>F88E58</t>
  </si>
  <si>
    <t>D46E3D</t>
  </si>
  <si>
    <t>F9E9D8</t>
  </si>
  <si>
    <t>FCD8BE</t>
  </si>
  <si>
    <t>FDCCAE</t>
  </si>
  <si>
    <t>F8B592</t>
  </si>
  <si>
    <t>F0A27C</t>
  </si>
  <si>
    <t>E68D60</t>
  </si>
  <si>
    <t>CB6C42</t>
  </si>
  <si>
    <t>B76038</t>
  </si>
  <si>
    <t>F8DCC5</t>
  </si>
  <si>
    <t>F8D1B5</t>
  </si>
  <si>
    <t>F4C6A9</t>
  </si>
  <si>
    <t>EEB295</t>
  </si>
  <si>
    <t>E19A79</t>
  </si>
  <si>
    <t>CD7B59</t>
  </si>
  <si>
    <t>AC644A</t>
  </si>
  <si>
    <t>9A533D</t>
  </si>
  <si>
    <t>F7DCC6</t>
  </si>
  <si>
    <t>F4CCB1</t>
  </si>
  <si>
    <t>EFBE9F</t>
  </si>
  <si>
    <t>DCA082</t>
  </si>
  <si>
    <t>CF8F71</t>
  </si>
  <si>
    <t>B97555</t>
  </si>
  <si>
    <t>AC6649</t>
  </si>
  <si>
    <t>965C4B</t>
  </si>
  <si>
    <t>A96655</t>
  </si>
  <si>
    <t>A1685E</t>
  </si>
  <si>
    <t>9E5C4B</t>
  </si>
  <si>
    <t>94513F</t>
  </si>
  <si>
    <t>754D46</t>
  </si>
  <si>
    <t>6D4443</t>
  </si>
  <si>
    <t>FDD1BC</t>
  </si>
  <si>
    <t>FAC9AD</t>
  </si>
  <si>
    <t>FCC3A1</t>
  </si>
  <si>
    <t>F7B093</t>
  </si>
  <si>
    <t>F5A181</t>
  </si>
  <si>
    <t>DD9081</t>
  </si>
  <si>
    <t>C26555</t>
  </si>
  <si>
    <t>AF6156</t>
  </si>
  <si>
    <t>FBE7D7</t>
  </si>
  <si>
    <t>FEDDC9</t>
  </si>
  <si>
    <t>FED1B9</t>
  </si>
  <si>
    <t>FDB69C</t>
  </si>
  <si>
    <t>F79E81</t>
  </si>
  <si>
    <t>F2845F</t>
  </si>
  <si>
    <t>D96D4D</t>
  </si>
  <si>
    <t>B8603E</t>
  </si>
  <si>
    <t>FBE2D6</t>
  </si>
  <si>
    <t>FBD4C6</t>
  </si>
  <si>
    <t>F9C5B5</t>
  </si>
  <si>
    <t>F3B3A5</t>
  </si>
  <si>
    <t>EC9D8D</t>
  </si>
  <si>
    <t>DC7F69</t>
  </si>
  <si>
    <t>B9584B</t>
  </si>
  <si>
    <t>AB665A</t>
  </si>
  <si>
    <t>B55F49</t>
  </si>
  <si>
    <t>A55A4C</t>
  </si>
  <si>
    <t>A35444</t>
  </si>
  <si>
    <t>A35C55</t>
  </si>
  <si>
    <t>90514F</t>
  </si>
  <si>
    <t>7A4543</t>
  </si>
  <si>
    <t>693E3F</t>
  </si>
  <si>
    <t>D44F45</t>
  </si>
  <si>
    <t>C24C42</t>
  </si>
  <si>
    <t>C05F54</t>
  </si>
  <si>
    <t>B75E56</t>
  </si>
  <si>
    <t>A25151</t>
  </si>
  <si>
    <t>90504C</t>
  </si>
  <si>
    <t>8D4A47</t>
  </si>
  <si>
    <t>713F3C</t>
  </si>
  <si>
    <t>F9E1D9</t>
  </si>
  <si>
    <t>FDD8D0</t>
  </si>
  <si>
    <t>FAC9C1</t>
  </si>
  <si>
    <t>F9AFA9</t>
  </si>
  <si>
    <t>F3968F</t>
  </si>
  <si>
    <t>ED7E71</t>
  </si>
  <si>
    <t>CB6755</t>
  </si>
  <si>
    <t>9A544C</t>
  </si>
  <si>
    <t>E6AB9B</t>
  </si>
  <si>
    <t>F4A094</t>
  </si>
  <si>
    <t>EE8486</t>
  </si>
  <si>
    <t>D06166</t>
  </si>
  <si>
    <t>B45259</t>
  </si>
  <si>
    <t>9B4951</t>
  </si>
  <si>
    <t>8E5054</t>
  </si>
  <si>
    <t>F7DDD8</t>
  </si>
  <si>
    <t>FACDCA</t>
  </si>
  <si>
    <t>F9C5C4</t>
  </si>
  <si>
    <t>F3B2AF</t>
  </si>
  <si>
    <t>EA9897</t>
  </si>
  <si>
    <t>E0817C</t>
  </si>
  <si>
    <t>C65C51</t>
  </si>
  <si>
    <t>B04844</t>
  </si>
  <si>
    <t>F9DDD8</t>
  </si>
  <si>
    <t>FBD8D3</t>
  </si>
  <si>
    <t>FDC7C5</t>
  </si>
  <si>
    <t>FAADAB</t>
  </si>
  <si>
    <t>F29495</t>
  </si>
  <si>
    <t>EB7A77</t>
  </si>
  <si>
    <t>D15C5D</t>
  </si>
  <si>
    <t>AA4D4F</t>
  </si>
  <si>
    <t>F7D4D2</t>
  </si>
  <si>
    <t>F6C1C4</t>
  </si>
  <si>
    <t>F0B5B6</t>
  </si>
  <si>
    <t>E5A3A5</t>
  </si>
  <si>
    <t>D58488</t>
  </si>
  <si>
    <t>C66C6D</t>
  </si>
  <si>
    <t>B1554F</t>
  </si>
  <si>
    <t>AC5655</t>
  </si>
  <si>
    <t>F6EBE5</t>
  </si>
  <si>
    <t>F7DEDB</t>
  </si>
  <si>
    <t>F6C7C8</t>
  </si>
  <si>
    <t>F3B7B9</t>
  </si>
  <si>
    <t>E59BA0</t>
  </si>
  <si>
    <t>DB878D</t>
  </si>
  <si>
    <t>C7686A</t>
  </si>
  <si>
    <t>AC4F49</t>
  </si>
  <si>
    <t>F8D9DB</t>
  </si>
  <si>
    <t>FBCFD5</t>
  </si>
  <si>
    <t>F6B9C2</t>
  </si>
  <si>
    <t>F3ABB7</t>
  </si>
  <si>
    <t>E891A0</t>
  </si>
  <si>
    <t>DA727F</t>
  </si>
  <si>
    <t>AF494F</t>
  </si>
  <si>
    <t>A5464D</t>
  </si>
  <si>
    <t>FAD5DB</t>
  </si>
  <si>
    <t>F9C4D0</t>
  </si>
  <si>
    <t>F7B4C3</t>
  </si>
  <si>
    <t>EE91A8</t>
  </si>
  <si>
    <t>DD7B8D</t>
  </si>
  <si>
    <t>B04C5B</t>
  </si>
  <si>
    <t>9A4958</t>
  </si>
  <si>
    <t>81454F</t>
  </si>
  <si>
    <t>EED4D4</t>
  </si>
  <si>
    <t>E5BEC0</t>
  </si>
  <si>
    <t>D4AAAF</t>
  </si>
  <si>
    <t>C59497</t>
  </si>
  <si>
    <t>AF7779</t>
  </si>
  <si>
    <t>A2696A</t>
  </si>
  <si>
    <t>7F4C4F</t>
  </si>
  <si>
    <t>7C4141</t>
  </si>
  <si>
    <t>F4D8D8</t>
  </si>
  <si>
    <t>EAC2C7</t>
  </si>
  <si>
    <t>DDABB4</t>
  </si>
  <si>
    <t>C98E9A</t>
  </si>
  <si>
    <t>C7898F</t>
  </si>
  <si>
    <t>C18089</t>
  </si>
  <si>
    <t>B16E76</t>
  </si>
  <si>
    <t>7A444B</t>
  </si>
  <si>
    <t>F1D1D5</t>
  </si>
  <si>
    <t>EDC4CB</t>
  </si>
  <si>
    <t>E9B6BF</t>
  </si>
  <si>
    <t>DA9FAA</t>
  </si>
  <si>
    <t>D08E9A</t>
  </si>
  <si>
    <t>B76670</t>
  </si>
  <si>
    <t>983F49</t>
  </si>
  <si>
    <t>E9CCD0</t>
  </si>
  <si>
    <t>F2C4CE</t>
  </si>
  <si>
    <t>E9AABC</t>
  </si>
  <si>
    <t>E592A4</t>
  </si>
  <si>
    <t>CA8A9D</t>
  </si>
  <si>
    <t>A86571</t>
  </si>
  <si>
    <t>9F5A71</t>
  </si>
  <si>
    <t>953E4A</t>
  </si>
  <si>
    <t>F4DEE3</t>
  </si>
  <si>
    <t>F2D2DD</t>
  </si>
  <si>
    <t>F0BED2</t>
  </si>
  <si>
    <t>EBAEC7</t>
  </si>
  <si>
    <t>E191B2</t>
  </si>
  <si>
    <t>C9638A</t>
  </si>
  <si>
    <t>B15675</t>
  </si>
  <si>
    <t>84485C</t>
  </si>
  <si>
    <t>EFD7DA</t>
  </si>
  <si>
    <t>F4DCE1</t>
  </si>
  <si>
    <t>F2CFD9</t>
  </si>
  <si>
    <t>EFBFCF</t>
  </si>
  <si>
    <t>DDAEC2</t>
  </si>
  <si>
    <t>D195AF</t>
  </si>
  <si>
    <t>B2708E</t>
  </si>
  <si>
    <t>8E3F4F</t>
  </si>
  <si>
    <t>F2DFE1</t>
  </si>
  <si>
    <t>D6BCC1</t>
  </si>
  <si>
    <t>B0878F</t>
  </si>
  <si>
    <t>9B767D</t>
  </si>
  <si>
    <t>8D626D</t>
  </si>
  <si>
    <t>76484D</t>
  </si>
  <si>
    <t>5E424B</t>
  </si>
  <si>
    <t>F1D2D8</t>
  </si>
  <si>
    <t>D7B0B7</t>
  </si>
  <si>
    <t>C6A9AF</t>
  </si>
  <si>
    <t>BE8D9D</t>
  </si>
  <si>
    <t>AB8995</t>
  </si>
  <si>
    <t>A38290</t>
  </si>
  <si>
    <t>75666F</t>
  </si>
  <si>
    <t>685D64</t>
  </si>
  <si>
    <t>EFDADF</t>
  </si>
  <si>
    <t>EACDD8</t>
  </si>
  <si>
    <t>E8C2D4</t>
  </si>
  <si>
    <t>D5AAC2</t>
  </si>
  <si>
    <t>BD86A2</t>
  </si>
  <si>
    <t>B17693</t>
  </si>
  <si>
    <t>5F4355</t>
  </si>
  <si>
    <t>ECD8E3</t>
  </si>
  <si>
    <t>E9CDDC</t>
  </si>
  <si>
    <t>E8C8DC</t>
  </si>
  <si>
    <t>E3BEDA</t>
  </si>
  <si>
    <t>D2A9CD</t>
  </si>
  <si>
    <t>C698C0</t>
  </si>
  <si>
    <t>AF76A5</t>
  </si>
  <si>
    <t>894C79</t>
  </si>
  <si>
    <t>E0D8D1</t>
  </si>
  <si>
    <t>D0BFC4</t>
  </si>
  <si>
    <t>B99AAB</t>
  </si>
  <si>
    <t>9A7C9A</t>
  </si>
  <si>
    <t>917A95</t>
  </si>
  <si>
    <t>86718B</t>
  </si>
  <si>
    <t>50465E</t>
  </si>
  <si>
    <t>D9CDCD</t>
  </si>
  <si>
    <t>DEC8CE</t>
  </si>
  <si>
    <t>D8C6C9</t>
  </si>
  <si>
    <t>C3B3BE</t>
  </si>
  <si>
    <t>AD96A2</t>
  </si>
  <si>
    <t>95828E</t>
  </si>
  <si>
    <t>E5D5D9</t>
  </si>
  <si>
    <t>E9DFD9</t>
  </si>
  <si>
    <t>D1BDC8</t>
  </si>
  <si>
    <t>BCACB9</t>
  </si>
  <si>
    <t>A08EA0</t>
  </si>
  <si>
    <t>917C8D</t>
  </si>
  <si>
    <t>866D7F</t>
  </si>
  <si>
    <t>C0B7B8</t>
  </si>
  <si>
    <t>BDBABC</t>
  </si>
  <si>
    <t>B6ABAE</t>
  </si>
  <si>
    <t>A89FA5</t>
  </si>
  <si>
    <t>958B94</t>
  </si>
  <si>
    <t>80717E</t>
  </si>
  <si>
    <t>B69EA9</t>
  </si>
  <si>
    <t>AE9CA3</t>
  </si>
  <si>
    <t>886A7A</t>
  </si>
  <si>
    <t>7E6776</t>
  </si>
  <si>
    <t>96626B</t>
  </si>
  <si>
    <t>684A57</t>
  </si>
  <si>
    <t>837A7E</t>
  </si>
  <si>
    <t>70525B</t>
  </si>
  <si>
    <t>5C5152</t>
  </si>
  <si>
    <t>E4D9D9</t>
  </si>
  <si>
    <t>D3C4C8</t>
  </si>
  <si>
    <t>BEB3BA</t>
  </si>
  <si>
    <t>A1969F</t>
  </si>
  <si>
    <t>92858D</t>
  </si>
  <si>
    <t>80737B</t>
  </si>
  <si>
    <t>624D5A</t>
  </si>
  <si>
    <t>594A56</t>
  </si>
  <si>
    <t>B6B1AF</t>
  </si>
  <si>
    <t>A1989A</t>
  </si>
  <si>
    <t>7E787B</t>
  </si>
  <si>
    <t>6B686A</t>
  </si>
  <si>
    <t>4A4848</t>
  </si>
  <si>
    <t>E9E3DD</t>
  </si>
  <si>
    <t>DDD4D2</t>
  </si>
  <si>
    <t>D0C7C6</t>
  </si>
  <si>
    <t>BBB3B7</t>
  </si>
  <si>
    <t>ABA3A7</t>
  </si>
  <si>
    <t>92898C</t>
  </si>
  <si>
    <t>7D7376</t>
  </si>
  <si>
    <t>4C4448</t>
  </si>
  <si>
    <t>E7E4DF</t>
  </si>
  <si>
    <t>D7D3D0</t>
  </si>
  <si>
    <t>B8B4B5</t>
  </si>
  <si>
    <t>A1A0A4</t>
  </si>
  <si>
    <t>86878B</t>
  </si>
  <si>
    <t>625F62</t>
  </si>
  <si>
    <t>4D4847</t>
  </si>
  <si>
    <t>DADBD9</t>
  </si>
  <si>
    <t>D1D0D0</t>
  </si>
  <si>
    <t>B8BABD</t>
  </si>
  <si>
    <t>A0A6AB</t>
  </si>
  <si>
    <t>7F858E</t>
  </si>
  <si>
    <t>6F747B</t>
  </si>
  <si>
    <t>5F646A</t>
  </si>
  <si>
    <t>47484B</t>
  </si>
  <si>
    <t>CFDCEA</t>
  </si>
  <si>
    <t>C2D1E4</t>
  </si>
  <si>
    <t>A8ACB2</t>
  </si>
  <si>
    <t>9D9A9E</t>
  </si>
  <si>
    <t>8A9197</t>
  </si>
  <si>
    <t>7D848C</t>
  </si>
  <si>
    <t>817C7A</t>
  </si>
  <si>
    <t>5E5958</t>
  </si>
  <si>
    <t>DBD9D8</t>
  </si>
  <si>
    <t>DCDCDD</t>
  </si>
  <si>
    <t>C7CACB</t>
  </si>
  <si>
    <t>AAB1B5</t>
  </si>
  <si>
    <t>949DA4</t>
  </si>
  <si>
    <t>6F767D</t>
  </si>
  <si>
    <t>5D646A</t>
  </si>
  <si>
    <t>40403F</t>
  </si>
  <si>
    <t>C1C6C4</t>
  </si>
  <si>
    <t>BFCACC</t>
  </si>
  <si>
    <t>9FB2BA</t>
  </si>
  <si>
    <t>8E9DA5</t>
  </si>
  <si>
    <t>68747B</t>
  </si>
  <si>
    <t>5E696F</t>
  </si>
  <si>
    <t>B6BAB6</t>
  </si>
  <si>
    <t>B5BBBB</t>
  </si>
  <si>
    <t>798C91</t>
  </si>
  <si>
    <t>63747A</t>
  </si>
  <si>
    <t>565B5A</t>
  </si>
  <si>
    <t>474C51</t>
  </si>
  <si>
    <t>EAEEE7</t>
  </si>
  <si>
    <t>E6E9E0</t>
  </si>
  <si>
    <t>D0DAD6</t>
  </si>
  <si>
    <t>A3B8B9</t>
  </si>
  <si>
    <t>879BA0</t>
  </si>
  <si>
    <t>6F848A</t>
  </si>
  <si>
    <t>54666B</t>
  </si>
  <si>
    <t>434B4E</t>
  </si>
  <si>
    <t>CDD8D9</t>
  </si>
  <si>
    <t>B4C6CC</t>
  </si>
  <si>
    <t>9FB5BE</t>
  </si>
  <si>
    <t>8DA3AE</t>
  </si>
  <si>
    <t>434B51</t>
  </si>
  <si>
    <t>36444D</t>
  </si>
  <si>
    <t>D5D7D7</t>
  </si>
  <si>
    <t>CFD0CD</t>
  </si>
  <si>
    <t>BBBEBC</t>
  </si>
  <si>
    <t>9FA5A7</t>
  </si>
  <si>
    <t>838A8B</t>
  </si>
  <si>
    <t>6A6F6F</t>
  </si>
  <si>
    <t>5E6363</t>
  </si>
  <si>
    <t>484A48</t>
  </si>
  <si>
    <t>D4D1C7</t>
  </si>
  <si>
    <t>D7D3CD</t>
  </si>
  <si>
    <t>C8C6C1</t>
  </si>
  <si>
    <t>B7B5B0</t>
  </si>
  <si>
    <t>A0A19F</t>
  </si>
  <si>
    <t>4C4844</t>
  </si>
  <si>
    <t>BCBFB6</t>
  </si>
  <si>
    <t>A4A6A3</t>
  </si>
  <si>
    <t>8E928F</t>
  </si>
  <si>
    <t>7C8081</t>
  </si>
  <si>
    <t>737A7F</t>
  </si>
  <si>
    <t>575D62</t>
  </si>
  <si>
    <t>D6D5CF</t>
  </si>
  <si>
    <t>C7C7C2</t>
  </si>
  <si>
    <t>B8B9B4</t>
  </si>
  <si>
    <t>A0A3A2</t>
  </si>
  <si>
    <t>50504D</t>
  </si>
  <si>
    <t>CAC9CD</t>
  </si>
  <si>
    <t>9C9D9E</t>
  </si>
  <si>
    <t>75736E</t>
  </si>
  <si>
    <t>C9C3BB</t>
  </si>
  <si>
    <t>94908F</t>
  </si>
  <si>
    <t>66645D</t>
  </si>
  <si>
    <t>5E5D57</t>
  </si>
  <si>
    <t>5B544A</t>
  </si>
  <si>
    <t>554B40</t>
  </si>
  <si>
    <t>B3B3AF</t>
  </si>
  <si>
    <t>A09E98</t>
  </si>
  <si>
    <t>9A9A90</t>
  </si>
  <si>
    <t>868B86</t>
  </si>
  <si>
    <t>7E807B</t>
  </si>
  <si>
    <t>6A6E6B</t>
  </si>
  <si>
    <t>575A58</t>
  </si>
  <si>
    <t>4F5450</t>
  </si>
  <si>
    <t>C6C7C0</t>
  </si>
  <si>
    <t>BCC1BC</t>
  </si>
  <si>
    <t>B1B8B4</t>
  </si>
  <si>
    <t>9AA2A2</t>
  </si>
  <si>
    <t>6F7674</t>
  </si>
  <si>
    <t>4C4F4C</t>
  </si>
  <si>
    <t>C5C5BC</t>
  </si>
  <si>
    <t>B8B9AF</t>
  </si>
  <si>
    <t>AFAEA3</t>
  </si>
  <si>
    <t>9CA09A</t>
  </si>
  <si>
    <t>878A84</t>
  </si>
  <si>
    <t>74766F</t>
  </si>
  <si>
    <t>56554E</t>
  </si>
  <si>
    <t>D5DAD3</t>
  </si>
  <si>
    <t>C5CEC9</t>
  </si>
  <si>
    <t>BAC4BF</t>
  </si>
  <si>
    <t>9FABAA</t>
  </si>
  <si>
    <t>727E7D</t>
  </si>
  <si>
    <t>64706F</t>
  </si>
  <si>
    <t>C2D1CB</t>
  </si>
  <si>
    <t>B0C3BD</t>
  </si>
  <si>
    <t>9EB1AF</t>
  </si>
  <si>
    <t>4D5F5B</t>
  </si>
  <si>
    <t>3C5050</t>
  </si>
  <si>
    <t>3C4948</t>
  </si>
  <si>
    <t>A9B2AA</t>
  </si>
  <si>
    <t>7F8B81</t>
  </si>
  <si>
    <t>5D685F</t>
  </si>
  <si>
    <t>58635B</t>
  </si>
  <si>
    <t>5B6A64</t>
  </si>
  <si>
    <t>484C4C</t>
  </si>
  <si>
    <t>A9B7A8</t>
  </si>
  <si>
    <t>99A796</t>
  </si>
  <si>
    <t>949E8E</t>
  </si>
  <si>
    <t>606A5C</t>
  </si>
  <si>
    <t>60655B</t>
  </si>
  <si>
    <t>585D55</t>
  </si>
  <si>
    <t>E2EDDC</t>
  </si>
  <si>
    <t>D3D8CE</t>
  </si>
  <si>
    <t>BBC5B9</t>
  </si>
  <si>
    <t>A2ACA3</t>
  </si>
  <si>
    <t>8B958C</t>
  </si>
  <si>
    <t>7A8479</t>
  </si>
  <si>
    <t>52574E</t>
  </si>
  <si>
    <t>8F9A81</t>
  </si>
  <si>
    <t>889C7B</t>
  </si>
  <si>
    <t>728D6D</t>
  </si>
  <si>
    <t>636E4F</t>
  </si>
  <si>
    <t>6A6C50</t>
  </si>
  <si>
    <t>6C6E46</t>
  </si>
  <si>
    <t>585C3E</t>
  </si>
  <si>
    <t>4B4E40</t>
  </si>
  <si>
    <t>D0D9C7</t>
  </si>
  <si>
    <t>BBC8B2</t>
  </si>
  <si>
    <t>A9C0AB</t>
  </si>
  <si>
    <t>A8B5A0</t>
  </si>
  <si>
    <t>96A28D</t>
  </si>
  <si>
    <t>818D75</t>
  </si>
  <si>
    <t>5C644E</t>
  </si>
  <si>
    <t>CDD1C4</t>
  </si>
  <si>
    <t>BCC1B2</t>
  </si>
  <si>
    <t>A3A99C</t>
  </si>
  <si>
    <t>878D80</t>
  </si>
  <si>
    <t>7B8071</t>
  </si>
  <si>
    <t>6D7264</t>
  </si>
  <si>
    <t>5A5C4F</t>
  </si>
  <si>
    <t>53554D</t>
  </si>
  <si>
    <t>CECEBE</t>
  </si>
  <si>
    <t>C1C1AF</t>
  </si>
  <si>
    <t>ACAE9D</t>
  </si>
  <si>
    <t>989B8A</t>
  </si>
  <si>
    <t>8E9080</t>
  </si>
  <si>
    <t>DBDDCA</t>
  </si>
  <si>
    <t>C4C8B0</t>
  </si>
  <si>
    <t>B5BCA5</t>
  </si>
  <si>
    <t>B1B5A1</t>
  </si>
  <si>
    <t>A0A58E</t>
  </si>
  <si>
    <t>8A8D75</t>
  </si>
  <si>
    <t>7A7D66</t>
  </si>
  <si>
    <t>64644F</t>
  </si>
  <si>
    <t>DEE0CD</t>
  </si>
  <si>
    <t>D1D5BD</t>
  </si>
  <si>
    <t>C5CBB1</t>
  </si>
  <si>
    <t>AFB69C</t>
  </si>
  <si>
    <t>929A80</t>
  </si>
  <si>
    <t>868D6F</t>
  </si>
  <si>
    <t>7A8164</t>
  </si>
  <si>
    <t>6C735D</t>
  </si>
  <si>
    <t>DAD5C7</t>
  </si>
  <si>
    <t>C4C0B0</t>
  </si>
  <si>
    <t>ACAB9D</t>
  </si>
  <si>
    <t>99988A</t>
  </si>
  <si>
    <t>8E8E80</t>
  </si>
  <si>
    <t>726F61</t>
  </si>
  <si>
    <t>5A5343</t>
  </si>
  <si>
    <t>D6D0C5</t>
  </si>
  <si>
    <t>C1BBAE</t>
  </si>
  <si>
    <t>A7A59C</t>
  </si>
  <si>
    <t>8D8980</t>
  </si>
  <si>
    <t>837F75</t>
  </si>
  <si>
    <t>7B766B</t>
  </si>
  <si>
    <t>DED6C9</t>
  </si>
  <si>
    <t>D2C9BB</t>
  </si>
  <si>
    <t>B0A89D</t>
  </si>
  <si>
    <t>958F87</t>
  </si>
  <si>
    <t>857C72</t>
  </si>
  <si>
    <t>706C64</t>
  </si>
  <si>
    <t>746C62</t>
  </si>
  <si>
    <t>64594D</t>
  </si>
  <si>
    <t>DED5C6</t>
  </si>
  <si>
    <t>D1C6B5</t>
  </si>
  <si>
    <t>CCBEAD</t>
  </si>
  <si>
    <t>C8B8A6</t>
  </si>
  <si>
    <t>B0A494</t>
  </si>
  <si>
    <t>998C7C</t>
  </si>
  <si>
    <t>7D6E5D</t>
  </si>
  <si>
    <t>695B4B</t>
  </si>
  <si>
    <t>D6CCBD</t>
  </si>
  <si>
    <t>C7BDAD</t>
  </si>
  <si>
    <t>B2AA9D</t>
  </si>
  <si>
    <t>ABA195</t>
  </si>
  <si>
    <t>988F81</t>
  </si>
  <si>
    <t>867C6D</t>
  </si>
  <si>
    <t>766D5E</t>
  </si>
  <si>
    <t>DDD4CA</t>
  </si>
  <si>
    <t>D0C7BC</t>
  </si>
  <si>
    <t>C5BCB0</t>
  </si>
  <si>
    <t>B9B4A8</t>
  </si>
  <si>
    <t>A8A097</t>
  </si>
  <si>
    <t>867D72</t>
  </si>
  <si>
    <t>837A6E</t>
  </si>
  <si>
    <t>D5CDB6</t>
  </si>
  <si>
    <t>D2C5A9</t>
  </si>
  <si>
    <t>CBC1A9</t>
  </si>
  <si>
    <t>A49C86</t>
  </si>
  <si>
    <t>867C63</t>
  </si>
  <si>
    <t>786A4E</t>
  </si>
  <si>
    <t>5F523E</t>
  </si>
  <si>
    <t>E7DDCC</t>
  </si>
  <si>
    <t>E2D6C2</t>
  </si>
  <si>
    <t>C6B9A6</t>
  </si>
  <si>
    <t>AEA08C</t>
  </si>
  <si>
    <t>A19077</t>
  </si>
  <si>
    <t>59493F</t>
  </si>
  <si>
    <t>8F743C</t>
  </si>
  <si>
    <t>7B683B</t>
  </si>
  <si>
    <t>7D6639</t>
  </si>
  <si>
    <t>72603B</t>
  </si>
  <si>
    <t>6F644A</t>
  </si>
  <si>
    <t>9D7B42</t>
  </si>
  <si>
    <t>6A5E47</t>
  </si>
  <si>
    <t>6D614C</t>
  </si>
  <si>
    <t>665E4A</t>
  </si>
  <si>
    <t>F1E6D2</t>
  </si>
  <si>
    <t>EFE0C7</t>
  </si>
  <si>
    <t>E1CBA7</t>
  </si>
  <si>
    <t>D1BA96</t>
  </si>
  <si>
    <t>BEA57E</t>
  </si>
  <si>
    <t>B2966A</t>
  </si>
  <si>
    <t>A6895E</t>
  </si>
  <si>
    <t>91764B</t>
  </si>
  <si>
    <t>F0E6D2</t>
  </si>
  <si>
    <t>EBDEC7</t>
  </si>
  <si>
    <t>E0CDAE</t>
  </si>
  <si>
    <t>D1BB9C</t>
  </si>
  <si>
    <t>BCA381</t>
  </si>
  <si>
    <t>B39871</t>
  </si>
  <si>
    <t>A18660</t>
  </si>
  <si>
    <t>856C4B</t>
  </si>
  <si>
    <t>F3E5CC</t>
  </si>
  <si>
    <t>F1DBBD</t>
  </si>
  <si>
    <t>EACDA7</t>
  </si>
  <si>
    <t>DEBC97</t>
  </si>
  <si>
    <t>CBA479</t>
  </si>
  <si>
    <t>BC9161</t>
  </si>
  <si>
    <t>B38859</t>
  </si>
  <si>
    <t>9C744A</t>
  </si>
  <si>
    <t>EFE0CB</t>
  </si>
  <si>
    <t>EAD8BE</t>
  </si>
  <si>
    <t>E3CCAE</t>
  </si>
  <si>
    <t>D4BA9D</t>
  </si>
  <si>
    <t>BFA080</t>
  </si>
  <si>
    <t>B49370</t>
  </si>
  <si>
    <t>A48462</t>
  </si>
  <si>
    <t>91704F</t>
  </si>
  <si>
    <t>A27F5E</t>
  </si>
  <si>
    <t>A3835D</t>
  </si>
  <si>
    <t>8B7052</t>
  </si>
  <si>
    <t>7D6449</t>
  </si>
  <si>
    <t>6F5B46</t>
  </si>
  <si>
    <t>5D4F42</t>
  </si>
  <si>
    <t>EFDFCB</t>
  </si>
  <si>
    <t>E8D3BA</t>
  </si>
  <si>
    <t>E1C5A9</t>
  </si>
  <si>
    <t>D1B296</t>
  </si>
  <si>
    <t>BB9C7F</t>
  </si>
  <si>
    <t>AF8C6B</t>
  </si>
  <si>
    <t>A27B5B</t>
  </si>
  <si>
    <t>916D4C</t>
  </si>
  <si>
    <t>EBDCCD</t>
  </si>
  <si>
    <t>E4D1BF</t>
  </si>
  <si>
    <t>DBC3AE</t>
  </si>
  <si>
    <t>D3B9A3</t>
  </si>
  <si>
    <t>BEA694</t>
  </si>
  <si>
    <t>A48B77</t>
  </si>
  <si>
    <t>8A6E59</t>
  </si>
  <si>
    <t>7A604C</t>
  </si>
  <si>
    <t>F3E3D1</t>
  </si>
  <si>
    <t>F2DCC4</t>
  </si>
  <si>
    <t>EBCFB3</t>
  </si>
  <si>
    <t>E7C8A9</t>
  </si>
  <si>
    <t>DBB79A</t>
  </si>
  <si>
    <t>C89E7D</t>
  </si>
  <si>
    <t>AC7D5A</t>
  </si>
  <si>
    <t>9E6F4A</t>
  </si>
  <si>
    <t>F1E4D3</t>
  </si>
  <si>
    <t>E9D0B9</t>
  </si>
  <si>
    <t>E5C8B0</t>
  </si>
  <si>
    <t>D1AF96</t>
  </si>
  <si>
    <t>BB987E</t>
  </si>
  <si>
    <t>AF896B</t>
  </si>
  <si>
    <t>9F795E</t>
  </si>
  <si>
    <t>86624A</t>
  </si>
  <si>
    <t>EFDFCE</t>
  </si>
  <si>
    <t>E7CEB8</t>
  </si>
  <si>
    <t>DCBDA5</t>
  </si>
  <si>
    <t>CAAC97</t>
  </si>
  <si>
    <t>B19179</t>
  </si>
  <si>
    <t>A48167</t>
  </si>
  <si>
    <t>99745C</t>
  </si>
  <si>
    <t>EAD2BE</t>
  </si>
  <si>
    <t>DBBBA5</t>
  </si>
  <si>
    <t>C9A995</t>
  </si>
  <si>
    <t>AF8E79</t>
  </si>
  <si>
    <t>A7826A</t>
  </si>
  <si>
    <t>97735C</t>
  </si>
  <si>
    <t>805D47</t>
  </si>
  <si>
    <t>6B5044</t>
  </si>
  <si>
    <t>9C693E</t>
  </si>
  <si>
    <t>8D623E</t>
  </si>
  <si>
    <t>8D5D3F</t>
  </si>
  <si>
    <t>875D40</t>
  </si>
  <si>
    <t>805C41</t>
  </si>
  <si>
    <t>6D5343</t>
  </si>
  <si>
    <t>5E4C3E</t>
  </si>
  <si>
    <t>A67A5F</t>
  </si>
  <si>
    <t>AC795E</t>
  </si>
  <si>
    <t>A26B4D</t>
  </si>
  <si>
    <t>925D45</t>
  </si>
  <si>
    <t>875D49</t>
  </si>
  <si>
    <t>7E5B49</t>
  </si>
  <si>
    <t>785C4B</t>
  </si>
  <si>
    <t>D6BDA3</t>
  </si>
  <si>
    <t>AA8B70</t>
  </si>
  <si>
    <t>A3826A</t>
  </si>
  <si>
    <t>8E725A</t>
  </si>
  <si>
    <t>7E624F</t>
  </si>
  <si>
    <t>75574A</t>
  </si>
  <si>
    <t>594F4A</t>
  </si>
  <si>
    <t>F3E5D4</t>
  </si>
  <si>
    <t>F2D4B9</t>
  </si>
  <si>
    <t>EFC9AC</t>
  </si>
  <si>
    <t>EAC0A3</t>
  </si>
  <si>
    <t>DDAD90</t>
  </si>
  <si>
    <t>C99374</t>
  </si>
  <si>
    <t>B27856</t>
  </si>
  <si>
    <t>A16646</t>
  </si>
  <si>
    <t>F1E0D1</t>
  </si>
  <si>
    <t>ECD5C3</t>
  </si>
  <si>
    <t>DEBBA3</t>
  </si>
  <si>
    <t>CCA692</t>
  </si>
  <si>
    <t>BF9680</t>
  </si>
  <si>
    <t>B2856D</t>
  </si>
  <si>
    <t>A3745D</t>
  </si>
  <si>
    <t>F2DBCC</t>
  </si>
  <si>
    <t>EFC7B5</t>
  </si>
  <si>
    <t>E7B6A2</t>
  </si>
  <si>
    <t>E6B39E</t>
  </si>
  <si>
    <t>D59F8D</t>
  </si>
  <si>
    <t>C08371</t>
  </si>
  <si>
    <t>A76955</t>
  </si>
  <si>
    <t>9D5646</t>
  </si>
  <si>
    <t>EED6CB</t>
  </si>
  <si>
    <t>EFD0C2</t>
  </si>
  <si>
    <t>E2B6A5</t>
  </si>
  <si>
    <t>D4A597</t>
  </si>
  <si>
    <t>C69384</t>
  </si>
  <si>
    <t>B37765</t>
  </si>
  <si>
    <t>A46856</t>
  </si>
  <si>
    <t>8A5443</t>
  </si>
  <si>
    <t>9C6B60</t>
  </si>
  <si>
    <t>84554C</t>
  </si>
  <si>
    <t>6F4F44</t>
  </si>
  <si>
    <t>6C5146</t>
  </si>
  <si>
    <t>5F4740</t>
  </si>
  <si>
    <t>F8DCCF</t>
  </si>
  <si>
    <t>F0C3B2</t>
  </si>
  <si>
    <t>E5A996</t>
  </si>
  <si>
    <t>D79887</t>
  </si>
  <si>
    <t>C17C6D</t>
  </si>
  <si>
    <t>BF725F</t>
  </si>
  <si>
    <t>AC6451</t>
  </si>
  <si>
    <t>8E4B3F</t>
  </si>
  <si>
    <t>E8C8BD</t>
  </si>
  <si>
    <t>E0BAAD</t>
  </si>
  <si>
    <t>D4A69A</t>
  </si>
  <si>
    <t>C0938A</t>
  </si>
  <si>
    <t>A37064</t>
  </si>
  <si>
    <t>6E4845</t>
  </si>
  <si>
    <t>E9DBD1</t>
  </si>
  <si>
    <t>D9C4B9</t>
  </si>
  <si>
    <t>CCB4A8</t>
  </si>
  <si>
    <t>B8A097</t>
  </si>
  <si>
    <t>A78E85</t>
  </si>
  <si>
    <t>997D71</t>
  </si>
  <si>
    <t>82675B</t>
  </si>
  <si>
    <t>6C4E48</t>
  </si>
  <si>
    <t>D9C9C0</t>
  </si>
  <si>
    <t>CBB9B0</t>
  </si>
  <si>
    <t>C2AEA5</t>
  </si>
  <si>
    <t>AC9993</t>
  </si>
  <si>
    <t>8C766D</t>
  </si>
  <si>
    <t>6E5D53</t>
  </si>
  <si>
    <t>5B4942</t>
  </si>
  <si>
    <t>F4D4CA</t>
  </si>
  <si>
    <t>EDBCB1</t>
  </si>
  <si>
    <t>E6AAA0</t>
  </si>
  <si>
    <t>CB877E</t>
  </si>
  <si>
    <t>CA8379</t>
  </si>
  <si>
    <t>B36C64</t>
  </si>
  <si>
    <t>A65B4F</t>
  </si>
  <si>
    <t>8A4A45</t>
  </si>
  <si>
    <t>E1CEB8</t>
  </si>
  <si>
    <t>EDDAC7</t>
  </si>
  <si>
    <t>ECCEBA</t>
  </si>
  <si>
    <t>C3937C</t>
  </si>
  <si>
    <t>BD7D6C</t>
  </si>
  <si>
    <t>B86D62</t>
  </si>
  <si>
    <t>9F574B</t>
  </si>
  <si>
    <t>8C483A</t>
  </si>
  <si>
    <t>E8D2C9</t>
  </si>
  <si>
    <t>F3D5CE</t>
  </si>
  <si>
    <t>F3CCC4</t>
  </si>
  <si>
    <t>E6BEB3</t>
  </si>
  <si>
    <t>E1B5A7</t>
  </si>
  <si>
    <t>D6A499</t>
  </si>
  <si>
    <t>9F7B70</t>
  </si>
  <si>
    <t>D9C7BB</t>
  </si>
  <si>
    <t>DEC0B4</t>
  </si>
  <si>
    <t>E2BFB3</t>
  </si>
  <si>
    <t>EFBAAD</t>
  </si>
  <si>
    <t>DFA79C</t>
  </si>
  <si>
    <t>AD776D</t>
  </si>
  <si>
    <t>B2736A</t>
  </si>
  <si>
    <t>F6DDCF</t>
  </si>
  <si>
    <t>F9D9C9</t>
  </si>
  <si>
    <t>FED0C5</t>
  </si>
  <si>
    <t>F9C9BC</t>
  </si>
  <si>
    <t>E3B1A9</t>
  </si>
  <si>
    <t>CCA49D</t>
  </si>
  <si>
    <t>BE8985</t>
  </si>
  <si>
    <t>7A4841</t>
  </si>
  <si>
    <t>E2D1C7</t>
  </si>
  <si>
    <t>F6E5DB</t>
  </si>
  <si>
    <t>F7E3DD</t>
  </si>
  <si>
    <t>EDD4D1</t>
  </si>
  <si>
    <t>D9BBB1</t>
  </si>
  <si>
    <t>CAABA2</t>
  </si>
  <si>
    <t>B8958E</t>
  </si>
  <si>
    <t>8A4D4A</t>
  </si>
  <si>
    <t>F1DEDB</t>
  </si>
  <si>
    <t>DCC1C3</t>
  </si>
  <si>
    <t>D1B0B4</t>
  </si>
  <si>
    <t>BD9DA3</t>
  </si>
  <si>
    <t>A48289</t>
  </si>
  <si>
    <t>8C686A</t>
  </si>
  <si>
    <t>774A4C</t>
  </si>
  <si>
    <t>EAD7D3</t>
  </si>
  <si>
    <t>E2CCC9</t>
  </si>
  <si>
    <t>D6BDBA</t>
  </si>
  <si>
    <t>C9ACAA</t>
  </si>
  <si>
    <t>B39797</t>
  </si>
  <si>
    <t>98797A</t>
  </si>
  <si>
    <t>6E4143</t>
  </si>
  <si>
    <t>EBD3D3</t>
  </si>
  <si>
    <t>E7C7CB</t>
  </si>
  <si>
    <t>DFB8BE</t>
  </si>
  <si>
    <t>CCA5AE</t>
  </si>
  <si>
    <t>B38893</t>
  </si>
  <si>
    <t>9B6E78</t>
  </si>
  <si>
    <t>6C4850</t>
  </si>
  <si>
    <t>E6D0D3</t>
  </si>
  <si>
    <t>D6B9BD</t>
  </si>
  <si>
    <t>D1B2B7</t>
  </si>
  <si>
    <t>C29FA6</t>
  </si>
  <si>
    <t>A8818B</t>
  </si>
  <si>
    <t>90676C</t>
  </si>
  <si>
    <t>7A4F58</t>
  </si>
  <si>
    <t>947F7B</t>
  </si>
  <si>
    <t>7C625A</t>
  </si>
  <si>
    <t>79625C</t>
  </si>
  <si>
    <t>725B54</t>
  </si>
  <si>
    <t>6C574F</t>
  </si>
  <si>
    <t>61534B</t>
  </si>
  <si>
    <t>4F4744</t>
  </si>
  <si>
    <t>ACAAA9</t>
  </si>
  <si>
    <t>A7A3A5</t>
  </si>
  <si>
    <t>85746F</t>
  </si>
  <si>
    <t>584B45</t>
  </si>
  <si>
    <t>D4CCC4</t>
  </si>
  <si>
    <t>D8C9C4</t>
  </si>
  <si>
    <t>C9B9B4</t>
  </si>
  <si>
    <t>BBA8A4</t>
  </si>
  <si>
    <t>A29292</t>
  </si>
  <si>
    <t>715E5B</t>
  </si>
  <si>
    <t>5B4842</t>
  </si>
  <si>
    <t>DBD1C8</t>
  </si>
  <si>
    <t>D1C5BC</t>
  </si>
  <si>
    <t>C1B3AB</t>
  </si>
  <si>
    <t>A79B95</t>
  </si>
  <si>
    <t>90827D</t>
  </si>
  <si>
    <t>7F6F67</t>
  </si>
  <si>
    <t>74655E</t>
  </si>
  <si>
    <t>E6DBCF</t>
  </si>
  <si>
    <t>D9CCC0</t>
  </si>
  <si>
    <t>C6B7AA</t>
  </si>
  <si>
    <t>AEA39A</t>
  </si>
  <si>
    <t>968C82</t>
  </si>
  <si>
    <t>897B70</t>
  </si>
  <si>
    <t>776B60</t>
  </si>
  <si>
    <t>64564A</t>
  </si>
  <si>
    <t>DACFC4</t>
  </si>
  <si>
    <t>C6B6AA</t>
  </si>
  <si>
    <t>B0A197</t>
  </si>
  <si>
    <t>A09085</t>
  </si>
  <si>
    <t>69564A</t>
  </si>
  <si>
    <t>E1D1C2</t>
  </si>
  <si>
    <t>D4C2B2</t>
  </si>
  <si>
    <t>C4B0A0</t>
  </si>
  <si>
    <t>B09E91</t>
  </si>
  <si>
    <t>97867A</t>
  </si>
  <si>
    <t>7E6B5E</t>
  </si>
  <si>
    <t>70584C</t>
  </si>
  <si>
    <t>CE4A51</t>
  </si>
  <si>
    <t>C73D3C</t>
  </si>
  <si>
    <t>B94A4E</t>
  </si>
  <si>
    <t>BA3E44</t>
  </si>
  <si>
    <t>A0464E</t>
  </si>
  <si>
    <t>A5414F</t>
  </si>
  <si>
    <t>694C4C</t>
  </si>
  <si>
    <t>EF8141</t>
  </si>
  <si>
    <t>E37342</t>
  </si>
  <si>
    <t>E27043</t>
  </si>
  <si>
    <t>E86543</t>
  </si>
  <si>
    <t>DB5849</t>
  </si>
  <si>
    <t>BC4D42</t>
  </si>
  <si>
    <t>B83F3E</t>
  </si>
  <si>
    <t>9B4841</t>
  </si>
  <si>
    <t>F57E33</t>
  </si>
  <si>
    <t>F27C35</t>
  </si>
  <si>
    <t>EF6F38</t>
  </si>
  <si>
    <t>DD653C</t>
  </si>
  <si>
    <t>DC5439</t>
  </si>
  <si>
    <t>D34B3D</t>
  </si>
  <si>
    <t>BA433A</t>
  </si>
  <si>
    <t>A85141</t>
  </si>
  <si>
    <t>FB9C31</t>
  </si>
  <si>
    <t>FE9B4F</t>
  </si>
  <si>
    <t>FE932B</t>
  </si>
  <si>
    <t>F99434</t>
  </si>
  <si>
    <t>F38933</t>
  </si>
  <si>
    <t>E1753A</t>
  </si>
  <si>
    <t>AD5B39</t>
  </si>
  <si>
    <t>9E5639</t>
  </si>
  <si>
    <t>FCA734</t>
  </si>
  <si>
    <t>FEAF48</t>
  </si>
  <si>
    <t>FEA800</t>
  </si>
  <si>
    <t>FEAB1E</t>
  </si>
  <si>
    <t>FBA122</t>
  </si>
  <si>
    <t>EF9F26</t>
  </si>
  <si>
    <t>D99531</t>
  </si>
  <si>
    <t>BF8843</t>
  </si>
  <si>
    <t>FEC547</t>
  </si>
  <si>
    <t>FEC140</t>
  </si>
  <si>
    <t>FEB600</t>
  </si>
  <si>
    <t>F9AD30</t>
  </si>
  <si>
    <t>F3AE35</t>
  </si>
  <si>
    <t>EDAB2A</t>
  </si>
  <si>
    <t>E7A230</t>
  </si>
  <si>
    <t>C59552</t>
  </si>
  <si>
    <t>FEC22C</t>
  </si>
  <si>
    <t>FEBF19</t>
  </si>
  <si>
    <t>F1BC47</t>
  </si>
  <si>
    <t>EDB130</t>
  </si>
  <si>
    <t>E6AD3E</t>
  </si>
  <si>
    <t>DAA83D</t>
  </si>
  <si>
    <t>CB9430</t>
  </si>
  <si>
    <t>BE8D40</t>
  </si>
  <si>
    <t>FECE48</t>
  </si>
  <si>
    <t>FECA26</t>
  </si>
  <si>
    <t>FEC200</t>
  </si>
  <si>
    <t>EAB630</t>
  </si>
  <si>
    <t>D7AD55</t>
  </si>
  <si>
    <t>DBB032</t>
  </si>
  <si>
    <t>D3A72E</t>
  </si>
  <si>
    <t>CB9E36</t>
  </si>
  <si>
    <t>FED64E</t>
  </si>
  <si>
    <t>FECC44</t>
  </si>
  <si>
    <t>FEC52E</t>
  </si>
  <si>
    <t>EEB81B</t>
  </si>
  <si>
    <t>D3B733</t>
  </si>
  <si>
    <t>CCAE27</t>
  </si>
  <si>
    <t>AF9E36</t>
  </si>
  <si>
    <t>FACA17</t>
  </si>
  <si>
    <t>DFC941</t>
  </si>
  <si>
    <t>CCC038</t>
  </si>
  <si>
    <t>AAB233</t>
  </si>
  <si>
    <t>ADB328</t>
  </si>
  <si>
    <t>929D3A</t>
  </si>
  <si>
    <t>78874D</t>
  </si>
  <si>
    <t>65844C</t>
  </si>
  <si>
    <t>D9D25C</t>
  </si>
  <si>
    <t>D9CF4C</t>
  </si>
  <si>
    <t>CFC831</t>
  </si>
  <si>
    <t>B0C645</t>
  </si>
  <si>
    <t>7AA834</t>
  </si>
  <si>
    <t>4CB067</t>
  </si>
  <si>
    <t>39734F</t>
  </si>
  <si>
    <t>36B07F</t>
  </si>
  <si>
    <t>03A873</t>
  </si>
  <si>
    <t>009B6C</t>
  </si>
  <si>
    <t>007F55</t>
  </si>
  <si>
    <t>346C4D</t>
  </si>
  <si>
    <t>3F6E4F</t>
  </si>
  <si>
    <t>009BA7</t>
  </si>
  <si>
    <t>008D9F</t>
  </si>
  <si>
    <t>007D91</t>
  </si>
  <si>
    <t>356B74</t>
  </si>
  <si>
    <t>365C5F</t>
  </si>
  <si>
    <t>38555D</t>
  </si>
  <si>
    <t>63B0D1</t>
  </si>
  <si>
    <t>4BA1C3</t>
  </si>
  <si>
    <t>0086B1</t>
  </si>
  <si>
    <t>007C9F</t>
  </si>
  <si>
    <t>006A7E</t>
  </si>
  <si>
    <t>2E5B6F</t>
  </si>
  <si>
    <t>6AAFD9</t>
  </si>
  <si>
    <t>55A3D3</t>
  </si>
  <si>
    <t>2176AC</t>
  </si>
  <si>
    <t>0077AB</t>
  </si>
  <si>
    <t>00699D</t>
  </si>
  <si>
    <t>1D628A</t>
  </si>
  <si>
    <t>3C5370</t>
  </si>
  <si>
    <t>6C639A</t>
  </si>
  <si>
    <t>5C4F80</t>
  </si>
  <si>
    <t>4F4F82</t>
  </si>
  <si>
    <t>484C7B</t>
  </si>
  <si>
    <t>404E7E</t>
  </si>
  <si>
    <t>41567C</t>
  </si>
  <si>
    <t>434F65</t>
  </si>
  <si>
    <t>CA6EA2</t>
  </si>
  <si>
    <t>C56496</t>
  </si>
  <si>
    <t>8E537F</t>
  </si>
  <si>
    <t>6B4C6C</t>
  </si>
  <si>
    <t>5C4B6A</t>
  </si>
  <si>
    <t>DC7E9C</t>
  </si>
  <si>
    <t>D47094</t>
  </si>
  <si>
    <t>A64668</t>
  </si>
  <si>
    <t>8F4758</t>
  </si>
  <si>
    <t>89435D</t>
  </si>
  <si>
    <t>75475D</t>
  </si>
  <si>
    <t>6C4454</t>
  </si>
  <si>
    <t>613D4E</t>
  </si>
  <si>
    <t>E8778C</t>
  </si>
  <si>
    <t>C04756</t>
  </si>
  <si>
    <t>A74D5D</t>
  </si>
  <si>
    <t>A2495B</t>
  </si>
  <si>
    <t>7F454B</t>
  </si>
  <si>
    <t>71474B</t>
  </si>
  <si>
    <t>A24B53</t>
  </si>
  <si>
    <t>AA4B5A</t>
  </si>
  <si>
    <t>994A5B</t>
  </si>
  <si>
    <t>9E4957</t>
  </si>
  <si>
    <t>82484F</t>
  </si>
  <si>
    <t>764060</t>
  </si>
  <si>
    <t>994264</t>
  </si>
  <si>
    <t>765375</t>
  </si>
  <si>
    <t>915788</t>
  </si>
  <si>
    <t>754773</t>
  </si>
  <si>
    <t>654763</t>
  </si>
  <si>
    <t>775E86</t>
  </si>
  <si>
    <t>625977</t>
  </si>
  <si>
    <t>656195</t>
  </si>
  <si>
    <t>534977</t>
  </si>
  <si>
    <t>898195</t>
  </si>
  <si>
    <t>756E81</t>
  </si>
  <si>
    <t>524E70</t>
  </si>
  <si>
    <t>667492</t>
  </si>
  <si>
    <t>536684</t>
  </si>
  <si>
    <t>455069</t>
  </si>
  <si>
    <t>415273</t>
  </si>
  <si>
    <t>384251</t>
  </si>
  <si>
    <t>567385</t>
  </si>
  <si>
    <t>306194</t>
  </si>
  <si>
    <t>486E81</t>
  </si>
  <si>
    <t>307490</t>
  </si>
  <si>
    <t>305561</t>
  </si>
  <si>
    <t>325766</t>
  </si>
  <si>
    <t>008195</t>
  </si>
  <si>
    <t>127E88</t>
  </si>
  <si>
    <t>006E76</t>
  </si>
  <si>
    <t>009396</t>
  </si>
  <si>
    <t>008490</t>
  </si>
  <si>
    <t>719696</t>
  </si>
  <si>
    <t>729492</t>
  </si>
  <si>
    <t>547675</t>
  </si>
  <si>
    <t>449691</t>
  </si>
  <si>
    <t>007673</t>
  </si>
  <si>
    <t>007364</t>
  </si>
  <si>
    <t>009188</t>
  </si>
  <si>
    <t>335152</t>
  </si>
  <si>
    <t>439186</t>
  </si>
  <si>
    <t>009883</t>
  </si>
  <si>
    <t>008471</t>
  </si>
  <si>
    <t>166961</t>
  </si>
  <si>
    <t>009676</t>
  </si>
  <si>
    <t>157967</t>
  </si>
  <si>
    <t>007969</t>
  </si>
  <si>
    <t>008062</t>
  </si>
  <si>
    <t>116757</t>
  </si>
  <si>
    <t>588771</t>
  </si>
  <si>
    <t>528269</t>
  </si>
  <si>
    <t>325142</t>
  </si>
  <si>
    <t>519E40</t>
  </si>
  <si>
    <t>507648</t>
  </si>
  <si>
    <t>809647</t>
  </si>
  <si>
    <t>558048</t>
  </si>
  <si>
    <t>768042</t>
  </si>
  <si>
    <t>779748</t>
  </si>
  <si>
    <t>809668</t>
  </si>
  <si>
    <t>939973</t>
  </si>
  <si>
    <t>819041</t>
  </si>
  <si>
    <t>728544</t>
  </si>
  <si>
    <t>666E43</t>
  </si>
  <si>
    <t>869E45</t>
  </si>
  <si>
    <t>626946</t>
  </si>
  <si>
    <t>606040</t>
  </si>
  <si>
    <t>817344</t>
  </si>
  <si>
    <t>965940</t>
  </si>
  <si>
    <t>895949</t>
  </si>
  <si>
    <t>825849</t>
  </si>
  <si>
    <t>864E43</t>
  </si>
  <si>
    <t>754041</t>
  </si>
  <si>
    <t>835442</t>
  </si>
  <si>
    <t>835242</t>
  </si>
  <si>
    <t>834E42</t>
  </si>
  <si>
    <t>925149</t>
  </si>
  <si>
    <t>703E41</t>
  </si>
  <si>
    <t>924651</t>
  </si>
  <si>
    <t>674146</t>
  </si>
  <si>
    <t>814965</t>
  </si>
  <si>
    <t>615669</t>
  </si>
  <si>
    <t>998292</t>
  </si>
  <si>
    <t>715569</t>
  </si>
  <si>
    <t>504954</t>
  </si>
  <si>
    <t>695865</t>
  </si>
  <si>
    <t>594851</t>
  </si>
  <si>
    <t>896778</t>
  </si>
  <si>
    <t>806177</t>
  </si>
  <si>
    <t>918682</t>
  </si>
  <si>
    <t>887E79</t>
  </si>
  <si>
    <t>847982</t>
  </si>
  <si>
    <t>716762</t>
  </si>
  <si>
    <t>675158</t>
  </si>
  <si>
    <t>969195</t>
  </si>
  <si>
    <t>898789</t>
  </si>
  <si>
    <t>767477</t>
  </si>
  <si>
    <t>737072</t>
  </si>
  <si>
    <t>778790</t>
  </si>
  <si>
    <t>535456</t>
  </si>
  <si>
    <t>536166</t>
  </si>
  <si>
    <t>344845</t>
  </si>
  <si>
    <t>708693</t>
  </si>
  <si>
    <t>546671</t>
  </si>
  <si>
    <t>868685</t>
  </si>
  <si>
    <t>666562</t>
  </si>
  <si>
    <t>818987</t>
  </si>
  <si>
    <t>737678</t>
  </si>
  <si>
    <t>838584</t>
  </si>
  <si>
    <t>717270</t>
  </si>
  <si>
    <t>636563</t>
  </si>
  <si>
    <t>868580</t>
  </si>
  <si>
    <t>747270</t>
  </si>
  <si>
    <t>676665</t>
  </si>
  <si>
    <t>636262</t>
  </si>
  <si>
    <t>605653</t>
  </si>
  <si>
    <t>767271</t>
  </si>
  <si>
    <t>797470</t>
  </si>
  <si>
    <t>808989</t>
  </si>
  <si>
    <t>616866</t>
  </si>
  <si>
    <t>686963</t>
  </si>
  <si>
    <t>869394</t>
  </si>
  <si>
    <t>405053</t>
  </si>
  <si>
    <t>819796</t>
  </si>
  <si>
    <t>617571</t>
  </si>
  <si>
    <t>909E93</t>
  </si>
  <si>
    <t>637165</t>
  </si>
  <si>
    <t>849186</t>
  </si>
  <si>
    <t>788073</t>
  </si>
  <si>
    <t>677167</t>
  </si>
  <si>
    <t>728068</t>
  </si>
  <si>
    <t>717362</t>
  </si>
  <si>
    <t>616151</t>
  </si>
  <si>
    <t>545243</t>
  </si>
  <si>
    <t>625E50</t>
  </si>
  <si>
    <t>746E64</t>
  </si>
  <si>
    <t>565147</t>
  </si>
  <si>
    <t>685E50</t>
  </si>
  <si>
    <t>776E63</t>
  </si>
  <si>
    <t>938970</t>
  </si>
  <si>
    <t>928269</t>
  </si>
  <si>
    <t>655745</t>
  </si>
  <si>
    <t>877038</t>
  </si>
  <si>
    <t>726448</t>
  </si>
  <si>
    <t>595041</t>
  </si>
  <si>
    <t>907851</t>
  </si>
  <si>
    <t>816945</t>
  </si>
  <si>
    <t>716046</t>
  </si>
  <si>
    <t>635947</t>
  </si>
  <si>
    <t>765E46</t>
  </si>
  <si>
    <t>795E42</t>
  </si>
  <si>
    <t>896650</t>
  </si>
  <si>
    <t>896346</t>
  </si>
  <si>
    <t>715548</t>
  </si>
  <si>
    <t>604E42</t>
  </si>
  <si>
    <t>735346</t>
  </si>
  <si>
    <t>724E45</t>
  </si>
  <si>
    <t>655046</t>
  </si>
  <si>
    <t>594642</t>
  </si>
  <si>
    <t>936054</t>
  </si>
  <si>
    <t>644642</t>
  </si>
  <si>
    <t>756159</t>
  </si>
  <si>
    <t>956E63</t>
  </si>
  <si>
    <t>956058</t>
  </si>
  <si>
    <t>684344</t>
  </si>
  <si>
    <t>846161</t>
  </si>
  <si>
    <t>764752</t>
  </si>
  <si>
    <t>784852</t>
  </si>
  <si>
    <t>927169</t>
  </si>
  <si>
    <t>988E87</t>
  </si>
  <si>
    <t>807570</t>
  </si>
  <si>
    <t>756866</t>
  </si>
  <si>
    <t>685954</t>
  </si>
  <si>
    <t>877778</t>
  </si>
  <si>
    <t>534842</t>
  </si>
  <si>
    <t>917E71</t>
  </si>
  <si>
    <t>806E61</t>
  </si>
  <si>
    <t>655342</t>
  </si>
  <si>
    <t>685547</t>
  </si>
  <si>
    <t>914048</t>
  </si>
  <si>
    <t>918337</t>
  </si>
  <si>
    <t>208264</t>
  </si>
  <si>
    <t>008863</t>
  </si>
  <si>
    <t>446559</t>
  </si>
  <si>
    <t>007681</t>
  </si>
  <si>
    <t>386468</t>
  </si>
  <si>
    <t>007791</t>
  </si>
  <si>
    <t>006982</t>
  </si>
  <si>
    <t>355775</t>
  </si>
  <si>
    <t>695283</t>
  </si>
  <si>
    <t>884769</t>
  </si>
  <si>
    <t>704964</t>
  </si>
  <si>
    <t>584454</t>
  </si>
  <si>
    <t>804E55</t>
  </si>
  <si>
    <t>614850</t>
  </si>
  <si>
    <t>994853</t>
  </si>
  <si>
    <t>904753</t>
  </si>
  <si>
    <t>9436</t>
  </si>
  <si>
    <t>8108</t>
  </si>
  <si>
    <t>8116</t>
  </si>
  <si>
    <t>8716</t>
  </si>
  <si>
    <t>8099</t>
  </si>
  <si>
    <t>8092</t>
  </si>
  <si>
    <t>8124</t>
  </si>
  <si>
    <t>5182</t>
  </si>
  <si>
    <t>8100</t>
  </si>
  <si>
    <t>8140</t>
  </si>
  <si>
    <t>8060</t>
  </si>
  <si>
    <t>8084</t>
  </si>
  <si>
    <t>8036</t>
  </si>
  <si>
    <t>8676</t>
  </si>
  <si>
    <t>8620</t>
  </si>
  <si>
    <t>8012</t>
  </si>
  <si>
    <t>7148</t>
  </si>
  <si>
    <t>8204</t>
  </si>
  <si>
    <t>L178</t>
  </si>
  <si>
    <t>8068</t>
  </si>
  <si>
    <t>8052</t>
  </si>
  <si>
    <t>L139</t>
  </si>
  <si>
    <t>0945</t>
  </si>
  <si>
    <t>9516</t>
  </si>
  <si>
    <t>L164</t>
  </si>
  <si>
    <t>L145</t>
  </si>
  <si>
    <t>L140</t>
  </si>
  <si>
    <t>L138</t>
  </si>
  <si>
    <t>L147</t>
  </si>
  <si>
    <t>5184</t>
  </si>
  <si>
    <t>8020</t>
  </si>
  <si>
    <t>0951</t>
  </si>
  <si>
    <t>L107</t>
  </si>
  <si>
    <t>8636</t>
  </si>
  <si>
    <t>5232</t>
  </si>
  <si>
    <t>L142</t>
  </si>
  <si>
    <t>8028</t>
  </si>
  <si>
    <t>L132</t>
  </si>
  <si>
    <t>L127</t>
  </si>
  <si>
    <t>L131</t>
  </si>
  <si>
    <t>7948</t>
  </si>
  <si>
    <t>7860</t>
  </si>
  <si>
    <t>0307</t>
  </si>
  <si>
    <t>3203</t>
  </si>
  <si>
    <t>L188</t>
  </si>
  <si>
    <t>L189</t>
  </si>
  <si>
    <t>L190</t>
  </si>
  <si>
    <t>L129</t>
  </si>
  <si>
    <t>8004</t>
  </si>
  <si>
    <t>7996</t>
  </si>
  <si>
    <t>L141</t>
  </si>
  <si>
    <t>L151</t>
  </si>
  <si>
    <t>0952</t>
  </si>
  <si>
    <t>L173</t>
  </si>
  <si>
    <t>8460</t>
  </si>
  <si>
    <t>L135</t>
  </si>
  <si>
    <t>L150</t>
  </si>
  <si>
    <t>L126</t>
  </si>
  <si>
    <t>7972</t>
  </si>
  <si>
    <t>7988</t>
  </si>
  <si>
    <t>L160</t>
  </si>
  <si>
    <t>L133</t>
  </si>
  <si>
    <t>L136</t>
  </si>
  <si>
    <t>8764</t>
  </si>
  <si>
    <t>L146</t>
  </si>
  <si>
    <t>L148</t>
  </si>
  <si>
    <t>7940</t>
  </si>
  <si>
    <t>L124</t>
  </si>
  <si>
    <t>8500</t>
  </si>
  <si>
    <t>L134</t>
  </si>
  <si>
    <t>L157</t>
  </si>
  <si>
    <t>L158</t>
  </si>
  <si>
    <t>L143</t>
  </si>
  <si>
    <t>L183</t>
  </si>
  <si>
    <t>L103</t>
  </si>
  <si>
    <t>L156</t>
  </si>
  <si>
    <t>L102</t>
  </si>
  <si>
    <t>L179</t>
  </si>
  <si>
    <t>8476</t>
  </si>
  <si>
    <t>4148</t>
  </si>
  <si>
    <t>L125</t>
  </si>
  <si>
    <t>L123</t>
  </si>
  <si>
    <t>L104</t>
  </si>
  <si>
    <t>L101</t>
  </si>
  <si>
    <t>L149</t>
  </si>
  <si>
    <t>L174</t>
  </si>
  <si>
    <t>8436</t>
  </si>
  <si>
    <t>L159</t>
  </si>
  <si>
    <t>L144</t>
  </si>
  <si>
    <t>L170</t>
  </si>
  <si>
    <t>7932</t>
  </si>
  <si>
    <t>8444</t>
  </si>
  <si>
    <t>L105</t>
  </si>
  <si>
    <t>L122</t>
  </si>
  <si>
    <t>L175</t>
  </si>
  <si>
    <t>8483</t>
  </si>
  <si>
    <t>L152</t>
  </si>
  <si>
    <t>L155</t>
  </si>
  <si>
    <t>0765</t>
  </si>
  <si>
    <t>L153</t>
  </si>
  <si>
    <t>8484</t>
  </si>
  <si>
    <t>8428</t>
  </si>
  <si>
    <t>L109</t>
  </si>
  <si>
    <t>8300</t>
  </si>
  <si>
    <t>L154</t>
  </si>
  <si>
    <t>L121</t>
  </si>
  <si>
    <t>7836</t>
  </si>
  <si>
    <t>7916</t>
  </si>
  <si>
    <t>L176</t>
  </si>
  <si>
    <t>8412</t>
  </si>
  <si>
    <t>8292</t>
  </si>
  <si>
    <t>8332</t>
  </si>
  <si>
    <t>L161</t>
  </si>
  <si>
    <t>L165</t>
  </si>
  <si>
    <t>L172</t>
  </si>
  <si>
    <t>L177</t>
  </si>
  <si>
    <t>8372</t>
  </si>
  <si>
    <t>8348</t>
  </si>
  <si>
    <t>8404</t>
  </si>
  <si>
    <t>8396</t>
  </si>
  <si>
    <t>7220</t>
  </si>
  <si>
    <t>8260</t>
  </si>
  <si>
    <t>L118</t>
  </si>
  <si>
    <t>L120</t>
  </si>
  <si>
    <t>7668</t>
  </si>
  <si>
    <t>7676</t>
  </si>
  <si>
    <t>7660</t>
  </si>
  <si>
    <t>7684</t>
  </si>
  <si>
    <t>L166</t>
  </si>
  <si>
    <t>L171</t>
  </si>
  <si>
    <t>L169</t>
  </si>
  <si>
    <t>L108</t>
  </si>
  <si>
    <t>L185</t>
  </si>
  <si>
    <t>8388</t>
  </si>
  <si>
    <t>L117</t>
  </si>
  <si>
    <t>0947</t>
  </si>
  <si>
    <t>L163</t>
  </si>
  <si>
    <t>L119</t>
  </si>
  <si>
    <t>0763</t>
  </si>
  <si>
    <t>L112</t>
  </si>
  <si>
    <t>L116</t>
  </si>
  <si>
    <t>1205</t>
  </si>
  <si>
    <t>8316</t>
  </si>
  <si>
    <t>9484</t>
  </si>
  <si>
    <t>L162</t>
  </si>
  <si>
    <t>L186</t>
  </si>
  <si>
    <t>7252</t>
  </si>
  <si>
    <t>7420</t>
  </si>
  <si>
    <t>L113</t>
  </si>
  <si>
    <t>7556</t>
  </si>
  <si>
    <t>7612</t>
  </si>
  <si>
    <t>8347</t>
  </si>
  <si>
    <t>8259</t>
  </si>
  <si>
    <t>8276</t>
  </si>
  <si>
    <t>L111</t>
  </si>
  <si>
    <t>7492</t>
  </si>
  <si>
    <t>7572</t>
  </si>
  <si>
    <t>L115</t>
  </si>
  <si>
    <t>7588</t>
  </si>
  <si>
    <t>7564</t>
  </si>
  <si>
    <t>L184</t>
  </si>
  <si>
    <t>7236</t>
  </si>
  <si>
    <t>7276</t>
  </si>
  <si>
    <t>7332</t>
  </si>
  <si>
    <t>7444</t>
  </si>
  <si>
    <t>7476</t>
  </si>
  <si>
    <t>7491</t>
  </si>
  <si>
    <t>0977</t>
  </si>
  <si>
    <t>L181</t>
  </si>
  <si>
    <t>7300</t>
  </si>
  <si>
    <t>7308</t>
  </si>
  <si>
    <t>7348</t>
  </si>
  <si>
    <t>7388</t>
  </si>
  <si>
    <t>7412</t>
  </si>
  <si>
    <t>L114</t>
  </si>
  <si>
    <t>7460</t>
  </si>
  <si>
    <t>7228</t>
  </si>
  <si>
    <t>7251</t>
  </si>
  <si>
    <t>7364</t>
  </si>
  <si>
    <t>7372</t>
  </si>
  <si>
    <t>7347</t>
  </si>
  <si>
    <t>7419</t>
  </si>
  <si>
    <t>9228</t>
  </si>
  <si>
    <t>7363</t>
  </si>
  <si>
    <t>7188</t>
  </si>
  <si>
    <t>L180</t>
  </si>
  <si>
    <t>7156</t>
  </si>
  <si>
    <t>7172</t>
  </si>
  <si>
    <t>7164</t>
  </si>
  <si>
    <t>7155</t>
  </si>
  <si>
    <t>L187</t>
  </si>
  <si>
    <t>7163</t>
  </si>
  <si>
    <t>0766</t>
  </si>
  <si>
    <t>8212</t>
  </si>
  <si>
    <t>8132</t>
  </si>
  <si>
    <t>8700</t>
  </si>
  <si>
    <t>9108</t>
  </si>
  <si>
    <t>8148</t>
  </si>
  <si>
    <t>8172</t>
  </si>
  <si>
    <t>7115</t>
  </si>
  <si>
    <t>9425</t>
  </si>
  <si>
    <t>9417</t>
  </si>
  <si>
    <t>9581</t>
  </si>
  <si>
    <t>9416</t>
  </si>
  <si>
    <t>9583</t>
  </si>
  <si>
    <t>9414</t>
  </si>
  <si>
    <t>9584</t>
  </si>
  <si>
    <t>9585</t>
  </si>
  <si>
    <t>9428</t>
  </si>
  <si>
    <t>9427</t>
  </si>
  <si>
    <t>9426</t>
  </si>
  <si>
    <t>9424</t>
  </si>
  <si>
    <t>9423</t>
  </si>
  <si>
    <t>9422</t>
  </si>
  <si>
    <t>9421</t>
  </si>
  <si>
    <t>8165</t>
  </si>
  <si>
    <t>9586</t>
  </si>
  <si>
    <t>9587</t>
  </si>
  <si>
    <t>9588</t>
  </si>
  <si>
    <t>9589</t>
  </si>
  <si>
    <t>9590</t>
  </si>
  <si>
    <t>9591</t>
  </si>
  <si>
    <t>9592</t>
  </si>
  <si>
    <t>9101</t>
  </si>
  <si>
    <t>9593</t>
  </si>
  <si>
    <t>9594</t>
  </si>
  <si>
    <t>9595</t>
  </si>
  <si>
    <t>9596</t>
  </si>
  <si>
    <t>9597</t>
  </si>
  <si>
    <t>9598</t>
  </si>
  <si>
    <t>9599</t>
  </si>
  <si>
    <t>9600</t>
  </si>
  <si>
    <t>7114</t>
  </si>
  <si>
    <t>7113</t>
  </si>
  <si>
    <t>9121</t>
  </si>
  <si>
    <t>7112</t>
  </si>
  <si>
    <t>7111</t>
  </si>
  <si>
    <t>7110</t>
  </si>
  <si>
    <t>9601</t>
  </si>
  <si>
    <t>7109</t>
  </si>
  <si>
    <t>9602</t>
  </si>
  <si>
    <t>9120</t>
  </si>
  <si>
    <t>9603</t>
  </si>
  <si>
    <t>9604</t>
  </si>
  <si>
    <t>9605</t>
  </si>
  <si>
    <t>9606</t>
  </si>
  <si>
    <t>9607</t>
  </si>
  <si>
    <t>9608</t>
  </si>
  <si>
    <t>9609</t>
  </si>
  <si>
    <t>K285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</si>
  <si>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</si>
  <si>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</si>
  <si>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</si>
  <si>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</si>
  <si>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</si>
  <si>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</si>
  <si>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</si>
  <si>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</si>
  <si>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</si>
  <si>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</si>
  <si>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</si>
  <si>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</si>
  <si>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</si>
  <si>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</si>
  <si>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7147</t>
  </si>
  <si>
    <t>7146</t>
  </si>
  <si>
    <t>7145</t>
  </si>
  <si>
    <t>7144</t>
  </si>
  <si>
    <t>9624</t>
  </si>
  <si>
    <t>7143</t>
  </si>
  <si>
    <t>7142</t>
  </si>
  <si>
    <t>9625</t>
  </si>
  <si>
    <t>7154</t>
  </si>
  <si>
    <t>7008</t>
  </si>
  <si>
    <t>7152</t>
  </si>
  <si>
    <t>7151</t>
  </si>
  <si>
    <t>9626</t>
  </si>
  <si>
    <t>7150</t>
  </si>
  <si>
    <t>7149</t>
  </si>
  <si>
    <t>9627</t>
  </si>
  <si>
    <t>9139</t>
  </si>
  <si>
    <t>9628</t>
  </si>
  <si>
    <t>7162</t>
  </si>
  <si>
    <t>7161</t>
  </si>
  <si>
    <t>7160</t>
  </si>
  <si>
    <t>7159</t>
  </si>
  <si>
    <t>7158</t>
  </si>
  <si>
    <t>9629</t>
  </si>
  <si>
    <t>7171</t>
  </si>
  <si>
    <t>7170</t>
  </si>
  <si>
    <t>9630</t>
  </si>
  <si>
    <t>7051</t>
  </si>
  <si>
    <t>7168</t>
  </si>
  <si>
    <t>7167</t>
  </si>
  <si>
    <t>7166</t>
  </si>
  <si>
    <t>7165</t>
  </si>
  <si>
    <t>7187</t>
  </si>
  <si>
    <t>0719</t>
  </si>
  <si>
    <t>7185</t>
  </si>
  <si>
    <t>7184</t>
  </si>
  <si>
    <t>7183</t>
  </si>
  <si>
    <t>7182</t>
  </si>
  <si>
    <t>7181</t>
  </si>
  <si>
    <t>9631</t>
  </si>
  <si>
    <t>7196</t>
  </si>
  <si>
    <t>7195</t>
  </si>
  <si>
    <t>7194</t>
  </si>
  <si>
    <t>7193</t>
  </si>
  <si>
    <t>7192</t>
  </si>
  <si>
    <t>7191</t>
  </si>
  <si>
    <t>7190</t>
  </si>
  <si>
    <t>7189</t>
  </si>
  <si>
    <t>7204</t>
  </si>
  <si>
    <t>7203</t>
  </si>
  <si>
    <t>7202</t>
  </si>
  <si>
    <t>7201</t>
  </si>
  <si>
    <t>7200</t>
  </si>
  <si>
    <t>7199</t>
  </si>
  <si>
    <t>7198</t>
  </si>
  <si>
    <t>7197</t>
  </si>
  <si>
    <t>7212</t>
  </si>
  <si>
    <t>7211</t>
  </si>
  <si>
    <t>7210</t>
  </si>
  <si>
    <t>7209</t>
  </si>
  <si>
    <t>7208</t>
  </si>
  <si>
    <t>7207</t>
  </si>
  <si>
    <t>7206</t>
  </si>
  <si>
    <t>7205</t>
  </si>
  <si>
    <t>7219</t>
  </si>
  <si>
    <t>7218</t>
  </si>
  <si>
    <t>9632</t>
  </si>
  <si>
    <t>7217</t>
  </si>
  <si>
    <t>7216</t>
  </si>
  <si>
    <t>7215</t>
  </si>
  <si>
    <t>7214</t>
  </si>
  <si>
    <t>9633</t>
  </si>
  <si>
    <t>7227</t>
  </si>
  <si>
    <t>7226</t>
  </si>
  <si>
    <t>7225</t>
  </si>
  <si>
    <t>7224</t>
  </si>
  <si>
    <t>7223</t>
  </si>
  <si>
    <t>7222</t>
  </si>
  <si>
    <t>9634</t>
  </si>
  <si>
    <t>9635</t>
  </si>
  <si>
    <t>7235</t>
  </si>
  <si>
    <t>0720</t>
  </si>
  <si>
    <t>7233</t>
  </si>
  <si>
    <t>7232</t>
  </si>
  <si>
    <t>7231</t>
  </si>
  <si>
    <t>7230</t>
  </si>
  <si>
    <t>9636</t>
  </si>
  <si>
    <t>7229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</si>
  <si>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</si>
  <si>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</si>
  <si>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</si>
  <si>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</si>
  <si>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</si>
  <si>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</si>
  <si>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</si>
  <si>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</si>
  <si>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</si>
  <si>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</si>
  <si>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7250</t>
  </si>
  <si>
    <t>7249</t>
  </si>
  <si>
    <t>7248</t>
  </si>
  <si>
    <t>7247</t>
  </si>
  <si>
    <t>7246</t>
  </si>
  <si>
    <t>9647</t>
  </si>
  <si>
    <t>7275</t>
  </si>
  <si>
    <t>7274</t>
  </si>
  <si>
    <t>7273</t>
  </si>
  <si>
    <t>7272</t>
  </si>
  <si>
    <t>7271</t>
  </si>
  <si>
    <t>1218</t>
  </si>
  <si>
    <t>1306</t>
  </si>
  <si>
    <t>9648</t>
  </si>
  <si>
    <t>9649</t>
  </si>
  <si>
    <t>9650</t>
  </si>
  <si>
    <t>9150</t>
  </si>
  <si>
    <t>9651</t>
  </si>
  <si>
    <t>9652</t>
  </si>
  <si>
    <t>9653</t>
  </si>
  <si>
    <t>9654</t>
  </si>
  <si>
    <t>7221</t>
  </si>
  <si>
    <t>1243</t>
  </si>
  <si>
    <t>7298</t>
  </si>
  <si>
    <t>7297</t>
  </si>
  <si>
    <t>7296</t>
  </si>
  <si>
    <t>7295</t>
  </si>
  <si>
    <t>7294</t>
  </si>
  <si>
    <t>7293</t>
  </si>
  <si>
    <t>9655</t>
  </si>
  <si>
    <t>1276</t>
  </si>
  <si>
    <t>7306</t>
  </si>
  <si>
    <t>7305</t>
  </si>
  <si>
    <t>7304</t>
  </si>
  <si>
    <t>7303</t>
  </si>
  <si>
    <t>7302</t>
  </si>
  <si>
    <t>9182</t>
  </si>
  <si>
    <t>7301</t>
  </si>
  <si>
    <t>9656</t>
  </si>
  <si>
    <t>7330</t>
  </si>
  <si>
    <t>7329</t>
  </si>
  <si>
    <t>7326</t>
  </si>
  <si>
    <t>9657</t>
  </si>
  <si>
    <t>7325</t>
  </si>
  <si>
    <t>9658</t>
  </si>
  <si>
    <t>9659</t>
  </si>
  <si>
    <t>7331</t>
  </si>
  <si>
    <t>7346</t>
  </si>
  <si>
    <t>7345</t>
  </si>
  <si>
    <t>7344</t>
  </si>
  <si>
    <t>7343</t>
  </si>
  <si>
    <t>7342</t>
  </si>
  <si>
    <t>9660</t>
  </si>
  <si>
    <t>7341</t>
  </si>
  <si>
    <t>7362</t>
  </si>
  <si>
    <t>7361</t>
  </si>
  <si>
    <t>9661</t>
  </si>
  <si>
    <t>7360</t>
  </si>
  <si>
    <t>9662</t>
  </si>
  <si>
    <t>7358</t>
  </si>
  <si>
    <t>9663</t>
  </si>
  <si>
    <t>7357</t>
  </si>
  <si>
    <t>7371</t>
  </si>
  <si>
    <t>7370</t>
  </si>
  <si>
    <t>7369</t>
  </si>
  <si>
    <t>7368</t>
  </si>
  <si>
    <t>7367</t>
  </si>
  <si>
    <t>9223</t>
  </si>
  <si>
    <t>7366</t>
  </si>
  <si>
    <t>9664</t>
  </si>
  <si>
    <t>1203</t>
  </si>
  <si>
    <t>9474</t>
  </si>
  <si>
    <t>7386</t>
  </si>
  <si>
    <t>7385</t>
  </si>
  <si>
    <t>7384</t>
  </si>
  <si>
    <t>0U42</t>
  </si>
  <si>
    <t>7382</t>
  </si>
  <si>
    <t>7381</t>
  </si>
  <si>
    <t>9210</t>
  </si>
  <si>
    <t>9209</t>
  </si>
  <si>
    <t>9665</t>
  </si>
  <si>
    <t>9666</t>
  </si>
  <si>
    <t>9667</t>
  </si>
  <si>
    <t>9668</t>
  </si>
  <si>
    <t>9669</t>
  </si>
  <si>
    <t>0U29</t>
  </si>
  <si>
    <t>9211</t>
  </si>
  <si>
    <t>7411</t>
  </si>
  <si>
    <t>7410</t>
  </si>
  <si>
    <t>7409</t>
  </si>
  <si>
    <t>7408</t>
  </si>
  <si>
    <t>7407</t>
  </si>
  <si>
    <t>7406</t>
  </si>
  <si>
    <t>7405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</si>
  <si>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</si>
  <si>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</si>
  <si>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</si>
  <si>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</si>
  <si>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</si>
  <si>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</si>
  <si>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</si>
  <si>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</si>
  <si>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</si>
  <si>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</si>
  <si>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</si>
  <si>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</si>
  <si>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</si>
  <si>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</si>
  <si>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</si>
  <si>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</si>
  <si>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7418</t>
  </si>
  <si>
    <t>0195</t>
  </si>
  <si>
    <t>7416</t>
  </si>
  <si>
    <t>7415</t>
  </si>
  <si>
    <t>9686</t>
  </si>
  <si>
    <t>7414</t>
  </si>
  <si>
    <t>7413</t>
  </si>
  <si>
    <t>9687</t>
  </si>
  <si>
    <t>7436</t>
  </si>
  <si>
    <t>7435</t>
  </si>
  <si>
    <t>1319</t>
  </si>
  <si>
    <t>0122</t>
  </si>
  <si>
    <t>7432</t>
  </si>
  <si>
    <t>7431</t>
  </si>
  <si>
    <t>7430</t>
  </si>
  <si>
    <t>7429</t>
  </si>
  <si>
    <t>9688</t>
  </si>
  <si>
    <t>7442</t>
  </si>
  <si>
    <t>7441</t>
  </si>
  <si>
    <t>7440</t>
  </si>
  <si>
    <t>7439</t>
  </si>
  <si>
    <t>9689</t>
  </si>
  <si>
    <t>9690</t>
  </si>
  <si>
    <t>9691</t>
  </si>
  <si>
    <t>7459</t>
  </si>
  <si>
    <t>7458</t>
  </si>
  <si>
    <t>7457</t>
  </si>
  <si>
    <t>7456</t>
  </si>
  <si>
    <t>7455</t>
  </si>
  <si>
    <t>7454</t>
  </si>
  <si>
    <t>9692</t>
  </si>
  <si>
    <t>7453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</si>
  <si>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</si>
  <si>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</si>
  <si>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</si>
  <si>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</si>
  <si>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</si>
  <si>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</si>
  <si>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</si>
  <si>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</si>
  <si>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</si>
  <si>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</si>
  <si>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</si>
  <si>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</si>
  <si>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</si>
  <si>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</si>
  <si>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</si>
  <si>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</si>
  <si>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7475</t>
  </si>
  <si>
    <t>7474</t>
  </si>
  <si>
    <t>7473</t>
  </si>
  <si>
    <t>7472</t>
  </si>
  <si>
    <t>9709</t>
  </si>
  <si>
    <t>7471</t>
  </si>
  <si>
    <t>7470</t>
  </si>
  <si>
    <t>7469</t>
  </si>
  <si>
    <t>7483</t>
  </si>
  <si>
    <t>7482</t>
  </si>
  <si>
    <t>7481</t>
  </si>
  <si>
    <t>7480</t>
  </si>
  <si>
    <t>7479</t>
  </si>
  <si>
    <t>9710</t>
  </si>
  <si>
    <t>7478</t>
  </si>
  <si>
    <t>9711</t>
  </si>
  <si>
    <t>7490</t>
  </si>
  <si>
    <t>7489</t>
  </si>
  <si>
    <t>7488</t>
  </si>
  <si>
    <t>9712</t>
  </si>
  <si>
    <t>7487</t>
  </si>
  <si>
    <t>7486</t>
  </si>
  <si>
    <t>9713</t>
  </si>
  <si>
    <t>7485</t>
  </si>
  <si>
    <t>7508</t>
  </si>
  <si>
    <t>7507</t>
  </si>
  <si>
    <t>7506</t>
  </si>
  <si>
    <t>7505</t>
  </si>
  <si>
    <t>7504</t>
  </si>
  <si>
    <t>7503</t>
  </si>
  <si>
    <t>7502</t>
  </si>
  <si>
    <t>7501</t>
  </si>
  <si>
    <t>7443</t>
  </si>
  <si>
    <t>9714</t>
  </si>
  <si>
    <t>9271</t>
  </si>
  <si>
    <t>9715</t>
  </si>
  <si>
    <t>9716</t>
  </si>
  <si>
    <t>9717</t>
  </si>
  <si>
    <t>9718</t>
  </si>
  <si>
    <t>9719</t>
  </si>
  <si>
    <t>7516</t>
  </si>
  <si>
    <t>7515</t>
  </si>
  <si>
    <t>7514</t>
  </si>
  <si>
    <t>7513</t>
  </si>
  <si>
    <t>7512</t>
  </si>
  <si>
    <t>7511</t>
  </si>
  <si>
    <t>7510</t>
  </si>
  <si>
    <t>7509</t>
  </si>
  <si>
    <t>9266</t>
  </si>
  <si>
    <t>9281</t>
  </si>
  <si>
    <t>9720</t>
  </si>
  <si>
    <t>9721</t>
  </si>
  <si>
    <t>9722</t>
  </si>
  <si>
    <t>9723</t>
  </si>
  <si>
    <t>9724</t>
  </si>
  <si>
    <t>7477</t>
  </si>
  <si>
    <t>7532</t>
  </si>
  <si>
    <t>7531</t>
  </si>
  <si>
    <t>7530</t>
  </si>
  <si>
    <t>7529</t>
  </si>
  <si>
    <t>7528</t>
  </si>
  <si>
    <t>7527</t>
  </si>
  <si>
    <t>7526</t>
  </si>
  <si>
    <t>7525</t>
  </si>
  <si>
    <t>0210</t>
  </si>
  <si>
    <t>7547</t>
  </si>
  <si>
    <t>7546</t>
  </si>
  <si>
    <t>7545</t>
  </si>
  <si>
    <t>7544</t>
  </si>
  <si>
    <t>7543</t>
  </si>
  <si>
    <t>7542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</si>
  <si>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</si>
  <si>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</si>
  <si>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</si>
  <si>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</si>
  <si>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</si>
  <si>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</si>
  <si>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</si>
  <si>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</si>
  <si>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</si>
  <si>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</si>
  <si>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</si>
  <si>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</si>
  <si>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</si>
  <si>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</si>
  <si>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</si>
  <si>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</si>
  <si>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7541</t>
  </si>
  <si>
    <t>7555</t>
  </si>
  <si>
    <t>7554</t>
  </si>
  <si>
    <t>7553</t>
  </si>
  <si>
    <t>7552</t>
  </si>
  <si>
    <t>7551</t>
  </si>
  <si>
    <t>7550</t>
  </si>
  <si>
    <t>9741</t>
  </si>
  <si>
    <t>9742</t>
  </si>
  <si>
    <t>7563</t>
  </si>
  <si>
    <t>7562</t>
  </si>
  <si>
    <t>7561</t>
  </si>
  <si>
    <t>7560</t>
  </si>
  <si>
    <t>7559</t>
  </si>
  <si>
    <t>7558</t>
  </si>
  <si>
    <t>7557</t>
  </si>
  <si>
    <t>9743</t>
  </si>
  <si>
    <t>9744</t>
  </si>
  <si>
    <t>9745</t>
  </si>
  <si>
    <t>9746</t>
  </si>
  <si>
    <t>9286</t>
  </si>
  <si>
    <t>9747</t>
  </si>
  <si>
    <t>9748</t>
  </si>
  <si>
    <t>9749</t>
  </si>
  <si>
    <t>9750</t>
  </si>
  <si>
    <t>9751</t>
  </si>
  <si>
    <t>9752</t>
  </si>
  <si>
    <t>9311</t>
  </si>
  <si>
    <t>9753</t>
  </si>
  <si>
    <t>9754</t>
  </si>
  <si>
    <t>9755</t>
  </si>
  <si>
    <t>7549</t>
  </si>
  <si>
    <t>9756</t>
  </si>
  <si>
    <t>7571</t>
  </si>
  <si>
    <t>9298</t>
  </si>
  <si>
    <t>7570</t>
  </si>
  <si>
    <t>7569</t>
  </si>
  <si>
    <t>9757</t>
  </si>
  <si>
    <t>0266</t>
  </si>
  <si>
    <t>2357</t>
  </si>
  <si>
    <t>7565</t>
  </si>
  <si>
    <t>9308</t>
  </si>
  <si>
    <t>0G23</t>
  </si>
  <si>
    <t>7586</t>
  </si>
  <si>
    <t>7585</t>
  </si>
  <si>
    <t>7584</t>
  </si>
  <si>
    <t>7583</t>
  </si>
  <si>
    <t>7582</t>
  </si>
  <si>
    <t>0757</t>
  </si>
  <si>
    <t>9758</t>
  </si>
  <si>
    <t>2425</t>
  </si>
  <si>
    <t>0299</t>
  </si>
  <si>
    <t>7625</t>
  </si>
  <si>
    <t>7624</t>
  </si>
  <si>
    <t>2463</t>
  </si>
  <si>
    <t>7622</t>
  </si>
  <si>
    <t>2361</t>
  </si>
  <si>
    <t>7611</t>
  </si>
  <si>
    <t>7610</t>
  </si>
  <si>
    <t>7609</t>
  </si>
  <si>
    <t>7608</t>
  </si>
  <si>
    <t>7607</t>
  </si>
  <si>
    <t>7606</t>
  </si>
  <si>
    <t>9759</t>
  </si>
  <si>
    <t>9760</t>
  </si>
  <si>
    <t>9761</t>
  </si>
  <si>
    <t>9762</t>
  </si>
  <si>
    <t>9763</t>
  </si>
  <si>
    <t>9764</t>
  </si>
  <si>
    <t>2435</t>
  </si>
  <si>
    <t>9765</t>
  </si>
  <si>
    <t>9766</t>
  </si>
  <si>
    <t>9767</t>
  </si>
  <si>
    <t>7659</t>
  </si>
  <si>
    <t>7658</t>
  </si>
  <si>
    <t>7657</t>
  </si>
  <si>
    <t>7656</t>
  </si>
  <si>
    <t>7655</t>
  </si>
  <si>
    <t>7654</t>
  </si>
  <si>
    <t>9768</t>
  </si>
  <si>
    <t>7653</t>
  </si>
  <si>
    <t>7667</t>
  </si>
  <si>
    <t>7666</t>
  </si>
  <si>
    <t>9769</t>
  </si>
  <si>
    <t>7665</t>
  </si>
  <si>
    <t>7664</t>
  </si>
  <si>
    <t>7663</t>
  </si>
  <si>
    <t>7662</t>
  </si>
  <si>
    <t>7661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</si>
  <si>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</si>
  <si>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</si>
  <si>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</si>
  <si>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</si>
  <si>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</si>
  <si>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</si>
  <si>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</si>
  <si>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</si>
  <si>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</si>
  <si>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</si>
  <si>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</si>
  <si>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</si>
  <si>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</si>
  <si>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</si>
  <si>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</si>
  <si>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</si>
  <si>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</si>
  <si>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</si>
  <si>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</si>
  <si>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</si>
  <si>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</si>
  <si>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</si>
  <si>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X157</t>
  </si>
  <si>
    <t>9792</t>
  </si>
  <si>
    <t>7675</t>
  </si>
  <si>
    <t>7674</t>
  </si>
  <si>
    <t>2387</t>
  </si>
  <si>
    <t>7672</t>
  </si>
  <si>
    <t>2370</t>
  </si>
  <si>
    <t>7670</t>
  </si>
  <si>
    <t>9793</t>
  </si>
  <si>
    <t>7669</t>
  </si>
  <si>
    <t>0946</t>
  </si>
  <si>
    <t>7682</t>
  </si>
  <si>
    <t>2420</t>
  </si>
  <si>
    <t>7680</t>
  </si>
  <si>
    <t>7679</t>
  </si>
  <si>
    <t>7678</t>
  </si>
  <si>
    <t>7677</t>
  </si>
  <si>
    <t>9794</t>
  </si>
  <si>
    <t>0972</t>
  </si>
  <si>
    <t>7691</t>
  </si>
  <si>
    <t>7690</t>
  </si>
  <si>
    <t>7689</t>
  </si>
  <si>
    <t>7688</t>
  </si>
  <si>
    <t>7687</t>
  </si>
  <si>
    <t>7686</t>
  </si>
  <si>
    <t>7685</t>
  </si>
  <si>
    <t>7716</t>
  </si>
  <si>
    <t>7715</t>
  </si>
  <si>
    <t>2467</t>
  </si>
  <si>
    <t>7713</t>
  </si>
  <si>
    <t>7712</t>
  </si>
  <si>
    <t>7711</t>
  </si>
  <si>
    <t>7710</t>
  </si>
  <si>
    <t>7709</t>
  </si>
  <si>
    <t>7724</t>
  </si>
  <si>
    <t>7723</t>
  </si>
  <si>
    <t>7722</t>
  </si>
  <si>
    <t>7721</t>
  </si>
  <si>
    <t>7720</t>
  </si>
  <si>
    <t>7719</t>
  </si>
  <si>
    <t>7718</t>
  </si>
  <si>
    <t>7717</t>
  </si>
  <si>
    <t>7732</t>
  </si>
  <si>
    <t>2353</t>
  </si>
  <si>
    <t>7730</t>
  </si>
  <si>
    <t>7729</t>
  </si>
  <si>
    <t>7728</t>
  </si>
  <si>
    <t>7727</t>
  </si>
  <si>
    <t>7726</t>
  </si>
  <si>
    <t>7725</t>
  </si>
  <si>
    <t>9795</t>
  </si>
  <si>
    <t>9353</t>
  </si>
  <si>
    <t>9796</t>
  </si>
  <si>
    <t>9352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</si>
  <si>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</si>
  <si>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</si>
  <si>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</si>
  <si>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</si>
  <si>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</si>
  <si>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</si>
  <si>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</si>
  <si>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</si>
  <si>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</si>
  <si>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</si>
  <si>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</si>
  <si>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</si>
  <si>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</si>
  <si>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</si>
  <si>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</si>
  <si>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</si>
  <si>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</si>
  <si>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</si>
  <si>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</si>
  <si>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</si>
  <si>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</si>
  <si>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</si>
  <si>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</si>
  <si>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</si>
  <si>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</si>
  <si>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</si>
  <si>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</si>
  <si>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</si>
  <si>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</si>
  <si>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K286</t>
  </si>
  <si>
    <t>9826</t>
  </si>
  <si>
    <t>9827</t>
  </si>
  <si>
    <t>9828</t>
  </si>
  <si>
    <t>9829</t>
  </si>
  <si>
    <t>9830</t>
  </si>
  <si>
    <t>9831</t>
  </si>
  <si>
    <t>7748</t>
  </si>
  <si>
    <t>7747</t>
  </si>
  <si>
    <t>7746</t>
  </si>
  <si>
    <t>7745</t>
  </si>
  <si>
    <t>7744</t>
  </si>
  <si>
    <t>7743</t>
  </si>
  <si>
    <t>7742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</si>
  <si>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</si>
  <si>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</si>
  <si>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</si>
  <si>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</si>
  <si>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</si>
  <si>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</si>
  <si>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</si>
  <si>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</si>
  <si>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</si>
  <si>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</si>
  <si>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9383</t>
  </si>
  <si>
    <t>9842</t>
  </si>
  <si>
    <t>9843</t>
  </si>
  <si>
    <t>9844</t>
  </si>
  <si>
    <t>9845</t>
  </si>
  <si>
    <t>9846</t>
  </si>
  <si>
    <t>9847</t>
  </si>
  <si>
    <t>7772</t>
  </si>
  <si>
    <t>7771</t>
  </si>
  <si>
    <t>7770</t>
  </si>
  <si>
    <t>7769</t>
  </si>
  <si>
    <t>7768</t>
  </si>
  <si>
    <t>7767</t>
  </si>
  <si>
    <t>7766</t>
  </si>
  <si>
    <t>7765</t>
  </si>
  <si>
    <t>9364</t>
  </si>
  <si>
    <t>9848</t>
  </si>
  <si>
    <t>K287</t>
  </si>
  <si>
    <t>9849</t>
  </si>
  <si>
    <t>9850</t>
  </si>
  <si>
    <t>9851</t>
  </si>
  <si>
    <t>9852</t>
  </si>
  <si>
    <t>9853</t>
  </si>
  <si>
    <t>7780</t>
  </si>
  <si>
    <t>7779</t>
  </si>
  <si>
    <t>7778</t>
  </si>
  <si>
    <t>7777</t>
  </si>
  <si>
    <t>7776</t>
  </si>
  <si>
    <t>7775</t>
  </si>
  <si>
    <t>9854</t>
  </si>
  <si>
    <t>9366</t>
  </si>
  <si>
    <t>7788</t>
  </si>
  <si>
    <t>7787</t>
  </si>
  <si>
    <t>7786</t>
  </si>
  <si>
    <t>7785</t>
  </si>
  <si>
    <t>7784</t>
  </si>
  <si>
    <t>2430</t>
  </si>
  <si>
    <t>0342</t>
  </si>
  <si>
    <t>7781</t>
  </si>
  <si>
    <t>3165</t>
  </si>
  <si>
    <t>0262</t>
  </si>
  <si>
    <t>0758</t>
  </si>
  <si>
    <t>7793</t>
  </si>
  <si>
    <t>7792</t>
  </si>
  <si>
    <t>7791</t>
  </si>
  <si>
    <t>7790</t>
  </si>
  <si>
    <t>0254</t>
  </si>
  <si>
    <t>7812</t>
  </si>
  <si>
    <t>3226</t>
  </si>
  <si>
    <t>7810</t>
  </si>
  <si>
    <t>7809</t>
  </si>
  <si>
    <t>7808</t>
  </si>
  <si>
    <t>7807</t>
  </si>
  <si>
    <t>7806</t>
  </si>
  <si>
    <t>7805</t>
  </si>
  <si>
    <t>7827</t>
  </si>
  <si>
    <t>7826</t>
  </si>
  <si>
    <t>7825</t>
  </si>
  <si>
    <t>7824</t>
  </si>
  <si>
    <t>7823</t>
  </si>
  <si>
    <t>7822</t>
  </si>
  <si>
    <t>7821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</si>
  <si>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</si>
  <si>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</si>
  <si>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</si>
  <si>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</si>
  <si>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</si>
  <si>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</si>
  <si>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</si>
  <si>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</si>
  <si>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</si>
  <si>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7835</t>
  </si>
  <si>
    <t>7834</t>
  </si>
  <si>
    <t>7833</t>
  </si>
  <si>
    <t>7832</t>
  </si>
  <si>
    <t>7830</t>
  </si>
  <si>
    <t>9864</t>
  </si>
  <si>
    <t>9865</t>
  </si>
  <si>
    <t>9866</t>
  </si>
  <si>
    <t>7844</t>
  </si>
  <si>
    <t>7843</t>
  </si>
  <si>
    <t>7842</t>
  </si>
  <si>
    <t>7841</t>
  </si>
  <si>
    <t>7840</t>
  </si>
  <si>
    <t>7839</t>
  </si>
  <si>
    <t>7838</t>
  </si>
  <si>
    <t>7837</t>
  </si>
  <si>
    <t>0943</t>
  </si>
  <si>
    <t>3119</t>
  </si>
  <si>
    <t>7850</t>
  </si>
  <si>
    <t>7849</t>
  </si>
  <si>
    <t>0G15</t>
  </si>
  <si>
    <t>7847</t>
  </si>
  <si>
    <t>7846</t>
  </si>
  <si>
    <t>7845</t>
  </si>
  <si>
    <t>7828</t>
  </si>
  <si>
    <t>7831</t>
  </si>
  <si>
    <t>9867</t>
  </si>
  <si>
    <t>9868</t>
  </si>
  <si>
    <t>9869</t>
  </si>
  <si>
    <t>9870</t>
  </si>
  <si>
    <t>9871</t>
  </si>
  <si>
    <t>9872</t>
  </si>
  <si>
    <t>7859</t>
  </si>
  <si>
    <t>7858</t>
  </si>
  <si>
    <t>7857</t>
  </si>
  <si>
    <t>7856</t>
  </si>
  <si>
    <t>9873</t>
  </si>
  <si>
    <t>7855</t>
  </si>
  <si>
    <t>7854</t>
  </si>
  <si>
    <t>7853</t>
  </si>
  <si>
    <t>7868</t>
  </si>
  <si>
    <t>7867</t>
  </si>
  <si>
    <t>7866</t>
  </si>
  <si>
    <t>7865</t>
  </si>
  <si>
    <t>7864</t>
  </si>
  <si>
    <t>7863</t>
  </si>
  <si>
    <t>9874</t>
  </si>
  <si>
    <t>9875</t>
  </si>
  <si>
    <t>7876</t>
  </si>
  <si>
    <t>7875</t>
  </si>
  <si>
    <t>7874</t>
  </si>
  <si>
    <t>7873</t>
  </si>
  <si>
    <t>7872</t>
  </si>
  <si>
    <t>9876</t>
  </si>
  <si>
    <t>7871</t>
  </si>
  <si>
    <t>9877</t>
  </si>
  <si>
    <t>7884</t>
  </si>
  <si>
    <t>7883</t>
  </si>
  <si>
    <t>7882</t>
  </si>
  <si>
    <t>0399</t>
  </si>
  <si>
    <t>7880</t>
  </si>
  <si>
    <t>7879</t>
  </si>
  <si>
    <t>7878</t>
  </si>
  <si>
    <t>7877</t>
  </si>
  <si>
    <t>7892</t>
  </si>
  <si>
    <t>9878</t>
  </si>
  <si>
    <t>9879</t>
  </si>
  <si>
    <t>9880</t>
  </si>
  <si>
    <t>9881</t>
  </si>
  <si>
    <t>9882</t>
  </si>
  <si>
    <t>9883</t>
  </si>
  <si>
    <t>9884</t>
  </si>
  <si>
    <t>7891</t>
  </si>
  <si>
    <t>7890</t>
  </si>
  <si>
    <t>0358</t>
  </si>
  <si>
    <t>7888</t>
  </si>
  <si>
    <t>7887</t>
  </si>
  <si>
    <t>7886</t>
  </si>
  <si>
    <t>7885</t>
  </si>
  <si>
    <t>9885</t>
  </si>
  <si>
    <t>7900</t>
  </si>
  <si>
    <t>7899</t>
  </si>
  <si>
    <t>7898</t>
  </si>
  <si>
    <t>7897</t>
  </si>
  <si>
    <t>7896</t>
  </si>
  <si>
    <t>7895</t>
  </si>
  <si>
    <t>7894</t>
  </si>
  <si>
    <t>K288</t>
  </si>
  <si>
    <t>7908</t>
  </si>
  <si>
    <t>7907</t>
  </si>
  <si>
    <t>7906</t>
  </si>
  <si>
    <t>7905</t>
  </si>
  <si>
    <t>7904</t>
  </si>
  <si>
    <t>7903</t>
  </si>
  <si>
    <t>7902</t>
  </si>
  <si>
    <t>9886</t>
  </si>
  <si>
    <t>7924</t>
  </si>
  <si>
    <t>7915</t>
  </si>
  <si>
    <t>7914</t>
  </si>
  <si>
    <t>7913</t>
  </si>
  <si>
    <t>7912</t>
  </si>
  <si>
    <t>9887</t>
  </si>
  <si>
    <t>7911</t>
  </si>
  <si>
    <t>9888</t>
  </si>
  <si>
    <t>7923</t>
  </si>
  <si>
    <t>7922</t>
  </si>
  <si>
    <t>7921</t>
  </si>
  <si>
    <t>7920</t>
  </si>
  <si>
    <t>7919</t>
  </si>
  <si>
    <t>7918</t>
  </si>
  <si>
    <t>9889</t>
  </si>
  <si>
    <t>9890</t>
  </si>
  <si>
    <t>7931</t>
  </si>
  <si>
    <t>7930</t>
  </si>
  <si>
    <t>7929</t>
  </si>
  <si>
    <t>7928</t>
  </si>
  <si>
    <t>9891</t>
  </si>
  <si>
    <t>7927</t>
  </si>
  <si>
    <t>7926</t>
  </si>
  <si>
    <t>7925</t>
  </si>
  <si>
    <t>7939</t>
  </si>
  <si>
    <t>7938</t>
  </si>
  <si>
    <t>7937</t>
  </si>
  <si>
    <t>7936</t>
  </si>
  <si>
    <t>7935</t>
  </si>
  <si>
    <t>7934</t>
  </si>
  <si>
    <t>7933</t>
  </si>
  <si>
    <t>K289</t>
  </si>
  <si>
    <t>7947</t>
  </si>
  <si>
    <t>7946</t>
  </si>
  <si>
    <t>7945</t>
  </si>
  <si>
    <t>7944</t>
  </si>
  <si>
    <t>7943</t>
  </si>
  <si>
    <t>7942</t>
  </si>
  <si>
    <t>9892</t>
  </si>
  <si>
    <t>9897</t>
  </si>
  <si>
    <t>9898</t>
  </si>
  <si>
    <t>9899</t>
  </si>
  <si>
    <t>9900</t>
  </si>
  <si>
    <t>9901</t>
  </si>
  <si>
    <t>7956</t>
  </si>
  <si>
    <t>7955</t>
  </si>
  <si>
    <t>7954</t>
  </si>
  <si>
    <t>7953</t>
  </si>
  <si>
    <t>7952</t>
  </si>
  <si>
    <t>7951</t>
  </si>
  <si>
    <t>7949</t>
  </si>
  <si>
    <t>9902</t>
  </si>
  <si>
    <t>7964</t>
  </si>
  <si>
    <t>7963</t>
  </si>
  <si>
    <t>7962</t>
  </si>
  <si>
    <t>7961</t>
  </si>
  <si>
    <t>7960</t>
  </si>
  <si>
    <t>7959</t>
  </si>
  <si>
    <t>7958</t>
  </si>
  <si>
    <t>9903</t>
  </si>
  <si>
    <t>7971</t>
  </si>
  <si>
    <t>7970</t>
  </si>
  <si>
    <t>7969</t>
  </si>
  <si>
    <t>7968</t>
  </si>
  <si>
    <t>7967</t>
  </si>
  <si>
    <t>7966</t>
  </si>
  <si>
    <t>7965</t>
  </si>
  <si>
    <t>9904</t>
  </si>
  <si>
    <t>7980</t>
  </si>
  <si>
    <t>7979</t>
  </si>
  <si>
    <t>7978</t>
  </si>
  <si>
    <t>7977</t>
  </si>
  <si>
    <t>7976</t>
  </si>
  <si>
    <t>7975</t>
  </si>
  <si>
    <t>9905</t>
  </si>
  <si>
    <t>9906</t>
  </si>
  <si>
    <t>7986</t>
  </si>
  <si>
    <t>7985</t>
  </si>
  <si>
    <t>7984</t>
  </si>
  <si>
    <t>7983</t>
  </si>
  <si>
    <t>7982</t>
  </si>
  <si>
    <t>7981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</si>
  <si>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</si>
  <si>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</si>
  <si>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</si>
  <si>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</si>
  <si>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</si>
  <si>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</si>
  <si>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</si>
  <si>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</si>
  <si>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</si>
  <si>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</si>
  <si>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</si>
  <si>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</si>
  <si>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</si>
  <si>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</si>
  <si>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</si>
  <si>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</si>
  <si>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</si>
  <si>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</si>
  <si>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</si>
  <si>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</si>
  <si>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</si>
  <si>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</si>
  <si>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</si>
  <si>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</si>
  <si>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</si>
  <si>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</si>
  <si>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</si>
  <si>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</si>
  <si>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</si>
  <si>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</si>
  <si>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</si>
  <si>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</si>
  <si>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</si>
  <si>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</si>
  <si>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</si>
  <si>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</si>
  <si>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</si>
  <si>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</si>
  <si>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</si>
  <si>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</si>
  <si>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</si>
  <si>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</si>
  <si>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7995</t>
  </si>
  <si>
    <t>7994</t>
  </si>
  <si>
    <t>7993</t>
  </si>
  <si>
    <t>7992</t>
  </si>
  <si>
    <t>7991</t>
  </si>
  <si>
    <t>7990</t>
  </si>
  <si>
    <t>9949</t>
  </si>
  <si>
    <t>9950</t>
  </si>
  <si>
    <t>8003</t>
  </si>
  <si>
    <t>8002</t>
  </si>
  <si>
    <t>8001</t>
  </si>
  <si>
    <t>8000</t>
  </si>
  <si>
    <t>7999</t>
  </si>
  <si>
    <t>7998</t>
  </si>
  <si>
    <t>7997</t>
  </si>
  <si>
    <t>9951</t>
  </si>
  <si>
    <t>8011</t>
  </si>
  <si>
    <t>8010</t>
  </si>
  <si>
    <t>8009</t>
  </si>
  <si>
    <t>8008</t>
  </si>
  <si>
    <t>8007</t>
  </si>
  <si>
    <t>0578</t>
  </si>
  <si>
    <t>8005</t>
  </si>
  <si>
    <t>9952</t>
  </si>
  <si>
    <t>8019</t>
  </si>
  <si>
    <t>8018</t>
  </si>
  <si>
    <t>8017</t>
  </si>
  <si>
    <t>8016</t>
  </si>
  <si>
    <t>8015</t>
  </si>
  <si>
    <t>5103</t>
  </si>
  <si>
    <t>8013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</si>
  <si>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</si>
  <si>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</si>
  <si>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</si>
  <si>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</si>
  <si>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</si>
  <si>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</si>
  <si>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</si>
  <si>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</si>
  <si>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</si>
  <si>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</si>
  <si>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</si>
  <si>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</si>
  <si>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</si>
  <si>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</si>
  <si>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</si>
  <si>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</si>
  <si>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</si>
  <si>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8027</t>
  </si>
  <si>
    <t>8026</t>
  </si>
  <si>
    <t>8025</t>
  </si>
  <si>
    <t>8024</t>
  </si>
  <si>
    <t>8023</t>
  </si>
  <si>
    <t>8022</t>
  </si>
  <si>
    <t>9970</t>
  </si>
  <si>
    <t>9971</t>
  </si>
  <si>
    <t>8035</t>
  </si>
  <si>
    <t>8034</t>
  </si>
  <si>
    <t>8033</t>
  </si>
  <si>
    <t>8032</t>
  </si>
  <si>
    <t>8031</t>
  </si>
  <si>
    <t>8030</t>
  </si>
  <si>
    <t>8029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</si>
  <si>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</si>
  <si>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</si>
  <si>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</si>
  <si>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</si>
  <si>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</si>
  <si>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</si>
  <si>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</si>
  <si>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</si>
  <si>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</si>
  <si>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8061</t>
  </si>
  <si>
    <t>9981</t>
  </si>
  <si>
    <t>9982</t>
  </si>
  <si>
    <t>9983</t>
  </si>
  <si>
    <t>9984</t>
  </si>
  <si>
    <t>9985</t>
  </si>
  <si>
    <t>9986</t>
  </si>
  <si>
    <t>9987</t>
  </si>
  <si>
    <t>8051</t>
  </si>
  <si>
    <t>8050</t>
  </si>
  <si>
    <t>8049</t>
  </si>
  <si>
    <t>5206</t>
  </si>
  <si>
    <t>8047</t>
  </si>
  <si>
    <t>8046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</si>
  <si>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</si>
  <si>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</si>
  <si>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</si>
  <si>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</si>
  <si>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</si>
  <si>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</si>
  <si>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</si>
  <si>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</si>
  <si>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</si>
  <si>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</si>
  <si>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8059</t>
  </si>
  <si>
    <t>8058</t>
  </si>
  <si>
    <t>8057</t>
  </si>
  <si>
    <t>8056</t>
  </si>
  <si>
    <t>8055</t>
  </si>
  <si>
    <t>8054</t>
  </si>
  <si>
    <t>8053</t>
  </si>
  <si>
    <t>9998</t>
  </si>
  <si>
    <t>8067</t>
  </si>
  <si>
    <t>8066</t>
  </si>
  <si>
    <t>8065</t>
  </si>
  <si>
    <t>8064</t>
  </si>
  <si>
    <t>8063</t>
  </si>
  <si>
    <t>8062</t>
  </si>
  <si>
    <t>9999</t>
  </si>
  <si>
    <t>K001</t>
  </si>
  <si>
    <t>8083</t>
  </si>
  <si>
    <t>8082</t>
  </si>
  <si>
    <t>8081</t>
  </si>
  <si>
    <t>8080</t>
  </si>
  <si>
    <t>8079</t>
  </si>
  <si>
    <t>8078</t>
  </si>
  <si>
    <t>0509</t>
  </si>
  <si>
    <t>K002</t>
  </si>
  <si>
    <t>9412</t>
  </si>
  <si>
    <t>9411</t>
  </si>
  <si>
    <t>9410</t>
  </si>
  <si>
    <t>9409</t>
  </si>
  <si>
    <t>9408</t>
  </si>
  <si>
    <t>9407</t>
  </si>
  <si>
    <t>9406</t>
  </si>
  <si>
    <t>9405</t>
  </si>
  <si>
    <t>8091</t>
  </si>
  <si>
    <t>8090</t>
  </si>
  <si>
    <t>8089</t>
  </si>
  <si>
    <t>8088</t>
  </si>
  <si>
    <t>8087</t>
  </si>
  <si>
    <t>8086</t>
  </si>
  <si>
    <t>K003</t>
  </si>
  <si>
    <t>K004</t>
  </si>
  <si>
    <t>8098</t>
  </si>
  <si>
    <t>8097</t>
  </si>
  <si>
    <t>8096</t>
  </si>
  <si>
    <t>8095</t>
  </si>
  <si>
    <t>K005</t>
  </si>
  <si>
    <t>K006</t>
  </si>
  <si>
    <t>K007</t>
  </si>
  <si>
    <t>8109</t>
  </si>
  <si>
    <t>8107</t>
  </si>
  <si>
    <t>8106</t>
  </si>
  <si>
    <t>8105</t>
  </si>
  <si>
    <t>8104</t>
  </si>
  <si>
    <t>8103</t>
  </si>
  <si>
    <t>8102</t>
  </si>
  <si>
    <t>8101</t>
  </si>
  <si>
    <t>K008</t>
  </si>
  <si>
    <t>8115</t>
  </si>
  <si>
    <t>0418</t>
  </si>
  <si>
    <t>8113</t>
  </si>
  <si>
    <t>8112</t>
  </si>
  <si>
    <t>K009</t>
  </si>
  <si>
    <t>8111</t>
  </si>
  <si>
    <t>8110</t>
  </si>
  <si>
    <t>K010</t>
  </si>
  <si>
    <t>0P13</t>
  </si>
  <si>
    <t>8122</t>
  </si>
  <si>
    <t>8121</t>
  </si>
  <si>
    <t>8120</t>
  </si>
  <si>
    <t>8119</t>
  </si>
  <si>
    <t>5155</t>
  </si>
  <si>
    <t>8117</t>
  </si>
  <si>
    <t>K011</t>
  </si>
  <si>
    <t>K012</t>
  </si>
  <si>
    <t>K013</t>
  </si>
  <si>
    <t>K014</t>
  </si>
  <si>
    <t>K015</t>
  </si>
  <si>
    <t>K016</t>
  </si>
  <si>
    <t>K017</t>
  </si>
  <si>
    <t>K018</t>
  </si>
  <si>
    <t>8125</t>
  </si>
  <si>
    <t>8131</t>
  </si>
  <si>
    <t>8130</t>
  </si>
  <si>
    <t>8129</t>
  </si>
  <si>
    <t>8128</t>
  </si>
  <si>
    <t>8127</t>
  </si>
  <si>
    <t>K019</t>
  </si>
  <si>
    <t>K020</t>
  </si>
  <si>
    <t>K021</t>
  </si>
  <si>
    <t>K022</t>
  </si>
  <si>
    <t>8139</t>
  </si>
  <si>
    <t>8138</t>
  </si>
  <si>
    <t>8137</t>
  </si>
  <si>
    <t>8136</t>
  </si>
  <si>
    <t>8135</t>
  </si>
  <si>
    <t>8134</t>
  </si>
  <si>
    <t>8133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</si>
  <si>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</si>
  <si>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</si>
  <si>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</si>
  <si>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</si>
  <si>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</si>
  <si>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</si>
  <si>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</si>
  <si>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</si>
  <si>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</si>
  <si>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</si>
  <si>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</si>
  <si>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</si>
  <si>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</si>
  <si>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</si>
  <si>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</si>
  <si>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</si>
  <si>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8147</t>
  </si>
  <si>
    <t>8146</t>
  </si>
  <si>
    <t>8145</t>
  </si>
  <si>
    <t>8144</t>
  </si>
  <si>
    <t>8143</t>
  </si>
  <si>
    <t>8142</t>
  </si>
  <si>
    <t>8141</t>
  </si>
  <si>
    <t>K039</t>
  </si>
  <si>
    <t>8171</t>
  </si>
  <si>
    <t>9106</t>
  </si>
  <si>
    <t>8170</t>
  </si>
  <si>
    <t>8169</t>
  </si>
  <si>
    <t>8168</t>
  </si>
  <si>
    <t>8167</t>
  </si>
  <si>
    <t>8166</t>
  </si>
  <si>
    <t>K040</t>
  </si>
  <si>
    <t>K041</t>
  </si>
  <si>
    <t>K042</t>
  </si>
  <si>
    <t>9431</t>
  </si>
  <si>
    <t>K043</t>
  </si>
  <si>
    <t>9111</t>
  </si>
  <si>
    <t>9110</t>
  </si>
  <si>
    <t>K044</t>
  </si>
  <si>
    <t>K045</t>
  </si>
  <si>
    <t>K046</t>
  </si>
  <si>
    <t>9451</t>
  </si>
  <si>
    <t>K047</t>
  </si>
  <si>
    <t>K048</t>
  </si>
  <si>
    <t>K049</t>
  </si>
  <si>
    <t>K050</t>
  </si>
  <si>
    <t>K051</t>
  </si>
  <si>
    <t>K052</t>
  </si>
  <si>
    <t>8203</t>
  </si>
  <si>
    <t>0941</t>
  </si>
  <si>
    <t>8202</t>
  </si>
  <si>
    <t>8201</t>
  </si>
  <si>
    <t>8200</t>
  </si>
  <si>
    <t>8199</t>
  </si>
  <si>
    <t>8198</t>
  </si>
  <si>
    <t>7141</t>
  </si>
  <si>
    <t>K053</t>
  </si>
  <si>
    <t>K054</t>
  </si>
  <si>
    <t>K055</t>
  </si>
  <si>
    <t>K056</t>
  </si>
  <si>
    <t>K057</t>
  </si>
  <si>
    <t>K058</t>
  </si>
  <si>
    <t>K059</t>
  </si>
  <si>
    <t>K290</t>
  </si>
  <si>
    <t>K060</t>
  </si>
  <si>
    <t>K061</t>
  </si>
  <si>
    <t>K062</t>
  </si>
  <si>
    <t>K063</t>
  </si>
  <si>
    <t>K064</t>
  </si>
  <si>
    <t>K065</t>
  </si>
  <si>
    <t>K066</t>
  </si>
  <si>
    <t>K067</t>
  </si>
  <si>
    <t>K068</t>
  </si>
  <si>
    <t>K069</t>
  </si>
  <si>
    <t>K070</t>
  </si>
  <si>
    <t>K071</t>
  </si>
  <si>
    <t>K072</t>
  </si>
  <si>
    <t>K291</t>
  </si>
  <si>
    <t>K292</t>
  </si>
  <si>
    <t>K073</t>
  </si>
  <si>
    <t>0747</t>
  </si>
  <si>
    <t>8210</t>
  </si>
  <si>
    <t>8209</t>
  </si>
  <si>
    <t>8208</t>
  </si>
  <si>
    <t>8207</t>
  </si>
  <si>
    <t>8206</t>
  </si>
  <si>
    <t>K074</t>
  </si>
  <si>
    <t>8205</t>
  </si>
  <si>
    <t>K075</t>
  </si>
  <si>
    <t>K076</t>
  </si>
  <si>
    <t>K077</t>
  </si>
  <si>
    <t>K078</t>
  </si>
  <si>
    <t>K079</t>
  </si>
  <si>
    <t>K080</t>
  </si>
  <si>
    <t>K081</t>
  </si>
  <si>
    <t>K082</t>
  </si>
  <si>
    <t>8220</t>
  </si>
  <si>
    <t>8219</t>
  </si>
  <si>
    <t>8218</t>
  </si>
  <si>
    <t>8217</t>
  </si>
  <si>
    <t>8216</t>
  </si>
  <si>
    <t>8215</t>
  </si>
  <si>
    <t>8214</t>
  </si>
  <si>
    <t>8213</t>
  </si>
  <si>
    <t>8236</t>
  </si>
  <si>
    <t>8235</t>
  </si>
  <si>
    <t>8234</t>
  </si>
  <si>
    <t>8233</t>
  </si>
  <si>
    <t>8232</t>
  </si>
  <si>
    <t>8231</t>
  </si>
  <si>
    <t>8230</t>
  </si>
  <si>
    <t>8229</t>
  </si>
  <si>
    <t>8252</t>
  </si>
  <si>
    <t>8251</t>
  </si>
  <si>
    <t>0686</t>
  </si>
  <si>
    <t>6129</t>
  </si>
  <si>
    <t>8248</t>
  </si>
  <si>
    <t>8247</t>
  </si>
  <si>
    <t>8246</t>
  </si>
  <si>
    <t>8245</t>
  </si>
  <si>
    <t>K083</t>
  </si>
  <si>
    <t>K084</t>
  </si>
  <si>
    <t>K085</t>
  </si>
  <si>
    <t>K086</t>
  </si>
  <si>
    <t>K087</t>
  </si>
  <si>
    <t>K088</t>
  </si>
  <si>
    <t>K089</t>
  </si>
  <si>
    <t>K090</t>
  </si>
  <si>
    <t>9468</t>
  </si>
  <si>
    <t>K091</t>
  </si>
  <si>
    <t>8258</t>
  </si>
  <si>
    <t>0616</t>
  </si>
  <si>
    <t>8256</t>
  </si>
  <si>
    <t>8255</t>
  </si>
  <si>
    <t>8254</t>
  </si>
  <si>
    <t>8253</t>
  </si>
  <si>
    <t>K092</t>
  </si>
  <si>
    <t>8267</t>
  </si>
  <si>
    <t>8266</t>
  </si>
  <si>
    <t>8265</t>
  </si>
  <si>
    <t>8264</t>
  </si>
  <si>
    <t>0630</t>
  </si>
  <si>
    <t>8262</t>
  </si>
  <si>
    <t>8261</t>
  </si>
  <si>
    <t>K093</t>
  </si>
  <si>
    <t>K094</t>
  </si>
  <si>
    <t>K095</t>
  </si>
  <si>
    <t>K096</t>
  </si>
  <si>
    <t>K293</t>
  </si>
  <si>
    <t>K097</t>
  </si>
  <si>
    <t>K294</t>
  </si>
  <si>
    <t>K098</t>
  </si>
  <si>
    <t>9244</t>
  </si>
  <si>
    <t>9476</t>
  </si>
  <si>
    <t>9475</t>
  </si>
  <si>
    <t>9473</t>
  </si>
  <si>
    <t>9472</t>
  </si>
  <si>
    <t>9471</t>
  </si>
  <si>
    <t>9470</t>
  </si>
  <si>
    <t>9469</t>
  </si>
  <si>
    <t>8275</t>
  </si>
  <si>
    <t>8274</t>
  </si>
  <si>
    <t>8273</t>
  </si>
  <si>
    <t>8272</t>
  </si>
  <si>
    <t>6134</t>
  </si>
  <si>
    <t>8270</t>
  </si>
  <si>
    <t>8269</t>
  </si>
  <si>
    <t>K099</t>
  </si>
  <si>
    <t>K100</t>
  </si>
  <si>
    <t>0978</t>
  </si>
  <si>
    <t>6142</t>
  </si>
  <si>
    <t>8289</t>
  </si>
  <si>
    <t>8288</t>
  </si>
  <si>
    <t>8287</t>
  </si>
  <si>
    <t>8286</t>
  </si>
  <si>
    <t>8285</t>
  </si>
  <si>
    <t>K101</t>
  </si>
  <si>
    <t>8299</t>
  </si>
  <si>
    <t>8298</t>
  </si>
  <si>
    <t>8297</t>
  </si>
  <si>
    <t>8296</t>
  </si>
  <si>
    <t>8295</t>
  </si>
  <si>
    <t>8294</t>
  </si>
  <si>
    <t>8293</t>
  </si>
  <si>
    <t>K102</t>
  </si>
  <si>
    <t>K103</t>
  </si>
  <si>
    <t>K104</t>
  </si>
  <si>
    <t>K105</t>
  </si>
  <si>
    <t>K106</t>
  </si>
  <si>
    <t>K295</t>
  </si>
  <si>
    <t>K107</t>
  </si>
  <si>
    <t>K296</t>
  </si>
  <si>
    <t>8308</t>
  </si>
  <si>
    <t>8307</t>
  </si>
  <si>
    <t>0615</t>
  </si>
  <si>
    <t>0643</t>
  </si>
  <si>
    <t>8304</t>
  </si>
  <si>
    <t>8303</t>
  </si>
  <si>
    <t>8302</t>
  </si>
  <si>
    <t>8301</t>
  </si>
  <si>
    <t>K108</t>
  </si>
  <si>
    <t>K109</t>
  </si>
  <si>
    <t>K297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</si>
  <si>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</si>
  <si>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</si>
  <si>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</si>
  <si>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</si>
  <si>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</si>
  <si>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</si>
  <si>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</si>
  <si>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</si>
  <si>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</si>
  <si>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</si>
  <si>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K120</t>
  </si>
  <si>
    <t>8469</t>
  </si>
  <si>
    <t>K121</t>
  </si>
  <si>
    <t>K122</t>
  </si>
  <si>
    <t>K123</t>
  </si>
  <si>
    <t>K124</t>
  </si>
  <si>
    <t>K125</t>
  </si>
  <si>
    <t>K126</t>
  </si>
  <si>
    <t>K127</t>
  </si>
  <si>
    <t>K128</t>
  </si>
  <si>
    <t>K129</t>
  </si>
  <si>
    <t>K130</t>
  </si>
  <si>
    <t>0740</t>
  </si>
  <si>
    <t>8314</t>
  </si>
  <si>
    <t>8313</t>
  </si>
  <si>
    <t>8312</t>
  </si>
  <si>
    <t>8311</t>
  </si>
  <si>
    <t>8310</t>
  </si>
  <si>
    <t>8309</t>
  </si>
  <si>
    <t>8331</t>
  </si>
  <si>
    <t>8330</t>
  </si>
  <si>
    <t>K131</t>
  </si>
  <si>
    <t>8329</t>
  </si>
  <si>
    <t>8328</t>
  </si>
  <si>
    <t>8327</t>
  </si>
  <si>
    <t>8326</t>
  </si>
  <si>
    <t>8325</t>
  </si>
  <si>
    <t>0956</t>
  </si>
  <si>
    <t>8339</t>
  </si>
  <si>
    <t>0603</t>
  </si>
  <si>
    <t>8337</t>
  </si>
  <si>
    <t>8336</t>
  </si>
  <si>
    <t>8335</t>
  </si>
  <si>
    <t>8334</t>
  </si>
  <si>
    <t>K298</t>
  </si>
  <si>
    <t>8346</t>
  </si>
  <si>
    <t>8345</t>
  </si>
  <si>
    <t>8344</t>
  </si>
  <si>
    <t>8343</t>
  </si>
  <si>
    <t>8342</t>
  </si>
  <si>
    <t>K132</t>
  </si>
  <si>
    <t>8341</t>
  </si>
  <si>
    <t>K133</t>
  </si>
  <si>
    <t>K134</t>
  </si>
  <si>
    <t>K135</t>
  </si>
  <si>
    <t>K136</t>
  </si>
  <si>
    <t>K137</t>
  </si>
  <si>
    <t>K138</t>
  </si>
  <si>
    <t>K139</t>
  </si>
  <si>
    <t>K140</t>
  </si>
  <si>
    <t>8333</t>
  </si>
  <si>
    <t>K141</t>
  </si>
  <si>
    <t>K142</t>
  </si>
  <si>
    <t>K143</t>
  </si>
  <si>
    <t>K144</t>
  </si>
  <si>
    <t>K145</t>
  </si>
  <si>
    <t>K146</t>
  </si>
  <si>
    <t>K147</t>
  </si>
  <si>
    <t>K148</t>
  </si>
  <si>
    <t>9332</t>
  </si>
  <si>
    <t>0973</t>
  </si>
  <si>
    <t>8370</t>
  </si>
  <si>
    <t>8369</t>
  </si>
  <si>
    <t>6118</t>
  </si>
  <si>
    <t>8367</t>
  </si>
  <si>
    <t>8366</t>
  </si>
  <si>
    <t>8365</t>
  </si>
  <si>
    <t>K149</t>
  </si>
  <si>
    <t>K150</t>
  </si>
  <si>
    <t>K151</t>
  </si>
  <si>
    <t>K152</t>
  </si>
  <si>
    <t>8413</t>
  </si>
  <si>
    <t>K153</t>
  </si>
  <si>
    <t>K154</t>
  </si>
  <si>
    <t>K155</t>
  </si>
  <si>
    <t>8387</t>
  </si>
  <si>
    <t>8386</t>
  </si>
  <si>
    <t>K156</t>
  </si>
  <si>
    <t>8385</t>
  </si>
  <si>
    <t>8384</t>
  </si>
  <si>
    <t>8383</t>
  </si>
  <si>
    <t>8382</t>
  </si>
  <si>
    <t>8381</t>
  </si>
  <si>
    <t>8395</t>
  </si>
  <si>
    <t>8394</t>
  </si>
  <si>
    <t>8393</t>
  </si>
  <si>
    <t>8392</t>
  </si>
  <si>
    <t>8391</t>
  </si>
  <si>
    <t>8390</t>
  </si>
  <si>
    <t>8389</t>
  </si>
  <si>
    <t>K299</t>
  </si>
  <si>
    <t>8403</t>
  </si>
  <si>
    <t>8402</t>
  </si>
  <si>
    <t>8401</t>
  </si>
  <si>
    <t>8400</t>
  </si>
  <si>
    <t>8399</t>
  </si>
  <si>
    <t>8398</t>
  </si>
  <si>
    <t>8397</t>
  </si>
  <si>
    <t>K157</t>
  </si>
  <si>
    <t>8411</t>
  </si>
  <si>
    <t>8410</t>
  </si>
  <si>
    <t>K158</t>
  </si>
  <si>
    <t>8409</t>
  </si>
  <si>
    <t>8408</t>
  </si>
  <si>
    <t>8407</t>
  </si>
  <si>
    <t>8406</t>
  </si>
  <si>
    <t>8405</t>
  </si>
  <si>
    <t>0W50</t>
  </si>
  <si>
    <t>8419</t>
  </si>
  <si>
    <t>8418</t>
  </si>
  <si>
    <t>8417</t>
  </si>
  <si>
    <t>8416</t>
  </si>
  <si>
    <t>8415</t>
  </si>
  <si>
    <t>8414</t>
  </si>
  <si>
    <t>K159</t>
  </si>
  <si>
    <t>0684</t>
  </si>
  <si>
    <t>8426</t>
  </si>
  <si>
    <t>8425</t>
  </si>
  <si>
    <t>8424</t>
  </si>
  <si>
    <t>8423</t>
  </si>
  <si>
    <t>8422</t>
  </si>
  <si>
    <t>8421</t>
  </si>
  <si>
    <t>K160</t>
  </si>
  <si>
    <t>8435</t>
  </si>
  <si>
    <t>6126</t>
  </si>
  <si>
    <t>8433</t>
  </si>
  <si>
    <t>8432</t>
  </si>
  <si>
    <t>K161</t>
  </si>
  <si>
    <t>8431</t>
  </si>
  <si>
    <t>8430</t>
  </si>
  <si>
    <t>8429</t>
  </si>
  <si>
    <t>8443</t>
  </si>
  <si>
    <t>8442</t>
  </si>
  <si>
    <t>8441</t>
  </si>
  <si>
    <t>8440</t>
  </si>
  <si>
    <t>8439</t>
  </si>
  <si>
    <t>K162</t>
  </si>
  <si>
    <t>8438</t>
  </si>
  <si>
    <t>8437</t>
  </si>
  <si>
    <t>8459</t>
  </si>
  <si>
    <t>9514</t>
  </si>
  <si>
    <t>0N13</t>
  </si>
  <si>
    <t>4202</t>
  </si>
  <si>
    <t>8456</t>
  </si>
  <si>
    <t>8455</t>
  </si>
  <si>
    <t>8454</t>
  </si>
  <si>
    <t>8453</t>
  </si>
  <si>
    <t>8467</t>
  </si>
  <si>
    <t>8466</t>
  </si>
  <si>
    <t>8465</t>
  </si>
  <si>
    <t>9513</t>
  </si>
  <si>
    <t>8464</t>
  </si>
  <si>
    <t>8463</t>
  </si>
  <si>
    <t>8462</t>
  </si>
  <si>
    <t>8461</t>
  </si>
  <si>
    <t>8475</t>
  </si>
  <si>
    <t>8474</t>
  </si>
  <si>
    <t>8473</t>
  </si>
  <si>
    <t>K163</t>
  </si>
  <si>
    <t>8472</t>
  </si>
  <si>
    <t>8471</t>
  </si>
  <si>
    <t>K300</t>
  </si>
  <si>
    <t>8470</t>
  </si>
  <si>
    <t>8482</t>
  </si>
  <si>
    <t>9522</t>
  </si>
  <si>
    <t>8481</t>
  </si>
  <si>
    <t>8480</t>
  </si>
  <si>
    <t>8479</t>
  </si>
  <si>
    <t>8478</t>
  </si>
  <si>
    <t>8477</t>
  </si>
  <si>
    <t>K164</t>
  </si>
  <si>
    <t>8499</t>
  </si>
  <si>
    <t>0974</t>
  </si>
  <si>
    <t>0N02</t>
  </si>
  <si>
    <t>4120</t>
  </si>
  <si>
    <t>8495</t>
  </si>
  <si>
    <t>8494</t>
  </si>
  <si>
    <t>8493</t>
  </si>
  <si>
    <t>K165</t>
  </si>
  <si>
    <t>K166</t>
  </si>
  <si>
    <t>K167</t>
  </si>
  <si>
    <t>K168</t>
  </si>
  <si>
    <t>K169</t>
  </si>
  <si>
    <t>K170</t>
  </si>
  <si>
    <t>K171</t>
  </si>
  <si>
    <t>K172</t>
  </si>
  <si>
    <t>K173</t>
  </si>
  <si>
    <t>K174</t>
  </si>
  <si>
    <t>K175</t>
  </si>
  <si>
    <t>K176</t>
  </si>
  <si>
    <t>K177</t>
  </si>
  <si>
    <t>K178</t>
  </si>
  <si>
    <t>K179</t>
  </si>
  <si>
    <t>K180</t>
  </si>
  <si>
    <t>K181</t>
  </si>
  <si>
    <t>8508</t>
  </si>
  <si>
    <t>0949</t>
  </si>
  <si>
    <t>8506</t>
  </si>
  <si>
    <t>8505</t>
  </si>
  <si>
    <t>8504</t>
  </si>
  <si>
    <t>8503</t>
  </si>
  <si>
    <t>8502</t>
  </si>
  <si>
    <t>8501</t>
  </si>
  <si>
    <t>0942</t>
  </si>
  <si>
    <t>3196</t>
  </si>
  <si>
    <t>4214</t>
  </si>
  <si>
    <t>8513</t>
  </si>
  <si>
    <t>8512</t>
  </si>
  <si>
    <t>8511</t>
  </si>
  <si>
    <t>8510</t>
  </si>
  <si>
    <t>8509</t>
  </si>
  <si>
    <t>8524</t>
  </si>
  <si>
    <t>0387</t>
  </si>
  <si>
    <t>0315</t>
  </si>
  <si>
    <t>0336</t>
  </si>
  <si>
    <t>8520</t>
  </si>
  <si>
    <t>8519</t>
  </si>
  <si>
    <t>8518</t>
  </si>
  <si>
    <t>8517</t>
  </si>
  <si>
    <t>8532</t>
  </si>
  <si>
    <t>0964</t>
  </si>
  <si>
    <t>8530</t>
  </si>
  <si>
    <t>4215</t>
  </si>
  <si>
    <t>8528</t>
  </si>
  <si>
    <t>8527</t>
  </si>
  <si>
    <t>8526</t>
  </si>
  <si>
    <t>8525</t>
  </si>
  <si>
    <t>K182</t>
  </si>
  <si>
    <t>K183</t>
  </si>
  <si>
    <t>K184</t>
  </si>
  <si>
    <t>K185</t>
  </si>
  <si>
    <t>K186</t>
  </si>
  <si>
    <t>K187</t>
  </si>
  <si>
    <t>K188</t>
  </si>
  <si>
    <t>K189</t>
  </si>
  <si>
    <t>0950</t>
  </si>
  <si>
    <t>8539</t>
  </si>
  <si>
    <t>8538</t>
  </si>
  <si>
    <t>8537</t>
  </si>
  <si>
    <t>8536</t>
  </si>
  <si>
    <t>8535</t>
  </si>
  <si>
    <t>8534</t>
  </si>
  <si>
    <t>8533</t>
  </si>
  <si>
    <t>0975</t>
  </si>
  <si>
    <t>0940</t>
  </si>
  <si>
    <t>8554</t>
  </si>
  <si>
    <t>0469</t>
  </si>
  <si>
    <t>0470</t>
  </si>
  <si>
    <t>3211</t>
  </si>
  <si>
    <t>8550</t>
  </si>
  <si>
    <t>8549</t>
  </si>
  <si>
    <t>8564</t>
  </si>
  <si>
    <t>8563</t>
  </si>
  <si>
    <t>3122</t>
  </si>
  <si>
    <t>8561</t>
  </si>
  <si>
    <t>0362</t>
  </si>
  <si>
    <t>8559</t>
  </si>
  <si>
    <t>8558</t>
  </si>
  <si>
    <t>4198</t>
  </si>
  <si>
    <t>0N68</t>
  </si>
  <si>
    <t>8571</t>
  </si>
  <si>
    <t>0N22</t>
  </si>
  <si>
    <t>8569</t>
  </si>
  <si>
    <t>8568</t>
  </si>
  <si>
    <t>8567</t>
  </si>
  <si>
    <t>8566</t>
  </si>
  <si>
    <t>8565</t>
  </si>
  <si>
    <t>8580</t>
  </si>
  <si>
    <t>8579</t>
  </si>
  <si>
    <t>8578</t>
  </si>
  <si>
    <t>8577</t>
  </si>
  <si>
    <t>8576</t>
  </si>
  <si>
    <t>8575</t>
  </si>
  <si>
    <t>8574</t>
  </si>
  <si>
    <t>8573</t>
  </si>
  <si>
    <t>0477</t>
  </si>
  <si>
    <t>8586</t>
  </si>
  <si>
    <t>0501</t>
  </si>
  <si>
    <t>8584</t>
  </si>
  <si>
    <t>4194</t>
  </si>
  <si>
    <t>8582</t>
  </si>
  <si>
    <t>8581</t>
  </si>
  <si>
    <t>8645</t>
  </si>
  <si>
    <t>K190</t>
  </si>
  <si>
    <t>K191</t>
  </si>
  <si>
    <t>K192</t>
  </si>
  <si>
    <t>K193</t>
  </si>
  <si>
    <t>K194</t>
  </si>
  <si>
    <t>K195</t>
  </si>
  <si>
    <t>K196</t>
  </si>
  <si>
    <t>K197</t>
  </si>
  <si>
    <t>K198</t>
  </si>
  <si>
    <t>K199</t>
  </si>
  <si>
    <t>K200</t>
  </si>
  <si>
    <t>K201</t>
  </si>
  <si>
    <t>K202</t>
  </si>
  <si>
    <t>K203</t>
  </si>
  <si>
    <t>K204</t>
  </si>
  <si>
    <t>K205</t>
  </si>
  <si>
    <t>9530</t>
  </si>
  <si>
    <t>K206</t>
  </si>
  <si>
    <t>K207</t>
  </si>
  <si>
    <t>9526</t>
  </si>
  <si>
    <t>K208</t>
  </si>
  <si>
    <t>K209</t>
  </si>
  <si>
    <t>K210</t>
  </si>
  <si>
    <t>K211</t>
  </si>
  <si>
    <t>8596</t>
  </si>
  <si>
    <t>8595</t>
  </si>
  <si>
    <t>0572</t>
  </si>
  <si>
    <t>5219</t>
  </si>
  <si>
    <t>0318</t>
  </si>
  <si>
    <t>8591</t>
  </si>
  <si>
    <t>0523</t>
  </si>
  <si>
    <t>8589</t>
  </si>
  <si>
    <t>0989</t>
  </si>
  <si>
    <t>8603</t>
  </si>
  <si>
    <t>8602</t>
  </si>
  <si>
    <t>5226</t>
  </si>
  <si>
    <t>8600</t>
  </si>
  <si>
    <t>8599</t>
  </si>
  <si>
    <t>8598</t>
  </si>
  <si>
    <t>0419</t>
  </si>
  <si>
    <t>8612</t>
  </si>
  <si>
    <t>8611</t>
  </si>
  <si>
    <t>8610</t>
  </si>
  <si>
    <t>8609</t>
  </si>
  <si>
    <t>8608</t>
  </si>
  <si>
    <t>8607</t>
  </si>
  <si>
    <t>4234</t>
  </si>
  <si>
    <t>8605</t>
  </si>
  <si>
    <t>5260</t>
  </si>
  <si>
    <t>0N17</t>
  </si>
  <si>
    <t>5117</t>
  </si>
  <si>
    <t>8617</t>
  </si>
  <si>
    <t>8616</t>
  </si>
  <si>
    <t>8615</t>
  </si>
  <si>
    <t>0533</t>
  </si>
  <si>
    <t>8613</t>
  </si>
  <si>
    <t>K212</t>
  </si>
  <si>
    <t>K213</t>
  </si>
  <si>
    <t>K214</t>
  </si>
  <si>
    <t>K215</t>
  </si>
  <si>
    <t>K216</t>
  </si>
  <si>
    <t>K217</t>
  </si>
  <si>
    <t>K218</t>
  </si>
  <si>
    <t>9582</t>
  </si>
  <si>
    <t>8635</t>
  </si>
  <si>
    <t>5132</t>
  </si>
  <si>
    <t>8633</t>
  </si>
  <si>
    <t>8632</t>
  </si>
  <si>
    <t>8631</t>
  </si>
  <si>
    <t>K219</t>
  </si>
  <si>
    <t>0587</t>
  </si>
  <si>
    <t>0427</t>
  </si>
  <si>
    <t>8643</t>
  </si>
  <si>
    <t>8642</t>
  </si>
  <si>
    <t>8641</t>
  </si>
  <si>
    <t>7027</t>
  </si>
  <si>
    <t>8639</t>
  </si>
  <si>
    <t>8638</t>
  </si>
  <si>
    <t>4181</t>
  </si>
  <si>
    <t>K220</t>
  </si>
  <si>
    <t>0944</t>
  </si>
  <si>
    <t>0R08</t>
  </si>
  <si>
    <t>8650</t>
  </si>
  <si>
    <t>8649</t>
  </si>
  <si>
    <t>4115</t>
  </si>
  <si>
    <t>8647</t>
  </si>
  <si>
    <t>8646</t>
  </si>
  <si>
    <t>K221</t>
  </si>
  <si>
    <t>8659</t>
  </si>
  <si>
    <t>8658</t>
  </si>
  <si>
    <t>8657</t>
  </si>
  <si>
    <t>8656</t>
  </si>
  <si>
    <t>8655</t>
  </si>
  <si>
    <t>8654</t>
  </si>
  <si>
    <t>K222</t>
  </si>
  <si>
    <t>8653</t>
  </si>
  <si>
    <t>8675</t>
  </si>
  <si>
    <t>8674</t>
  </si>
  <si>
    <t>8673</t>
  </si>
  <si>
    <t>8672</t>
  </si>
  <si>
    <t>K223</t>
  </si>
  <si>
    <t>8671</t>
  </si>
  <si>
    <t>8670</t>
  </si>
  <si>
    <t>8669</t>
  </si>
  <si>
    <t>9531</t>
  </si>
  <si>
    <t>K224</t>
  </si>
  <si>
    <t>K225</t>
  </si>
  <si>
    <t>K226</t>
  </si>
  <si>
    <t>K227</t>
  </si>
  <si>
    <t>K228</t>
  </si>
  <si>
    <t>K229</t>
  </si>
  <si>
    <t>K230</t>
  </si>
  <si>
    <t>K231</t>
  </si>
  <si>
    <t>K232</t>
  </si>
  <si>
    <t>K233</t>
  </si>
  <si>
    <t>K234</t>
  </si>
  <si>
    <t>K235</t>
  </si>
  <si>
    <t>K236</t>
  </si>
  <si>
    <t>K237</t>
  </si>
  <si>
    <t>K238</t>
  </si>
  <si>
    <t>K239</t>
  </si>
  <si>
    <t>K240</t>
  </si>
  <si>
    <t>K241</t>
  </si>
  <si>
    <t>K242</t>
  </si>
  <si>
    <t>K243</t>
  </si>
  <si>
    <t>K244</t>
  </si>
  <si>
    <t>K245</t>
  </si>
  <si>
    <t>K246</t>
  </si>
  <si>
    <t>K247</t>
  </si>
  <si>
    <t>K248</t>
  </si>
  <si>
    <t>K249</t>
  </si>
  <si>
    <t>K250</t>
  </si>
  <si>
    <t>K251</t>
  </si>
  <si>
    <t>K252</t>
  </si>
  <si>
    <t>K253</t>
  </si>
  <si>
    <t>K254</t>
  </si>
  <si>
    <t>K255</t>
  </si>
  <si>
    <t>K256</t>
  </si>
  <si>
    <t>K257</t>
  </si>
  <si>
    <t>K258</t>
  </si>
  <si>
    <t>K259</t>
  </si>
  <si>
    <t>K260</t>
  </si>
  <si>
    <t>K261</t>
  </si>
  <si>
    <t>K262</t>
  </si>
  <si>
    <t>8708</t>
  </si>
  <si>
    <t>8698</t>
  </si>
  <si>
    <t>8697</t>
  </si>
  <si>
    <t>8696</t>
  </si>
  <si>
    <t>8695</t>
  </si>
  <si>
    <t>8694</t>
  </si>
  <si>
    <t>8693</t>
  </si>
  <si>
    <t>K263</t>
  </si>
  <si>
    <t>8692</t>
  </si>
  <si>
    <t>8691</t>
  </si>
  <si>
    <t>8690</t>
  </si>
  <si>
    <t>8689</t>
  </si>
  <si>
    <t>8688</t>
  </si>
  <si>
    <t>8687</t>
  </si>
  <si>
    <t>8686</t>
  </si>
  <si>
    <t>0R05</t>
  </si>
  <si>
    <t>8707</t>
  </si>
  <si>
    <t>8706</t>
  </si>
  <si>
    <t>8705</t>
  </si>
  <si>
    <t>8704</t>
  </si>
  <si>
    <t>8703</t>
  </si>
  <si>
    <t>8702</t>
  </si>
  <si>
    <t>8701</t>
  </si>
  <si>
    <t>K264</t>
  </si>
  <si>
    <t>0481</t>
  </si>
  <si>
    <t>8714</t>
  </si>
  <si>
    <t>8713</t>
  </si>
  <si>
    <t>8712</t>
  </si>
  <si>
    <t>8711</t>
  </si>
  <si>
    <t>8710</t>
  </si>
  <si>
    <t>8709</t>
  </si>
  <si>
    <t>K265</t>
  </si>
  <si>
    <t>K266</t>
  </si>
  <si>
    <t>K267</t>
  </si>
  <si>
    <t>K268</t>
  </si>
  <si>
    <t>K269</t>
  </si>
  <si>
    <t>K270</t>
  </si>
  <si>
    <t>K271</t>
  </si>
  <si>
    <t>K272</t>
  </si>
  <si>
    <t>K273</t>
  </si>
  <si>
    <t>K274</t>
  </si>
  <si>
    <t>K275</t>
  </si>
  <si>
    <t>K276</t>
  </si>
  <si>
    <t>K277</t>
  </si>
  <si>
    <t>K278</t>
  </si>
  <si>
    <t>K279</t>
  </si>
  <si>
    <t>K280</t>
  </si>
  <si>
    <t>K281</t>
  </si>
  <si>
    <t>K282</t>
  </si>
  <si>
    <t>8747</t>
  </si>
  <si>
    <t>8746</t>
  </si>
  <si>
    <t>8745</t>
  </si>
  <si>
    <t>8744</t>
  </si>
  <si>
    <t>8743</t>
  </si>
  <si>
    <t>8742</t>
  </si>
  <si>
    <t>8741</t>
  </si>
  <si>
    <t>8756</t>
  </si>
  <si>
    <t>0N05</t>
  </si>
  <si>
    <t>8754</t>
  </si>
  <si>
    <t>8753</t>
  </si>
  <si>
    <t>8752</t>
  </si>
  <si>
    <t>8751</t>
  </si>
  <si>
    <t>8750</t>
  </si>
  <si>
    <t>8749</t>
  </si>
  <si>
    <t>8780</t>
  </si>
  <si>
    <t>8763</t>
  </si>
  <si>
    <t>8762</t>
  </si>
  <si>
    <t>8761</t>
  </si>
  <si>
    <t>8760</t>
  </si>
  <si>
    <t>8759</t>
  </si>
  <si>
    <t>8758</t>
  </si>
  <si>
    <t>8757</t>
  </si>
  <si>
    <t>8771</t>
  </si>
  <si>
    <t>8770</t>
  </si>
  <si>
    <t>8769</t>
  </si>
  <si>
    <t>8768</t>
  </si>
  <si>
    <t>8767</t>
  </si>
  <si>
    <t>8766</t>
  </si>
  <si>
    <t>8765</t>
  </si>
  <si>
    <t>K283</t>
  </si>
  <si>
    <t>8779</t>
  </si>
  <si>
    <t>8778</t>
  </si>
  <si>
    <t>0302</t>
  </si>
  <si>
    <t>8776</t>
  </si>
  <si>
    <t>8775</t>
  </si>
  <si>
    <t>8774</t>
  </si>
  <si>
    <t>K284</t>
  </si>
  <si>
    <t>8773</t>
  </si>
  <si>
    <t>X179</t>
  </si>
  <si>
    <t>8093</t>
  </si>
  <si>
    <t>X122</t>
  </si>
  <si>
    <t>8085</t>
  </si>
  <si>
    <t>X185</t>
  </si>
  <si>
    <t>X124</t>
  </si>
  <si>
    <t>X123</t>
  </si>
  <si>
    <t>X127</t>
  </si>
  <si>
    <t>X174</t>
  </si>
  <si>
    <t>0526</t>
  </si>
  <si>
    <t>X177</t>
  </si>
  <si>
    <t>8021</t>
  </si>
  <si>
    <t>8045</t>
  </si>
  <si>
    <t>X117</t>
  </si>
  <si>
    <t>0520</t>
  </si>
  <si>
    <t>X118</t>
  </si>
  <si>
    <t>7973</t>
  </si>
  <si>
    <t>X206</t>
  </si>
  <si>
    <t>X114</t>
  </si>
  <si>
    <t>X113</t>
  </si>
  <si>
    <t>X115</t>
  </si>
  <si>
    <t>0506</t>
  </si>
  <si>
    <t>X120</t>
  </si>
  <si>
    <t>X116</t>
  </si>
  <si>
    <t>X110</t>
  </si>
  <si>
    <t>7974</t>
  </si>
  <si>
    <t>7957</t>
  </si>
  <si>
    <t>X221</t>
  </si>
  <si>
    <t>X111</t>
  </si>
  <si>
    <t>X112</t>
  </si>
  <si>
    <t>X207</t>
  </si>
  <si>
    <t>X196</t>
  </si>
  <si>
    <t>X170</t>
  </si>
  <si>
    <t>7950</t>
  </si>
  <si>
    <t>7941</t>
  </si>
  <si>
    <t>X109</t>
  </si>
  <si>
    <t>X220</t>
  </si>
  <si>
    <t>7917</t>
  </si>
  <si>
    <t>X107</t>
  </si>
  <si>
    <t>3176</t>
  </si>
  <si>
    <t>7910</t>
  </si>
  <si>
    <t>X161</t>
  </si>
  <si>
    <t>7909</t>
  </si>
  <si>
    <t>X219</t>
  </si>
  <si>
    <t>7893</t>
  </si>
  <si>
    <t>7901</t>
  </si>
  <si>
    <t>X169</t>
  </si>
  <si>
    <t>X172</t>
  </si>
  <si>
    <t>X216</t>
  </si>
  <si>
    <t>7869</t>
  </si>
  <si>
    <t>X166</t>
  </si>
  <si>
    <t>X218</t>
  </si>
  <si>
    <t>X217</t>
  </si>
  <si>
    <t>X214</t>
  </si>
  <si>
    <t>X173</t>
  </si>
  <si>
    <t>X106</t>
  </si>
  <si>
    <t>7870</t>
  </si>
  <si>
    <t>7861</t>
  </si>
  <si>
    <t>X105</t>
  </si>
  <si>
    <t>X215</t>
  </si>
  <si>
    <t>X167</t>
  </si>
  <si>
    <t>X101</t>
  </si>
  <si>
    <t>X102</t>
  </si>
  <si>
    <t>X213</t>
  </si>
  <si>
    <t>7862</t>
  </si>
  <si>
    <t>X212</t>
  </si>
  <si>
    <t>X104</t>
  </si>
  <si>
    <t>X103</t>
  </si>
  <si>
    <t>X210</t>
  </si>
  <si>
    <t>7829</t>
  </si>
  <si>
    <t>X225</t>
  </si>
  <si>
    <t>X224</t>
  </si>
  <si>
    <t>X168</t>
  </si>
  <si>
    <t>X209</t>
  </si>
  <si>
    <t>X223</t>
  </si>
  <si>
    <t>9365</t>
  </si>
  <si>
    <t>7741</t>
  </si>
  <si>
    <t>X222</t>
  </si>
  <si>
    <t>X160</t>
  </si>
  <si>
    <t>X158</t>
  </si>
  <si>
    <t>X165</t>
  </si>
  <si>
    <t>7774</t>
  </si>
  <si>
    <t>7773</t>
  </si>
  <si>
    <t>X211</t>
  </si>
  <si>
    <t>X159</t>
  </si>
  <si>
    <t>X176</t>
  </si>
  <si>
    <t>X184</t>
  </si>
  <si>
    <t>X156</t>
  </si>
  <si>
    <t>7566</t>
  </si>
  <si>
    <t>X175</t>
  </si>
  <si>
    <t>X193</t>
  </si>
  <si>
    <t>X192</t>
  </si>
  <si>
    <t>X194</t>
  </si>
  <si>
    <t>X155</t>
  </si>
  <si>
    <t>7581</t>
  </si>
  <si>
    <t>X153</t>
  </si>
  <si>
    <t>7438</t>
  </si>
  <si>
    <t>X182</t>
  </si>
  <si>
    <t>X183</t>
  </si>
  <si>
    <t>X149</t>
  </si>
  <si>
    <t>X181</t>
  </si>
  <si>
    <t>X151</t>
  </si>
  <si>
    <t>X152</t>
  </si>
  <si>
    <t>X150</t>
  </si>
  <si>
    <t>X171</t>
  </si>
  <si>
    <t>7359</t>
  </si>
  <si>
    <t>X190</t>
  </si>
  <si>
    <t>X191</t>
  </si>
  <si>
    <t>X147</t>
  </si>
  <si>
    <t>X164</t>
  </si>
  <si>
    <t>0161</t>
  </si>
  <si>
    <t>X148</t>
  </si>
  <si>
    <t>7328</t>
  </si>
  <si>
    <t>7327</t>
  </si>
  <si>
    <t>X195</t>
  </si>
  <si>
    <t>X189</t>
  </si>
  <si>
    <t>X188</t>
  </si>
  <si>
    <t>X146</t>
  </si>
  <si>
    <t>X145</t>
  </si>
  <si>
    <t>X144</t>
  </si>
  <si>
    <t>X180</t>
  </si>
  <si>
    <t>X186</t>
  </si>
  <si>
    <t>7157</t>
  </si>
  <si>
    <t>X187</t>
  </si>
  <si>
    <t>7213</t>
  </si>
  <si>
    <t>7245</t>
  </si>
  <si>
    <t>X142</t>
  </si>
  <si>
    <t>X143</t>
  </si>
  <si>
    <t>X178</t>
  </si>
  <si>
    <t>X205</t>
  </si>
  <si>
    <t>X138</t>
  </si>
  <si>
    <t>X137</t>
  </si>
  <si>
    <t>X139</t>
  </si>
  <si>
    <t>X140</t>
  </si>
  <si>
    <t>X141</t>
  </si>
  <si>
    <t>8197</t>
  </si>
  <si>
    <t>X204</t>
  </si>
  <si>
    <t>8126</t>
  </si>
  <si>
    <t>X132</t>
  </si>
  <si>
    <t>X131</t>
  </si>
  <si>
    <t>X133</t>
  </si>
  <si>
    <t>X136</t>
  </si>
  <si>
    <t>X135</t>
  </si>
  <si>
    <t>X162</t>
  </si>
  <si>
    <t>8094</t>
  </si>
  <si>
    <t>X202</t>
  </si>
  <si>
    <t>X126</t>
  </si>
  <si>
    <t>X125</t>
  </si>
  <si>
    <t>X130</t>
  </si>
  <si>
    <t>X129</t>
  </si>
  <si>
    <t>X128</t>
  </si>
  <si>
    <t>X134</t>
  </si>
  <si>
    <t>X199</t>
  </si>
  <si>
    <t>X203</t>
  </si>
  <si>
    <t>X200</t>
  </si>
  <si>
    <t>X201</t>
  </si>
  <si>
    <t>X198</t>
  </si>
  <si>
    <t>X197</t>
  </si>
  <si>
    <t>X163</t>
  </si>
  <si>
    <t>almond sand
- 8512
sands of time - 4202
Cookie dough - 8762</t>
  </si>
  <si>
    <t xml:space="preserve"> 
pale sisal
-  L155
icy peak
-  L109
ivory coast
-  3165</t>
  </si>
  <si>
    <t>warmstone
-  0N02
basra pearl-n
-  0974
meadow lark
-  8499</t>
  </si>
  <si>
    <t>Cream</t>
  </si>
  <si>
    <t>L152 - CREAM PIE</t>
  </si>
  <si>
    <t>RAL 6014</t>
  </si>
  <si>
    <t>Yellow Olive</t>
  </si>
  <si>
    <t>71 , 65 , 53</t>
  </si>
  <si>
    <t>8293 Carbon Copy
8253 Raven Song</t>
  </si>
  <si>
    <t>192 , 175 , 155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</si>
</sst>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trike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2B48C"/>
        <bgColor indexed="64"/>
      </patternFill>
    </fill>
    <fill>
      <patternFill patternType="solid">
        <fgColor rgb="FFE8D6BB"/>
        <bgColor indexed="64"/>
      </patternFill>
    </fill>
    <fill>
      <patternFill patternType="solid">
        <fgColor rgb="FFEEEEED"/>
        <bgColor indexed="64"/>
      </patternFill>
    </fill>
    <fill>
      <patternFill patternType="solid">
        <fgColor rgb="FFE3D5BB"/>
        <bgColor indexed="64"/>
      </patternFill>
    </fill>
    <fill>
      <patternFill patternType="solid">
        <fgColor rgb="FFD4E963"/>
        <bgColor indexed="64"/>
      </patternFill>
    </fill>
    <fill>
      <patternFill patternType="solid">
        <fgColor rgb="FFC8C0B1"/>
        <bgColor indexed="64"/>
      </patternFill>
    </fill>
    <fill>
      <patternFill patternType="solid">
        <fgColor rgb="FFA19D91"/>
        <bgColor indexed="64"/>
      </patternFill>
    </fill>
    <fill>
      <patternFill patternType="solid">
        <fgColor rgb="FF9A896F"/>
        <bgColor indexed="64"/>
      </patternFill>
    </fill>
    <fill>
      <patternFill patternType="solid">
        <fgColor rgb="FFA19277"/>
        <bgColor indexed="64"/>
      </patternFill>
    </fill>
    <fill>
      <patternFill patternType="solid">
        <fgColor rgb="FFB6A996"/>
        <bgColor indexed="64"/>
      </patternFill>
    </fill>
    <fill>
      <patternFill patternType="solid">
        <fgColor rgb="FFB2BA9A"/>
        <bgColor indexed="64"/>
      </patternFill>
    </fill>
    <fill>
      <patternFill patternType="solid">
        <fgColor rgb="FFC4C499"/>
        <bgColor indexed="64"/>
      </patternFill>
    </fill>
    <fill>
      <patternFill patternType="solid">
        <fgColor rgb="FFF6F3E8"/>
        <bgColor indexed="64"/>
      </patternFill>
    </fill>
    <fill>
      <patternFill patternType="solid">
        <fgColor rgb="FF474135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theme="4"/>
      </top>
      <bottom/>
      <diagonal/>
    </border>
    <border>
      <left/>
      <right/>
      <top style="thin">
        <color rgb="FF15608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2" xfId="0" applyBorder="1"/>
    <xf numFmtId="1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3" xfId="0" applyBorder="1"/>
    <xf numFmtId="16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0" fontId="0" fillId="5" borderId="0" xfId="0" applyFill="1"/>
    <xf numFmtId="0" fontId="0" fillId="0" borderId="4" xfId="0" applyBorder="1"/>
    <xf numFmtId="0" fontId="3" fillId="7" borderId="5" xfId="0" applyFont="1" applyFill="1" applyBorder="1" applyAlignment="1">
      <alignment wrapText="1"/>
    </xf>
    <xf numFmtId="0" fontId="3" fillId="8" borderId="5" xfId="0" applyFont="1" applyFill="1" applyBorder="1" applyAlignment="1">
      <alignment wrapText="1"/>
    </xf>
    <xf numFmtId="0" fontId="3" fillId="9" borderId="5" xfId="0" applyFont="1" applyFill="1" applyBorder="1" applyAlignment="1">
      <alignment wrapText="1"/>
    </xf>
    <xf numFmtId="0" fontId="3" fillId="10" borderId="5" xfId="0" applyFont="1" applyFill="1" applyBorder="1" applyAlignment="1">
      <alignment wrapText="1"/>
    </xf>
    <xf numFmtId="0" fontId="3" fillId="11" borderId="5" xfId="0" applyFont="1" applyFill="1" applyBorder="1" applyAlignment="1">
      <alignment wrapText="1"/>
    </xf>
    <xf numFmtId="49" fontId="0" fillId="0" borderId="0" xfId="0" applyNumberFormat="1"/>
    <xf numFmtId="3" fontId="0" fillId="12" borderId="0" xfId="0" applyNumberFormat="1" applyFill="1"/>
    <xf numFmtId="3" fontId="0" fillId="13" borderId="0" xfId="0" applyNumberFormat="1" applyFill="1"/>
    <xf numFmtId="0" fontId="0" fillId="0" borderId="6" xfId="0" applyBorder="1"/>
    <xf numFmtId="164" fontId="0" fillId="0" borderId="6" xfId="0" applyNumberFormat="1" applyBorder="1"/>
    <xf numFmtId="0" fontId="2" fillId="6" borderId="6" xfId="0" applyFont="1" applyFill="1" applyBorder="1"/>
    <xf numFmtId="0" fontId="0" fillId="0" borderId="6" xfId="0" applyBorder="1" applyAlignment="1">
      <alignment wrapText="1"/>
    </xf>
    <xf numFmtId="0" fontId="0" fillId="4" borderId="6" xfId="0" applyFill="1" applyBorder="1"/>
    <xf numFmtId="0" fontId="0" fillId="2" borderId="6" xfId="0" applyFill="1" applyBorder="1"/>
    <xf numFmtId="0" fontId="4" fillId="0" borderId="6" xfId="0" applyFont="1" applyBorder="1"/>
    <xf numFmtId="164" fontId="4" fillId="0" borderId="6" xfId="0" applyNumberFormat="1" applyFont="1" applyBorder="1"/>
    <xf numFmtId="0" fontId="4" fillId="3" borderId="6" xfId="0" applyFont="1" applyFill="1" applyBorder="1"/>
    <xf numFmtId="0" fontId="4" fillId="0" borderId="6" xfId="0" applyFont="1" applyBorder="1" applyAlignment="1">
      <alignment wrapText="1"/>
    </xf>
    <xf numFmtId="0" fontId="0" fillId="0" borderId="7" xfId="0" applyBorder="1"/>
    <xf numFmtId="164" fontId="0" fillId="0" borderId="7" xfId="0" applyNumberFormat="1" applyBorder="1"/>
    <xf numFmtId="44" fontId="0" fillId="0" borderId="0" xfId="1" applyFont="1" applyBorder="1"/>
    <xf numFmtId="0" fontId="0" fillId="0" borderId="7" xfId="0" applyBorder="1" applyAlignment="1">
      <alignment wrapText="1"/>
    </xf>
    <xf numFmtId="0" fontId="0" fillId="14" borderId="7" xfId="0" applyFill="1" applyBorder="1"/>
    <xf numFmtId="0" fontId="0" fillId="15" borderId="7" xfId="0" applyFill="1" applyBorder="1"/>
  </cellXfs>
  <cellStyles count="2">
    <cellStyle name="Currency" xfId="1" builtinId="4"/>
    <cellStyle name="Normal" xfId="0" builtinId="0"/>
  </cellStyles>
  <dxfs count="45">
    <dxf>
      <numFmt numFmtId="0" formatCode="General"/>
    </dxf>
    <dxf>
      <numFmt numFmtId="0" formatCode="General"/>
    </dxf>
    <dxf>
      <numFmt numFmtId="3" formatCode="#,##0"/>
    </dxf>
    <dxf>
      <numFmt numFmtId="30" formatCode="@"/>
    </dxf>
    <dxf>
      <numFmt numFmtId="0" formatCode="General"/>
    </dxf>
    <dxf>
      <numFmt numFmtId="0" formatCode="General"/>
    </dxf>
    <dxf>
      <numFmt numFmtId="3" formatCode="#,##0"/>
    </dxf>
    <dxf>
      <numFmt numFmtId="34" formatCode="_ &quot;₹&quot;\ * #,##0.00_ ;_ &quot;₹&quot;\ * \-#,##0.00_ ;_ &quot;₹&quot;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4" formatCode="0.000"/>
    </dxf>
    <dxf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alignment horizontal="general" vertical="bottom" textRotation="0" wrapText="1" indent="0" justifyLastLine="0" shrinkToFit="0" readingOrder="0"/>
    </dxf>
    <dxf>
      <numFmt numFmtId="34" formatCode="_ &quot;₹&quot;\ * #,##0.00_ ;_ &quot;₹&quot;\ * \-#,##0.00_ ;_ &quot;₹&quot;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474135"/>
      <color rgb="FFF6F3E8"/>
      <color rgb="FFC4C499"/>
      <color rgb="FFB2BA9A"/>
      <color rgb="FFD4E963"/>
      <color rgb="FF2A2926"/>
      <color rgb="FFE3D5BB"/>
      <color rgb="FFFFFDE9"/>
      <color rgb="FFFFF9E4"/>
      <color rgb="FFF6E9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316114-A793-455B-8269-58C87CD23A72}" name="Table23" displayName="Table23" ref="A1:S6" totalsRowShown="0" headerRowDxfId="22">
  <autoFilter ref="A1:S6" xr:uid="{3C316114-A793-455B-8269-58C87CD23A72}"/>
  <sortState xmlns:xlrd2="http://schemas.microsoft.com/office/spreadsheetml/2017/richdata2" ref="A2:S2">
    <sortCondition descending="1" ref="E1:E2"/>
  </sortState>
  <tableColumns count="19">
    <tableColumn id="18" xr3:uid="{57E3BB5B-49D9-468D-89A7-7C9143209500}" name="Type" dataDxfId="21"/>
    <tableColumn id="1" xr3:uid="{43B87BA8-9BD9-49BA-BC63-E19B7C87FDF7}" name="Shade" dataDxfId="20" totalsRowDxfId="19"/>
    <tableColumn id="2" xr3:uid="{90ACA775-5482-41FF-941B-8F66D3406E32}" name="Colour"/>
    <tableColumn id="15" xr3:uid="{C09E9E2D-0B56-47A1-BF9E-3A6A1F8C2680}" name="Hex Value"/>
    <tableColumn id="17" xr3:uid="{0777D3E7-FA19-4529-B8F1-A69B7C85605B}" name="Lum  Value" dataDxfId="18">
      <calculatedColumnFormula>0.2126 * (HEX2DEC(MID(Table23[[#This Row],[Hex Value]], 1, 2))/255) + 0.7152 * (HEX2DEC(MID(Table23[[#This Row],[Hex Value]], 3, 2))/255) + 0.0722 * (HEX2DEC(MID(Table23[[#This Row],[Hex Value]], 5, 2))/255)</calculatedColumnFormula>
    </tableColumn>
    <tableColumn id="3" xr3:uid="{A2F7D1CE-AEBC-4009-8721-BA8BA2323807}" name="Shade Paint"/>
    <tableColumn id="4" xr3:uid="{2A3BBB91-E7A0-49DA-9FB1-71CEAA30514D}" name="RGB" dataDxfId="17" totalsRowDxfId="16">
      <calculatedColumnFormula>_xlfn.CONCAT(HEX2DEC(MID(Table23[[#This Row],[Hex Value]], 1, 2))," , ",HEX2DEC(MID(Table23[[#This Row],[Hex Value]], 3, 2))," , ",HEX2DEC(MID(Table23[[#This Row],[Hex Value]], 5, 2)))</calculatedColumnFormula>
    </tableColumn>
    <tableColumn id="20" xr3:uid="{A8F5522C-5DBE-4D30-BD06-A5D790DCB0C8}" name="Asian Colour" totalsRowDxfId="15"/>
    <tableColumn id="19" xr3:uid="{03BB4540-6BBA-4158-B455-81D0EF76A814}" name="Sno" totalsRowDxfId="14"/>
    <tableColumn id="5" xr3:uid="{61E578BB-1305-4218-83BF-F54262904F29}" name="Quantity sft" dataDxfId="13"/>
    <tableColumn id="6" xr3:uid="{B2E900FF-1D38-4590-ABAC-8E5B01DEA9F6}" name="Grade"/>
    <tableColumn id="7" xr3:uid="{DCFEF00C-7C1C-4057-A79A-68694E37713C}" name="Material"/>
    <tableColumn id="9" xr3:uid="{88B75E67-582E-4000-B8A4-5A46ECA4D581}" name="Coverage" dataDxfId="12"/>
    <tableColumn id="8" xr3:uid="{435D555B-4230-4CCE-80E9-26294C6C960C}" name="Coats"/>
    <tableColumn id="10" xr3:uid="{070AC4CB-64B2-491B-8A24-4FA4743D5EC6}" name="Quantity" dataDxfId="11"/>
    <tableColumn id="11" xr3:uid="{0B351053-A8D9-4010-BAF1-C18C895259AF}" name="Bottle size" dataDxfId="10"/>
    <tableColumn id="12" xr3:uid="{DF142FC1-F610-46AC-8DEE-1DA6654D4F70}" name="Cost" totalsRowDxfId="9" dataCellStyle="Currency" totalsRowCellStyle="Currency"/>
    <tableColumn id="13" xr3:uid="{5DAE8A51-FB84-442B-9FBF-18C96C739F8B}" name="Total" totalsRowDxfId="8" dataCellStyle="Currency" totalsRowCellStyle="Currency">
      <calculatedColumnFormula>Table23[[#This Row],[Cost]]*Table23[[#This Row],[Bottle size]]</calculatedColumnFormula>
    </tableColumn>
    <tableColumn id="14" xr3:uid="{9B4C4CEC-C057-4C70-8D26-2B6E59D169AF}" name="Cost per sqft" dataDxfId="7">
      <calculatedColumnFormula>IFERROR(Table23[[#This Row],[Total]]/Table23[[#This Row],[Quantity sft]],0)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1EBC8F-7A66-44C8-BF3B-B13F695D2ABF}" name="Table237" displayName="Table237" ref="A1:T7" totalsRowShown="0" headerRowDxfId="44">
  <autoFilter ref="A1:T7" xr:uid="{2E1EBC8F-7A66-44C8-BF3B-B13F695D2ABF}"/>
  <sortState xmlns:xlrd2="http://schemas.microsoft.com/office/spreadsheetml/2017/richdata2" ref="A2:T5">
    <sortCondition descending="1" ref="E1:E5"/>
  </sortState>
  <tableColumns count="20">
    <tableColumn id="18" xr3:uid="{43D95BE7-34E8-4E8B-B44B-7C250A79F2B8}" name="Type" dataDxfId="43"/>
    <tableColumn id="1" xr3:uid="{600EA79D-97D0-40ED-A052-C41AE7245A48}" name="Shade" dataDxfId="42" totalsRowDxfId="41"/>
    <tableColumn id="2" xr3:uid="{6F18ACED-4D98-44CE-A288-B7E1D136779B}" name="Colour" dataDxfId="40"/>
    <tableColumn id="15" xr3:uid="{D6E7C209-12EC-42D7-8936-9A5143CF1845}" name="Hex Value" dataDxfId="39"/>
    <tableColumn id="17" xr3:uid="{4B610B7B-A829-45AB-9FCF-C5BAF9BE7E7E}" name="Lum  Value" dataDxfId="38">
      <calculatedColumnFormula>0.2126 * (HEX2DEC(MID(Table237[[#This Row],[Hex Value]], 1, 2))/255) + 0.7152 * (HEX2DEC(MID(Table237[[#This Row],[Hex Value]], 3, 2))/255) + 0.0722 * (HEX2DEC(MID(Table237[[#This Row],[Hex Value]], 5, 2))/255)</calculatedColumnFormula>
    </tableColumn>
    <tableColumn id="3" xr3:uid="{D9566BAD-B667-4263-BC84-BB0809F2E5CC}" name="Shade Paint" dataDxfId="37"/>
    <tableColumn id="4" xr3:uid="{1D396008-41B3-4AE5-AF04-B4356E74577F}" name="RGB" dataDxfId="36" totalsRowDxfId="35">
      <calculatedColumnFormula>_xlfn.CONCAT(HEX2DEC(MID(Table237[[#This Row],[Hex Value]], 1, 2))," , ",HEX2DEC(MID(Table237[[#This Row],[Hex Value]], 3, 2))," , ",HEX2DEC(MID(Table237[[#This Row],[Hex Value]], 5, 2)))</calculatedColumnFormula>
    </tableColumn>
    <tableColumn id="16" xr3:uid="{B1CDCEBD-0672-4091-9664-6FD9433C963B}" name="Berger Colour" dataDxfId="34" totalsRowDxfId="33"/>
    <tableColumn id="20" xr3:uid="{D7633082-C25A-48BD-8961-2EA92248C4AE}" name="Asian Colour" dataDxfId="32" totalsRowDxfId="31"/>
    <tableColumn id="19" xr3:uid="{94CEE4B7-BB46-4F06-AEC2-186D0F1B0568}" name="Sno" totalsRowDxfId="30"/>
    <tableColumn id="5" xr3:uid="{91C9A8B3-1933-49D6-936B-492014665373}" name="Quantity sft" dataDxfId="29"/>
    <tableColumn id="6" xr3:uid="{C47EEB77-61FE-40F4-80D7-B7F2FE7A4738}" name="Grade"/>
    <tableColumn id="7" xr3:uid="{81EEBD19-8A96-481A-9AD9-075DE872340C}" name="Material"/>
    <tableColumn id="9" xr3:uid="{AC9C3864-7EC9-41DE-98E5-C8262B856D41}" name="Coverage" dataDxfId="28"/>
    <tableColumn id="8" xr3:uid="{31067EFF-D01F-4017-A49A-7F951F299B04}" name="Coats"/>
    <tableColumn id="10" xr3:uid="{E165C6AF-2E5D-466D-B618-6C1D2ABC4D3E}" name="Quantity" dataDxfId="27"/>
    <tableColumn id="11" xr3:uid="{730AFC2F-6368-43DB-9AF1-74BE249D3182}" name="Bottle size" dataDxfId="26"/>
    <tableColumn id="12" xr3:uid="{0C2E5E35-CDB7-4A8D-9BBA-8A503CD2D33B}" name="Cost" totalsRowDxfId="25" dataCellStyle="Currency" totalsRowCellStyle="Currency"/>
    <tableColumn id="13" xr3:uid="{0B90E821-BD67-47F8-8311-518ADC63AC8A}" name="Total" totalsRowDxfId="24" dataCellStyle="Currency" totalsRowCellStyle="Currency">
      <calculatedColumnFormula>Table237[[#This Row],[Cost]]*Table237[[#This Row],[Bottle size]]</calculatedColumnFormula>
    </tableColumn>
    <tableColumn id="14" xr3:uid="{52FD236A-401B-4096-8094-7A6521602E93}" name="Cost per sqft" dataDxfId="23">
      <calculatedColumnFormula>IFERROR(Table237[[#This Row],[Total]]/Table237[[#This Row],[Quantity sft]],0)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1F180E-81FE-43B1-B33D-AEDD642067AA}" name="Table1" displayName="Table1" ref="A4:E784" totalsRowShown="0">
  <autoFilter ref="A4:E784" xr:uid="{0F1F180E-81FE-43B1-B33D-AEDD642067AA}"/>
  <sortState xmlns:xlrd2="http://schemas.microsoft.com/office/spreadsheetml/2017/richdata2" ref="A5:E784">
    <sortCondition ref="D4:D784"/>
  </sortState>
  <tableColumns count="5">
    <tableColumn id="1" xr3:uid="{C1FB1135-A039-4D82-BB0F-4E51DB5B283E}" name="Color Code"/>
    <tableColumn id="2" xr3:uid="{FDE062A6-391A-41F3-BD96-3A64C972C02D}" name="Color Name"/>
    <tableColumn id="3" xr3:uid="{8AAD84F7-EA13-4EAF-BAB9-C0200720EA16}" name="RGB Value" dataDxfId="6"/>
    <tableColumn id="4" xr3:uid="{D7118806-256E-45CB-B690-E9EA7704B977}" name="2A2926" dataDxfId="5">
      <calculatedColumnFormula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calculatedColumnFormula>
    </tableColumn>
    <tableColumn id="8" xr3:uid="{E98B6C9C-F48A-4770-ACD3-052D4A304F4E}" name="Concat" dataDxfId="4">
      <calculatedColumnFormula>Table1[[#This Row],[Color Code]] &amp; " - " &amp;Table1[[#This Row],[Color Name]]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D5AE44-5F32-4678-876D-E1AF60C6FA06}" name="Table14" displayName="Table14" ref="A3:E2198" totalsRowShown="0">
  <autoFilter ref="A3:E2198" xr:uid="{E7D5AE44-5F32-4678-876D-E1AF60C6FA06}"/>
  <sortState xmlns:xlrd2="http://schemas.microsoft.com/office/spreadsheetml/2017/richdata2" ref="A4:E2198">
    <sortCondition ref="D3:D2198"/>
  </sortState>
  <tableColumns count="5">
    <tableColumn id="1" xr3:uid="{83339985-4D8E-4F60-94B6-5E52AD7F13C3}" name="Color Code" dataDxfId="3"/>
    <tableColumn id="2" xr3:uid="{3BA85BA8-A055-4799-BB87-27EE3A357219}" name="Color Name"/>
    <tableColumn id="3" xr3:uid="{83F78055-B52B-431D-B64D-754B88A9D9CA}" name="RGB Value" dataDxfId="2"/>
    <tableColumn id="4" xr3:uid="{323AF236-75A4-453F-B470-753BC9CFF4F0}" name="2A2926" dataDxfId="1">
      <calculatedColumnFormula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calculatedColumnFormula>
    </tableColumn>
    <tableColumn id="8" xr3:uid="{CC458EF1-C09B-49FF-8764-4B14CBD8001C}" name="Concat" dataDxfId="0">
      <calculatedColumnFormula>Table14[[#This Row],[Color Code]] &amp; " - " &amp;Table14[[#This Row],[Color Name]]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7BD1-2B27-474B-B1C6-1056B7772B02}">
  <sheetPr codeName="Sheet1"/>
  <dimension ref="A1:D12"/>
  <sheetViews>
    <sheetView workbookViewId="0">
      <selection activeCell="E24" sqref="E24"/>
    </sheetView>
  </sheetViews>
  <sheetFormatPr defaultRowHeight="14.5" x14ac:dyDescent="0.35"/>
  <cols>
    <col min="1" max="1" width="8.26953125" bestFit="1" customWidth="1"/>
    <col min="2" max="2" width="10.7265625" bestFit="1" customWidth="1"/>
  </cols>
  <sheetData>
    <row r="1" spans="1:4" x14ac:dyDescent="0.35">
      <c r="A1" t="s">
        <v>22</v>
      </c>
      <c r="B1" t="s">
        <v>23</v>
      </c>
      <c r="C1" t="s">
        <v>24</v>
      </c>
      <c r="D1" t="s">
        <v>25</v>
      </c>
    </row>
    <row r="2" spans="1:4" x14ac:dyDescent="0.35">
      <c r="A2" t="s">
        <v>12</v>
      </c>
      <c r="B2" t="s">
        <v>0</v>
      </c>
    </row>
    <row r="3" spans="1:4" x14ac:dyDescent="0.35">
      <c r="A3" t="s">
        <v>13</v>
      </c>
      <c r="B3" t="s">
        <v>1</v>
      </c>
    </row>
    <row r="4" spans="1:4" x14ac:dyDescent="0.35">
      <c r="A4" t="s">
        <v>14</v>
      </c>
      <c r="B4" t="s">
        <v>2</v>
      </c>
    </row>
    <row r="5" spans="1:4" x14ac:dyDescent="0.35">
      <c r="A5" t="s">
        <v>15</v>
      </c>
      <c r="B5" t="s">
        <v>3</v>
      </c>
    </row>
    <row r="6" spans="1:4" x14ac:dyDescent="0.35">
      <c r="A6" t="s">
        <v>16</v>
      </c>
      <c r="B6" t="s">
        <v>4</v>
      </c>
    </row>
    <row r="7" spans="1:4" x14ac:dyDescent="0.35">
      <c r="A7" t="s">
        <v>17</v>
      </c>
      <c r="B7" t="s">
        <v>5</v>
      </c>
    </row>
    <row r="8" spans="1:4" x14ac:dyDescent="0.35">
      <c r="A8" t="s">
        <v>18</v>
      </c>
      <c r="B8" t="s">
        <v>6</v>
      </c>
    </row>
    <row r="9" spans="1:4" x14ac:dyDescent="0.35">
      <c r="A9" t="s">
        <v>19</v>
      </c>
      <c r="B9" t="s">
        <v>7</v>
      </c>
    </row>
    <row r="10" spans="1:4" x14ac:dyDescent="0.35">
      <c r="A10" t="s">
        <v>20</v>
      </c>
      <c r="B10" t="s">
        <v>8</v>
      </c>
    </row>
    <row r="11" spans="1:4" x14ac:dyDescent="0.35">
      <c r="A11" t="s">
        <v>21</v>
      </c>
      <c r="B11" t="s">
        <v>9</v>
      </c>
    </row>
    <row r="12" spans="1:4" x14ac:dyDescent="0.35">
      <c r="A12" t="s">
        <v>11</v>
      </c>
      <c r="B1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2E0D-CD16-4E18-A6BB-9FC579886FFB}">
  <sheetPr codeName="Sheet2"/>
  <dimension ref="A1:S6"/>
  <sheetViews>
    <sheetView zoomScaleNormal="100" workbookViewId="0">
      <selection activeCell="H23" sqref="H23"/>
    </sheetView>
  </sheetViews>
  <sheetFormatPr defaultColWidth="9.453125" defaultRowHeight="14.5" x14ac:dyDescent="0.35"/>
  <cols>
    <col min="1" max="1" width="7" bestFit="1" customWidth="1"/>
    <col min="2" max="2" width="12.453125" bestFit="1" customWidth="1"/>
    <col min="3" max="3" width="12.54296875" customWidth="1"/>
    <col min="4" max="4" width="16.7265625" customWidth="1"/>
    <col min="5" max="5" width="11.54296875" bestFit="1" customWidth="1"/>
    <col min="6" max="7" width="13.1796875" bestFit="1" customWidth="1"/>
    <col min="8" max="8" width="13.1796875" customWidth="1"/>
    <col min="9" max="9" width="9.81640625" customWidth="1"/>
    <col min="12" max="12" width="12" bestFit="1" customWidth="1"/>
    <col min="13" max="13" width="10.1796875" bestFit="1" customWidth="1"/>
    <col min="14" max="15" width="11.1796875" bestFit="1" customWidth="1"/>
    <col min="16" max="17" width="10.26953125" bestFit="1" customWidth="1"/>
    <col min="18" max="19" width="9.54296875" bestFit="1" customWidth="1"/>
  </cols>
  <sheetData>
    <row r="1" spans="1:19" s="8" customFormat="1" ht="29" x14ac:dyDescent="0.35">
      <c r="A1" s="8" t="s">
        <v>44</v>
      </c>
      <c r="B1" s="8" t="s">
        <v>26</v>
      </c>
      <c r="C1" s="8" t="s">
        <v>27</v>
      </c>
      <c r="D1" s="8" t="s">
        <v>40</v>
      </c>
      <c r="E1" s="8" t="s">
        <v>48</v>
      </c>
      <c r="F1" s="8" t="s">
        <v>28</v>
      </c>
      <c r="G1" s="8" t="s">
        <v>29</v>
      </c>
      <c r="H1" s="8" t="s">
        <v>49</v>
      </c>
      <c r="I1" s="8" t="s">
        <v>47</v>
      </c>
      <c r="J1" s="8" t="s">
        <v>30</v>
      </c>
      <c r="K1" s="8" t="s">
        <v>31</v>
      </c>
      <c r="L1" s="8" t="s">
        <v>32</v>
      </c>
      <c r="M1" s="8" t="s">
        <v>33</v>
      </c>
      <c r="N1" s="8" t="s">
        <v>34</v>
      </c>
      <c r="O1" s="8" t="s">
        <v>35</v>
      </c>
      <c r="P1" s="8" t="s">
        <v>36</v>
      </c>
      <c r="Q1" s="8" t="s">
        <v>37</v>
      </c>
      <c r="R1" s="8" t="s">
        <v>38</v>
      </c>
      <c r="S1" s="8" t="s">
        <v>39</v>
      </c>
    </row>
    <row r="2" spans="1:19" x14ac:dyDescent="0.35">
      <c r="A2" s="6" t="s">
        <v>45</v>
      </c>
      <c r="B2" s="1"/>
      <c r="D2" t="s">
        <v>2396</v>
      </c>
      <c r="E2" s="7">
        <f>0.2126 * (HEX2DEC(MID(Table23[[#This Row],[Hex Value]], 1, 2))/255) + 0.7152 * (HEX2DEC(MID(Table23[[#This Row],[Hex Value]], 3, 2))/255) + 0.0722 * (HEX2DEC(MID(Table23[[#This Row],[Hex Value]], 5, 2))/255)</f>
        <v>0.75536392156862731</v>
      </c>
      <c r="F2" s="12"/>
      <c r="G2" s="2" t="str">
        <f>_xlfn.CONCAT(HEX2DEC(MID(Table23[[#This Row],[Hex Value]], 1, 2))," , ",HEX2DEC(MID(Table23[[#This Row],[Hex Value]], 3, 2))," , ",HEX2DEC(MID(Table23[[#This Row],[Hex Value]], 5, 2)))</f>
        <v>200 , 192 , 177</v>
      </c>
      <c r="O2" s="3"/>
      <c r="P2" s="3"/>
      <c r="Q2" s="4"/>
      <c r="R2" s="4">
        <f>Table23[[#This Row],[Cost]]*Table23[[#This Row],[Bottle size]]</f>
        <v>0</v>
      </c>
      <c r="S2" s="5">
        <f>IFERROR(Table23[[#This Row],[Total]]/Table23[[#This Row],[Quantity sft]],0)</f>
        <v>0</v>
      </c>
    </row>
    <row r="3" spans="1:19" x14ac:dyDescent="0.35">
      <c r="A3" s="6" t="s">
        <v>45</v>
      </c>
      <c r="B3" s="1"/>
      <c r="D3" t="s">
        <v>2397</v>
      </c>
      <c r="E3" s="7">
        <f>0.2126 * (HEX2DEC(MID(Table23[[#This Row],[Hex Value]], 1, 2))/255) + 0.7152 * (HEX2DEC(MID(Table23[[#This Row],[Hex Value]], 3, 2))/255) + 0.0722 * (HEX2DEC(MID(Table23[[#This Row],[Hex Value]], 5, 2))/255)</f>
        <v>0.61562352941176479</v>
      </c>
      <c r="F3" s="13"/>
      <c r="G3" s="2" t="str">
        <f>_xlfn.CONCAT(HEX2DEC(MID(Table23[[#This Row],[Hex Value]], 1, 2))," , ",HEX2DEC(MID(Table23[[#This Row],[Hex Value]], 3, 2))," , ",HEX2DEC(MID(Table23[[#This Row],[Hex Value]], 5, 2)))</f>
        <v>161 , 157 , 145</v>
      </c>
      <c r="O3" s="3"/>
      <c r="P3" s="3"/>
      <c r="Q3" s="4"/>
      <c r="R3" s="4">
        <f>Table23[[#This Row],[Cost]]*Table23[[#This Row],[Bottle size]]</f>
        <v>0</v>
      </c>
      <c r="S3" s="5">
        <f>IFERROR(Table23[[#This Row],[Total]]/Table23[[#This Row],[Quantity sft]],0)</f>
        <v>0</v>
      </c>
    </row>
    <row r="4" spans="1:19" x14ac:dyDescent="0.35">
      <c r="A4" s="6" t="s">
        <v>45</v>
      </c>
      <c r="B4" s="6"/>
      <c r="D4" t="s">
        <v>2398</v>
      </c>
      <c r="E4" s="7">
        <f>0.2126 * (HEX2DEC(MID(Table23[[#This Row],[Hex Value]], 1, 2))/255) + 0.7152 * (HEX2DEC(MID(Table23[[#This Row],[Hex Value]], 3, 2))/255) + 0.0722 * (HEX2DEC(MID(Table23[[#This Row],[Hex Value]], 5, 2))/255)</f>
        <v>0.54406666666666659</v>
      </c>
      <c r="F4" s="14"/>
      <c r="G4" s="2" t="str">
        <f>_xlfn.CONCAT(HEX2DEC(MID(Table23[[#This Row],[Hex Value]], 1, 2))," , ",HEX2DEC(MID(Table23[[#This Row],[Hex Value]], 3, 2))," , ",HEX2DEC(MID(Table23[[#This Row],[Hex Value]], 5, 2)))</f>
        <v>154 , 137 , 111</v>
      </c>
      <c r="O4" s="3"/>
      <c r="P4" s="3"/>
      <c r="Q4" s="4"/>
      <c r="R4" s="4">
        <f>Table23[[#This Row],[Cost]]*Table23[[#This Row],[Bottle size]]</f>
        <v>0</v>
      </c>
      <c r="S4" s="5">
        <f>IFERROR(Table23[[#This Row],[Total]]/Table23[[#This Row],[Quantity sft]],0)</f>
        <v>0</v>
      </c>
    </row>
    <row r="5" spans="1:19" x14ac:dyDescent="0.35">
      <c r="A5" s="6" t="s">
        <v>45</v>
      </c>
      <c r="B5" s="6"/>
      <c r="D5" t="s">
        <v>2399</v>
      </c>
      <c r="E5" s="7">
        <f>0.2126 * (HEX2DEC(MID(Table23[[#This Row],[Hex Value]], 1, 2))/255) + 0.7152 * (HEX2DEC(MID(Table23[[#This Row],[Hex Value]], 3, 2))/255) + 0.0722 * (HEX2DEC(MID(Table23[[#This Row],[Hex Value]], 5, 2))/255)</f>
        <v>0.55190980392156863</v>
      </c>
      <c r="F5" s="15"/>
      <c r="G5" s="2" t="str">
        <f>_xlfn.CONCAT(HEX2DEC(MID(Table23[[#This Row],[Hex Value]], 1, 2))," , ",HEX2DEC(MID(Table23[[#This Row],[Hex Value]], 3, 2))," , ",HEX2DEC(MID(Table23[[#This Row],[Hex Value]], 5, 2)))</f>
        <v>156 , 139 , 113</v>
      </c>
      <c r="O5" s="3"/>
      <c r="P5" s="3"/>
      <c r="Q5" s="4"/>
      <c r="R5" s="4">
        <f>Table23[[#This Row],[Cost]]*Table23[[#This Row],[Bottle size]]</f>
        <v>0</v>
      </c>
      <c r="S5" s="5">
        <f>IFERROR(Table23[[#This Row],[Total]]/Table23[[#This Row],[Quantity sft]],0)</f>
        <v>0</v>
      </c>
    </row>
    <row r="6" spans="1:19" x14ac:dyDescent="0.35">
      <c r="A6" s="6" t="s">
        <v>45</v>
      </c>
      <c r="B6" s="6"/>
      <c r="D6" t="s">
        <v>2400</v>
      </c>
      <c r="E6" s="7">
        <f>0.2126 * (HEX2DEC(MID(Table23[[#This Row],[Hex Value]], 1, 2))/255) + 0.7152 * (HEX2DEC(MID(Table23[[#This Row],[Hex Value]], 3, 2))/255) + 0.0722 * (HEX2DEC(MID(Table23[[#This Row],[Hex Value]], 5, 2))/255)</f>
        <v>0.6682039215686274</v>
      </c>
      <c r="F6" s="16"/>
      <c r="G6" s="2" t="str">
        <f>_xlfn.CONCAT(HEX2DEC(MID(Table23[[#This Row],[Hex Value]], 1, 2))," , ",HEX2DEC(MID(Table23[[#This Row],[Hex Value]], 3, 2))," , ",HEX2DEC(MID(Table23[[#This Row],[Hex Value]], 5, 2)))</f>
        <v>182 , 169 , 150</v>
      </c>
      <c r="O6" s="3"/>
      <c r="P6" s="3"/>
      <c r="Q6" s="4"/>
      <c r="R6" s="4">
        <f>Table23[[#This Row],[Cost]]*Table23[[#This Row],[Bottle size]]</f>
        <v>0</v>
      </c>
      <c r="S6" s="5">
        <f>IFERROR(Table23[[#This Row],[Total]]/Table23[[#This Row],[Quantity sft]],0)</f>
        <v>0</v>
      </c>
    </row>
  </sheetData>
  <pageMargins left="0.2013888888888889" right="0.15277777777777779" top="0.74803149606299213" bottom="0.74803149606299213" header="0.31496062992125984" footer="0.31496062992125984"/>
  <pageSetup paperSize="9" orientation="portrait" horizontalDpi="0" verticalDpi="0" r:id="rId1"/>
  <headerFooter>
    <oddHeader>&amp;C&amp;F&amp;L&amp;P of &amp;N&amp;R&amp;A</oddHeader>
    <oddFooter>&amp;L&amp;D, &amp;T
&amp;Z&amp;F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27B7-C0B6-4B20-B266-957E5851BD5A}">
  <sheetPr codeName="Sheet5"/>
  <dimension ref="A1:T16"/>
  <sheetViews>
    <sheetView view="pageBreakPreview" topLeftCell="A5" zoomScale="115" zoomScaleNormal="100" zoomScaleSheetLayoutView="115" workbookViewId="0">
      <selection activeCell="I6" sqref="I6"/>
    </sheetView>
  </sheetViews>
  <sheetFormatPr defaultColWidth="9.453125" defaultRowHeight="14.5" x14ac:dyDescent="0.35"/>
  <cols>
    <col min="1" max="1" width="7" bestFit="1" customWidth="1"/>
    <col min="2" max="2" width="12.453125" bestFit="1" customWidth="1"/>
    <col min="3" max="3" width="10.7265625" bestFit="1" customWidth="1"/>
    <col min="4" max="4" width="11.453125" bestFit="1" customWidth="1"/>
    <col min="5" max="5" width="12.1796875" bestFit="1" customWidth="1"/>
    <col min="6" max="7" width="13.1796875" bestFit="1" customWidth="1"/>
    <col min="8" max="8" width="16" customWidth="1"/>
    <col min="9" max="9" width="13.1796875" customWidth="1"/>
    <col min="10" max="10" width="9.81640625" customWidth="1"/>
    <col min="13" max="13" width="12" bestFit="1" customWidth="1"/>
    <col min="14" max="14" width="10.1796875" bestFit="1" customWidth="1"/>
    <col min="15" max="16" width="11.1796875" bestFit="1" customWidth="1"/>
    <col min="17" max="18" width="10.26953125" bestFit="1" customWidth="1"/>
    <col min="19" max="20" width="9.54296875" bestFit="1" customWidth="1"/>
  </cols>
  <sheetData>
    <row r="1" spans="1:20" s="8" customFormat="1" ht="29" x14ac:dyDescent="0.35">
      <c r="A1" s="8" t="s">
        <v>44</v>
      </c>
      <c r="B1" s="8" t="s">
        <v>26</v>
      </c>
      <c r="C1" s="8" t="s">
        <v>27</v>
      </c>
      <c r="D1" s="8" t="s">
        <v>40</v>
      </c>
      <c r="E1" s="8" t="s">
        <v>48</v>
      </c>
      <c r="F1" s="8" t="s">
        <v>28</v>
      </c>
      <c r="G1" s="8" t="s">
        <v>29</v>
      </c>
      <c r="H1" s="8" t="s">
        <v>50</v>
      </c>
      <c r="I1" s="8" t="s">
        <v>49</v>
      </c>
      <c r="J1" s="8" t="s">
        <v>47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  <c r="T1" s="8" t="s">
        <v>39</v>
      </c>
    </row>
    <row r="2" spans="1:20" x14ac:dyDescent="0.35">
      <c r="A2" s="20" t="s">
        <v>45</v>
      </c>
      <c r="B2" s="20" t="s">
        <v>2393</v>
      </c>
      <c r="C2" s="20" t="s">
        <v>46</v>
      </c>
      <c r="D2" s="20" t="s">
        <v>2395</v>
      </c>
      <c r="E2" s="21">
        <f>0.2126 * (HEX2DEC(MID(Table237[[#This Row],[Hex Value]], 1, 2))/255) + 0.7152 * (HEX2DEC(MID(Table237[[#This Row],[Hex Value]], 3, 2))/255) + 0.0722 * (HEX2DEC(MID(Table237[[#This Row],[Hex Value]], 5, 2))/255)</f>
        <v>0.85827686274509796</v>
      </c>
      <c r="F2" s="22"/>
      <c r="G2" s="20" t="str">
        <f>_xlfn.CONCAT(HEX2DEC(MID(Table237[[#This Row],[Hex Value]], 1, 2))," , ",HEX2DEC(MID(Table237[[#This Row],[Hex Value]], 3, 2))," , ",HEX2DEC(MID(Table237[[#This Row],[Hex Value]], 5, 2)))</f>
        <v>212 , 233 , 99</v>
      </c>
      <c r="H2" s="23"/>
      <c r="I2" s="20"/>
      <c r="J2">
        <v>1</v>
      </c>
      <c r="O2">
        <v>2</v>
      </c>
      <c r="P2" s="3"/>
      <c r="Q2" s="3"/>
      <c r="R2" s="4">
        <v>8000</v>
      </c>
      <c r="S2" s="4">
        <f>Table237[[#This Row],[Cost]]*Table237[[#This Row],[Bottle size]]</f>
        <v>0</v>
      </c>
      <c r="T2" s="5">
        <f>IFERROR(Table237[[#This Row],[Total]]/Table237[[#This Row],[Quantity sft]],0)</f>
        <v>0</v>
      </c>
    </row>
    <row r="3" spans="1:20" ht="159.5" x14ac:dyDescent="0.35">
      <c r="A3" s="20" t="s">
        <v>45</v>
      </c>
      <c r="B3" s="20" t="s">
        <v>21</v>
      </c>
      <c r="C3" s="20" t="s">
        <v>9</v>
      </c>
      <c r="D3" s="20" t="s">
        <v>43</v>
      </c>
      <c r="E3" s="21">
        <f>0.2126 * (HEX2DEC(MID(Table237[[#This Row],[Hex Value]], 1, 2))/255) + 0.7152 * (HEX2DEC(MID(Table237[[#This Row],[Hex Value]], 3, 2))/255) + 0.0722 * (HEX2DEC(MID(Table237[[#This Row],[Hex Value]], 5, 2))/255)</f>
        <v>0.93305019607843132</v>
      </c>
      <c r="F3" s="24"/>
      <c r="G3" s="20" t="str">
        <f>_xlfn.CONCAT(HEX2DEC(MID(Table237[[#This Row],[Hex Value]], 1, 2))," , ",HEX2DEC(MID(Table237[[#This Row],[Hex Value]], 3, 2))," , ",HEX2DEC(MID(Table237[[#This Row],[Hex Value]], 5, 2)))</f>
        <v>238 , 238 , 237</v>
      </c>
      <c r="H3" s="23" t="s">
        <v>2390</v>
      </c>
      <c r="I3" s="23" t="s">
        <v>6789</v>
      </c>
      <c r="J3">
        <v>2</v>
      </c>
      <c r="O3">
        <v>2</v>
      </c>
      <c r="P3" s="3"/>
      <c r="Q3" s="3"/>
      <c r="R3" s="4">
        <v>8000</v>
      </c>
      <c r="S3" s="4">
        <f>Table237[[#This Row],[Cost]]*Table237[[#This Row],[Bottle size]]</f>
        <v>0</v>
      </c>
      <c r="T3" s="5">
        <f>IFERROR(Table237[[#This Row],[Total]]/Table237[[#This Row],[Quantity sft]],0)</f>
        <v>0</v>
      </c>
    </row>
    <row r="4" spans="1:20" ht="130.5" x14ac:dyDescent="0.35">
      <c r="A4" s="26" t="s">
        <v>45</v>
      </c>
      <c r="B4" s="26" t="s">
        <v>13</v>
      </c>
      <c r="C4" s="26" t="s">
        <v>1</v>
      </c>
      <c r="D4" s="26" t="s">
        <v>42</v>
      </c>
      <c r="E4" s="27">
        <f>0.2126 * (HEX2DEC(MID(Table237[[#This Row],[Hex Value]], 1, 2))/255) + 0.7152 * (HEX2DEC(MID(Table237[[#This Row],[Hex Value]], 3, 2))/255) + 0.0722 * (HEX2DEC(MID(Table237[[#This Row],[Hex Value]], 5, 2))/255)</f>
        <v>0.84657803921568631</v>
      </c>
      <c r="F4" s="28"/>
      <c r="G4" s="26" t="str">
        <f>_xlfn.CONCAT(HEX2DEC(MID(Table237[[#This Row],[Hex Value]], 1, 2))," , ",HEX2DEC(MID(Table237[[#This Row],[Hex Value]], 3, 2))," , ",HEX2DEC(MID(Table237[[#This Row],[Hex Value]], 5, 2)))</f>
        <v>232 , 214 , 187</v>
      </c>
      <c r="H4" s="29" t="s">
        <v>2391</v>
      </c>
      <c r="I4" s="29" t="s">
        <v>6790</v>
      </c>
      <c r="J4">
        <v>3</v>
      </c>
      <c r="O4">
        <v>2</v>
      </c>
      <c r="P4" s="3"/>
      <c r="Q4" s="3"/>
      <c r="R4" s="4">
        <v>8000</v>
      </c>
      <c r="S4" s="4">
        <f>Table237[[#This Row],[Cost]]*Table237[[#This Row],[Bottle size]]</f>
        <v>0</v>
      </c>
      <c r="T4" s="5">
        <f>IFERROR(Table237[[#This Row],[Total]]/Table237[[#This Row],[Quantity sft]],0)</f>
        <v>0</v>
      </c>
    </row>
    <row r="5" spans="1:20" ht="116" x14ac:dyDescent="0.35">
      <c r="A5" s="20" t="s">
        <v>45</v>
      </c>
      <c r="B5" s="20" t="s">
        <v>12</v>
      </c>
      <c r="C5" s="20" t="s">
        <v>0</v>
      </c>
      <c r="D5" s="20" t="s">
        <v>41</v>
      </c>
      <c r="E5" s="21">
        <f>0.2126 * (HEX2DEC(MID(Table237[[#This Row],[Hex Value]], 1, 2))/255) + 0.7152 * (HEX2DEC(MID(Table237[[#This Row],[Hex Value]], 3, 2))/255) + 0.0722 * (HEX2DEC(MID(Table237[[#This Row],[Hex Value]], 5, 2))/255)</f>
        <v>0.71956862745098038</v>
      </c>
      <c r="F5" s="25"/>
      <c r="G5" s="20" t="str">
        <f>_xlfn.CONCAT(HEX2DEC(MID(Table237[[#This Row],[Hex Value]], 1, 2))," , ",HEX2DEC(MID(Table237[[#This Row],[Hex Value]], 3, 2))," , ",HEX2DEC(MID(Table237[[#This Row],[Hex Value]], 5, 2)))</f>
        <v>210 , 180 , 140</v>
      </c>
      <c r="H5" s="23" t="s">
        <v>2392</v>
      </c>
      <c r="I5" s="23" t="s">
        <v>6788</v>
      </c>
      <c r="J5">
        <v>4</v>
      </c>
      <c r="O5">
        <v>2</v>
      </c>
      <c r="P5" s="3"/>
      <c r="Q5" s="3"/>
      <c r="R5" s="4">
        <v>8000</v>
      </c>
      <c r="S5" s="4">
        <f>Table237[[#This Row],[Cost]]*Table237[[#This Row],[Bottle size]]</f>
        <v>0</v>
      </c>
      <c r="T5" s="5">
        <f>IFERROR(Table237[[#This Row],[Total]]/Table237[[#This Row],[Quantity sft]],0)</f>
        <v>0</v>
      </c>
    </row>
    <row r="6" spans="1:20" ht="130.5" customHeight="1" x14ac:dyDescent="0.35">
      <c r="A6" s="30" t="s">
        <v>45</v>
      </c>
      <c r="B6" s="30"/>
      <c r="C6" s="30" t="s">
        <v>6791</v>
      </c>
      <c r="D6" s="30" t="s">
        <v>2495</v>
      </c>
      <c r="E6" s="31">
        <f>0.2126 * (HEX2DEC(MID(Table237[[#This Row],[Hex Value]], 1, 2))/255) + 0.7152 * (HEX2DEC(MID(Table237[[#This Row],[Hex Value]], 3, 2))/255) + 0.0722 * (HEX2DEC(MID(Table237[[#This Row],[Hex Value]], 5, 2))/255)</f>
        <v>0.95232784313725483</v>
      </c>
      <c r="F6" s="34"/>
      <c r="G6" s="30" t="str">
        <f>_xlfn.CONCAT(HEX2DEC(MID(Table237[[#This Row],[Hex Value]], 1, 2))," , ",HEX2DEC(MID(Table237[[#This Row],[Hex Value]], 3, 2))," , ",HEX2DEC(MID(Table237[[#This Row],[Hex Value]], 5, 2)))</f>
        <v>246 , 243 , 232</v>
      </c>
      <c r="H6" s="30" t="s">
        <v>6792</v>
      </c>
      <c r="I6" s="33" t="s">
        <v>6792</v>
      </c>
      <c r="P6" s="3"/>
      <c r="Q6" s="3"/>
      <c r="R6" s="32"/>
      <c r="S6" s="32">
        <f>Table237[[#This Row],[Cost]]*Table237[[#This Row],[Bottle size]]</f>
        <v>0</v>
      </c>
      <c r="T6" s="5">
        <f>IFERROR(Table237[[#This Row],[Total]]/Table237[[#This Row],[Quantity sft]],0)</f>
        <v>0</v>
      </c>
    </row>
    <row r="7" spans="1:20" ht="71.5" customHeight="1" x14ac:dyDescent="0.35">
      <c r="A7" s="30" t="s">
        <v>45</v>
      </c>
      <c r="B7" s="30" t="s">
        <v>6793</v>
      </c>
      <c r="C7" s="30" t="s">
        <v>6794</v>
      </c>
      <c r="D7" s="30">
        <v>474135</v>
      </c>
      <c r="E7" s="31">
        <f>0.2126 * (HEX2DEC(MID(Table237[[#This Row],[Hex Value]], 1, 2))/255) + 0.7152 * (HEX2DEC(MID(Table237[[#This Row],[Hex Value]], 3, 2))/255) + 0.0722 * (HEX2DEC(MID(Table237[[#This Row],[Hex Value]], 5, 2))/255)</f>
        <v>0.25650666666666666</v>
      </c>
      <c r="F7" s="35"/>
      <c r="G7" s="30" t="str">
        <f>_xlfn.CONCAT(HEX2DEC(MID(Table237[[#This Row],[Hex Value]], 1, 2))," , ",HEX2DEC(MID(Table237[[#This Row],[Hex Value]], 3, 2))," , ",HEX2DEC(MID(Table237[[#This Row],[Hex Value]], 5, 2)))</f>
        <v>71 , 65 , 53</v>
      </c>
      <c r="H7" s="30"/>
      <c r="I7" s="33" t="s">
        <v>6796</v>
      </c>
      <c r="P7" s="3"/>
      <c r="Q7" s="3"/>
      <c r="R7" s="32"/>
      <c r="S7" s="32">
        <f>Table237[[#This Row],[Cost]]*Table237[[#This Row],[Bottle size]]</f>
        <v>0</v>
      </c>
      <c r="T7" s="5">
        <f>IFERROR(Table237[[#This Row],[Total]]/Table237[[#This Row],[Quantity sft]],0)</f>
        <v>0</v>
      </c>
    </row>
    <row r="8" spans="1:20" ht="71.5" customHeight="1" x14ac:dyDescent="0.35"/>
    <row r="9" spans="1:20" ht="71.5" customHeight="1" x14ac:dyDescent="0.35"/>
    <row r="10" spans="1:20" ht="71.5" customHeight="1" x14ac:dyDescent="0.35"/>
    <row r="11" spans="1:20" ht="71.5" customHeight="1" x14ac:dyDescent="0.35"/>
    <row r="12" spans="1:20" ht="71.5" customHeight="1" x14ac:dyDescent="0.35"/>
    <row r="13" spans="1:20" ht="71.5" customHeight="1" x14ac:dyDescent="0.35"/>
    <row r="14" spans="1:20" ht="71.5" customHeight="1" x14ac:dyDescent="0.35"/>
    <row r="15" spans="1:20" ht="71.5" customHeight="1" x14ac:dyDescent="0.35"/>
    <row r="16" spans="1:20" ht="71.5" customHeight="1" x14ac:dyDescent="0.35"/>
  </sheetData>
  <pageMargins left="0.2013888888888889" right="4.8611111111111112E-2" top="0.75" bottom="0.75" header="0.3" footer="0.3"/>
  <pageSetup paperSize="9" orientation="landscape" horizontalDpi="0" verticalDpi="0" r:id="rId1"/>
  <headerFooter>
    <oddHeader>&amp;C&amp;F&amp;L&amp;P of &amp;N&amp;R&amp;A</oddHeader>
    <oddFooter>&amp;L&amp;D, &amp;T
&amp;Z&amp;F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1ED7-D527-4D1A-86AC-07FA73BD2022}">
  <sheetPr codeName="Sheet6"/>
  <dimension ref="A1:E784"/>
  <sheetViews>
    <sheetView zoomScale="175" zoomScaleNormal="175" workbookViewId="0">
      <selection activeCell="D1" sqref="D1"/>
    </sheetView>
  </sheetViews>
  <sheetFormatPr defaultRowHeight="14.5" x14ac:dyDescent="0.35"/>
  <cols>
    <col min="1" max="1" width="12.26953125" bestFit="1" customWidth="1"/>
    <col min="2" max="2" width="18.54296875" bestFit="1" customWidth="1"/>
    <col min="3" max="4" width="12.453125" bestFit="1" customWidth="1"/>
    <col min="5" max="5" width="30.81640625" bestFit="1" customWidth="1"/>
  </cols>
  <sheetData>
    <row r="1" spans="1:5" x14ac:dyDescent="0.35">
      <c r="D1" s="11" t="s">
        <v>6795</v>
      </c>
    </row>
    <row r="4" spans="1:5" x14ac:dyDescent="0.35">
      <c r="A4" t="s">
        <v>51</v>
      </c>
      <c r="B4" t="s">
        <v>52</v>
      </c>
      <c r="C4" t="s">
        <v>53</v>
      </c>
      <c r="D4" t="s">
        <v>2394</v>
      </c>
      <c r="E4" t="s">
        <v>2389</v>
      </c>
    </row>
    <row r="5" spans="1:5" x14ac:dyDescent="0.35">
      <c r="A5" t="s">
        <v>579</v>
      </c>
      <c r="B5" t="s">
        <v>578</v>
      </c>
      <c r="C5" s="9" t="s">
        <v>1507</v>
      </c>
      <c r="D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148.94965592440957</v>
      </c>
      <c r="E5" t="str">
        <f>Table1[[#This Row],[Color Code]] &amp; " - " &amp;Table1[[#This Row],[Color Name]]</f>
        <v>3D0247 - SECRET TREASURE</v>
      </c>
    </row>
    <row r="6" spans="1:5" x14ac:dyDescent="0.35">
      <c r="A6" t="s">
        <v>593</v>
      </c>
      <c r="B6" t="s">
        <v>592</v>
      </c>
      <c r="C6" s="9" t="s">
        <v>1514</v>
      </c>
      <c r="D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160.99689437998487</v>
      </c>
      <c r="E6" t="str">
        <f>Table1[[#This Row],[Color Code]] &amp; " - " &amp;Table1[[#This Row],[Color Name]]</f>
        <v>3D0863 - FROTENAC HILLS</v>
      </c>
    </row>
    <row r="7" spans="1:5" x14ac:dyDescent="0.35">
      <c r="A7" t="s">
        <v>591</v>
      </c>
      <c r="B7" t="s">
        <v>590</v>
      </c>
      <c r="C7" s="9" t="s">
        <v>1513</v>
      </c>
      <c r="D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181.27603261324978</v>
      </c>
      <c r="E7" t="str">
        <f>Table1[[#This Row],[Color Code]] &amp; " - " &amp;Table1[[#This Row],[Color Name]]</f>
        <v>3D0862 - GLORY OF SPRING</v>
      </c>
    </row>
    <row r="8" spans="1:5" x14ac:dyDescent="0.35">
      <c r="A8" t="s">
        <v>1167</v>
      </c>
      <c r="B8" t="s">
        <v>1166</v>
      </c>
      <c r="C8" s="9" t="s">
        <v>1801</v>
      </c>
      <c r="D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182.65267586323503</v>
      </c>
      <c r="E8" t="str">
        <f>Table1[[#This Row],[Color Code]] &amp; " - " &amp;Table1[[#This Row],[Color Name]]</f>
        <v>6T1205 - PERIWINKLE POSE</v>
      </c>
    </row>
    <row r="9" spans="1:5" x14ac:dyDescent="0.35">
      <c r="A9" t="s">
        <v>1161</v>
      </c>
      <c r="B9" t="s">
        <v>1160</v>
      </c>
      <c r="C9" s="9" t="s">
        <v>1798</v>
      </c>
      <c r="D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182.71836251455409</v>
      </c>
      <c r="E9" t="str">
        <f>Table1[[#This Row],[Color Code]] &amp; " - " &amp;Table1[[#This Row],[Color Name]]</f>
        <v>6T1197 - COLOR OF DREAMS</v>
      </c>
    </row>
    <row r="10" spans="1:5" x14ac:dyDescent="0.35">
      <c r="A10" t="s">
        <v>589</v>
      </c>
      <c r="B10" t="s">
        <v>588</v>
      </c>
      <c r="C10" s="9" t="s">
        <v>1512</v>
      </c>
      <c r="D1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183.1447514945487</v>
      </c>
      <c r="E10" t="str">
        <f>Table1[[#This Row],[Color Code]] &amp; " - " &amp;Table1[[#This Row],[Color Name]]</f>
        <v>3D0823 - GREEN BANANAS</v>
      </c>
    </row>
    <row r="11" spans="1:5" x14ac:dyDescent="0.35">
      <c r="A11" t="s">
        <v>581</v>
      </c>
      <c r="B11" t="s">
        <v>580</v>
      </c>
      <c r="C11" s="9" t="s">
        <v>1508</v>
      </c>
      <c r="D1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183.4884192530962</v>
      </c>
      <c r="E11" t="str">
        <f>Table1[[#This Row],[Color Code]] &amp; " - " &amp;Table1[[#This Row],[Color Name]]</f>
        <v>3D0254 - FERN FROST</v>
      </c>
    </row>
    <row r="12" spans="1:5" x14ac:dyDescent="0.35">
      <c r="A12" t="s">
        <v>1173</v>
      </c>
      <c r="B12" t="s">
        <v>1172</v>
      </c>
      <c r="C12" s="9" t="s">
        <v>1804</v>
      </c>
      <c r="D1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185.79020426276514</v>
      </c>
      <c r="E12" t="str">
        <f>Table1[[#This Row],[Color Code]] &amp; " - " &amp;Table1[[#This Row],[Color Name]]</f>
        <v>6T1213 - BRIGHT PERIWINKLE</v>
      </c>
    </row>
    <row r="13" spans="1:5" x14ac:dyDescent="0.35">
      <c r="A13" t="s">
        <v>577</v>
      </c>
      <c r="B13" t="s">
        <v>576</v>
      </c>
      <c r="C13" s="9" t="s">
        <v>1506</v>
      </c>
      <c r="D1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186.41083659487182</v>
      </c>
      <c r="E13" t="str">
        <f>Table1[[#This Row],[Color Code]] &amp; " - " &amp;Table1[[#This Row],[Color Name]]</f>
        <v>3D0243 - GOLDEN SILK</v>
      </c>
    </row>
    <row r="14" spans="1:5" x14ac:dyDescent="0.35">
      <c r="A14" t="s">
        <v>833</v>
      </c>
      <c r="B14" t="s">
        <v>832</v>
      </c>
      <c r="C14" s="9" t="s">
        <v>1634</v>
      </c>
      <c r="D1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193.26148090087688</v>
      </c>
      <c r="E14" t="str">
        <f>Table1[[#This Row],[Color Code]] &amp; " - " &amp;Table1[[#This Row],[Color Name]]</f>
        <v>4T0925 - GARDEN PARADISE</v>
      </c>
    </row>
    <row r="15" spans="1:5" x14ac:dyDescent="0.35">
      <c r="A15" t="s">
        <v>585</v>
      </c>
      <c r="B15" t="s">
        <v>584</v>
      </c>
      <c r="C15" s="9" t="s">
        <v>1510</v>
      </c>
      <c r="D1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195.40726700918776</v>
      </c>
      <c r="E15" t="str">
        <f>Table1[[#This Row],[Color Code]] &amp; " - " &amp;Table1[[#This Row],[Color Name]]</f>
        <v>3D0783 - GOLDEN HAYSTACK</v>
      </c>
    </row>
    <row r="16" spans="1:5" x14ac:dyDescent="0.35">
      <c r="A16" t="s">
        <v>821</v>
      </c>
      <c r="B16" t="s">
        <v>820</v>
      </c>
      <c r="C16" s="9" t="s">
        <v>1628</v>
      </c>
      <c r="D1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196.13515748075355</v>
      </c>
      <c r="E16" t="str">
        <f>Table1[[#This Row],[Color Code]] &amp; " - " &amp;Table1[[#This Row],[Color Name]]</f>
        <v>4T0909 - IRISH MOSS</v>
      </c>
    </row>
    <row r="17" spans="1:5" x14ac:dyDescent="0.35">
      <c r="A17" t="s">
        <v>575</v>
      </c>
      <c r="B17" t="s">
        <v>574</v>
      </c>
      <c r="C17" s="9" t="s">
        <v>1505</v>
      </c>
      <c r="D1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198.07574308834486</v>
      </c>
      <c r="E17" t="str">
        <f>Table1[[#This Row],[Color Code]] &amp; " - " &amp;Table1[[#This Row],[Color Name]]</f>
        <v>3D0242 - GO FOR THE GOLD</v>
      </c>
    </row>
    <row r="18" spans="1:5" x14ac:dyDescent="0.35">
      <c r="A18" t="s">
        <v>1187</v>
      </c>
      <c r="B18" t="s">
        <v>1186</v>
      </c>
      <c r="C18" s="9" t="s">
        <v>1811</v>
      </c>
      <c r="D1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201.15914098046849</v>
      </c>
      <c r="E18" t="str">
        <f>Table1[[#This Row],[Color Code]] &amp; " - " &amp;Table1[[#This Row],[Color Name]]</f>
        <v>6T1237 - HEATHER GLEN</v>
      </c>
    </row>
    <row r="19" spans="1:5" x14ac:dyDescent="0.35">
      <c r="A19" t="s">
        <v>827</v>
      </c>
      <c r="B19" t="s">
        <v>826</v>
      </c>
      <c r="C19" s="9" t="s">
        <v>1631</v>
      </c>
      <c r="D1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201.90591868491623</v>
      </c>
      <c r="E19" t="str">
        <f>Table1[[#This Row],[Color Code]] &amp; " - " &amp;Table1[[#This Row],[Color Name]]</f>
        <v>4T0917 - ALLIGATOR ALLEY</v>
      </c>
    </row>
    <row r="20" spans="1:5" x14ac:dyDescent="0.35">
      <c r="A20" t="s">
        <v>573</v>
      </c>
      <c r="B20" t="s">
        <v>572</v>
      </c>
      <c r="C20" s="9" t="s">
        <v>1504</v>
      </c>
      <c r="D2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203.19694879598956</v>
      </c>
      <c r="E20" t="str">
        <f>Table1[[#This Row],[Color Code]] &amp; " - " &amp;Table1[[#This Row],[Color Name]]</f>
        <v>3D0236 - ORANGE CHARM</v>
      </c>
    </row>
    <row r="21" spans="1:5" x14ac:dyDescent="0.35">
      <c r="A21" t="s">
        <v>1157</v>
      </c>
      <c r="B21" t="s">
        <v>1156</v>
      </c>
      <c r="C21" s="9" t="s">
        <v>1796</v>
      </c>
      <c r="D2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203.9558775814024</v>
      </c>
      <c r="E21" t="str">
        <f>Table1[[#This Row],[Color Code]] &amp; " - " &amp;Table1[[#This Row],[Color Name]]</f>
        <v>6T0310 - ASYSTASIA</v>
      </c>
    </row>
    <row r="22" spans="1:5" x14ac:dyDescent="0.35">
      <c r="A22" t="s">
        <v>496</v>
      </c>
      <c r="B22" t="s">
        <v>497</v>
      </c>
      <c r="C22" s="9" t="s">
        <v>1466</v>
      </c>
      <c r="D2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206.65188119153427</v>
      </c>
      <c r="E22" t="str">
        <f>Table1[[#This Row],[Color Code]] &amp; " - " &amp;Table1[[#This Row],[Color Name]]</f>
        <v>3T0246 - PICNIC MAT</v>
      </c>
    </row>
    <row r="23" spans="1:5" x14ac:dyDescent="0.35">
      <c r="A23" t="s">
        <v>807</v>
      </c>
      <c r="B23" t="s">
        <v>806</v>
      </c>
      <c r="C23" s="9" t="s">
        <v>1621</v>
      </c>
      <c r="D2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207.31136003605783</v>
      </c>
      <c r="E23" t="str">
        <f>Table1[[#This Row],[Color Code]] &amp; " - " &amp;Table1[[#This Row],[Color Name]]</f>
        <v>4T0885 - LOCKNESS</v>
      </c>
    </row>
    <row r="24" spans="1:5" x14ac:dyDescent="0.35">
      <c r="A24" t="s">
        <v>587</v>
      </c>
      <c r="B24" t="s">
        <v>586</v>
      </c>
      <c r="C24" s="9" t="s">
        <v>1511</v>
      </c>
      <c r="D2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208.65282169191963</v>
      </c>
      <c r="E24" t="str">
        <f>Table1[[#This Row],[Color Code]] &amp; " - " &amp;Table1[[#This Row],[Color Name]]</f>
        <v>3D0822 - WINTER GRASS</v>
      </c>
    </row>
    <row r="25" spans="1:5" x14ac:dyDescent="0.35">
      <c r="A25" t="s">
        <v>1223</v>
      </c>
      <c r="B25" t="s">
        <v>1222</v>
      </c>
      <c r="C25" s="9" t="s">
        <v>1829</v>
      </c>
      <c r="D2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211.9646196892302</v>
      </c>
      <c r="E25" t="str">
        <f>Table1[[#This Row],[Color Code]] &amp; " - " &amp;Table1[[#This Row],[Color Name]]</f>
        <v>7P0192 - TOUCHSTONE</v>
      </c>
    </row>
    <row r="26" spans="1:5" x14ac:dyDescent="0.35">
      <c r="A26" t="s">
        <v>1165</v>
      </c>
      <c r="B26" t="s">
        <v>1164</v>
      </c>
      <c r="C26" s="9" t="s">
        <v>1800</v>
      </c>
      <c r="D2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213.06337085477645</v>
      </c>
      <c r="E26" t="str">
        <f>Table1[[#This Row],[Color Code]] &amp; " - " &amp;Table1[[#This Row],[Color Name]]</f>
        <v>6T1204 - KIND OF BLUE</v>
      </c>
    </row>
    <row r="27" spans="1:5" x14ac:dyDescent="0.35">
      <c r="A27" t="s">
        <v>606</v>
      </c>
      <c r="B27" t="s">
        <v>607</v>
      </c>
      <c r="C27" s="9" t="s">
        <v>1521</v>
      </c>
      <c r="D2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214.3758381907812</v>
      </c>
      <c r="E27" t="str">
        <f>Table1[[#This Row],[Color Code]] &amp; " - " &amp;Table1[[#This Row],[Color Name]]</f>
        <v>4P0096 - BELLA MINT</v>
      </c>
    </row>
    <row r="28" spans="1:5" x14ac:dyDescent="0.35">
      <c r="A28" t="s">
        <v>654</v>
      </c>
      <c r="B28" t="s">
        <v>655</v>
      </c>
      <c r="C28" s="9" t="s">
        <v>1545</v>
      </c>
      <c r="D2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215.92822881689185</v>
      </c>
      <c r="E28" t="str">
        <f>Table1[[#This Row],[Color Code]] &amp; " - " &amp;Table1[[#This Row],[Color Name]]</f>
        <v>4P0262 - LILIES' ESSENCE</v>
      </c>
    </row>
    <row r="29" spans="1:5" x14ac:dyDescent="0.35">
      <c r="A29" t="s">
        <v>549</v>
      </c>
      <c r="B29" t="s">
        <v>548</v>
      </c>
      <c r="C29" s="9" t="s">
        <v>1492</v>
      </c>
      <c r="D2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216.34463247328324</v>
      </c>
      <c r="E29" t="str">
        <f>Table1[[#This Row],[Color Code]] &amp; " - " &amp;Table1[[#This Row],[Color Name]]</f>
        <v>3T0861 - SPRING ATTITUDE</v>
      </c>
    </row>
    <row r="30" spans="1:5" x14ac:dyDescent="0.35">
      <c r="A30" t="s">
        <v>1171</v>
      </c>
      <c r="B30" t="s">
        <v>1170</v>
      </c>
      <c r="C30" s="9" t="s">
        <v>1803</v>
      </c>
      <c r="D3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216.81328372588243</v>
      </c>
      <c r="E30" t="str">
        <f>Table1[[#This Row],[Color Code]] &amp; " - " &amp;Table1[[#This Row],[Color Name]]</f>
        <v>6T1212 - VIOLET VALUE</v>
      </c>
    </row>
    <row r="31" spans="1:5" x14ac:dyDescent="0.35">
      <c r="A31" t="s">
        <v>1181</v>
      </c>
      <c r="B31" t="s">
        <v>1180</v>
      </c>
      <c r="C31" s="9" t="s">
        <v>1808</v>
      </c>
      <c r="D3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217.99082549501941</v>
      </c>
      <c r="E31" t="str">
        <f>Table1[[#This Row],[Color Code]] &amp; " - " &amp;Table1[[#This Row],[Color Name]]</f>
        <v>6T1228 - PETITE PURPLE</v>
      </c>
    </row>
    <row r="32" spans="1:5" x14ac:dyDescent="0.35">
      <c r="A32" t="s">
        <v>813</v>
      </c>
      <c r="B32" t="s">
        <v>812</v>
      </c>
      <c r="C32" s="9" t="s">
        <v>1624</v>
      </c>
      <c r="D3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218.4856974723975</v>
      </c>
      <c r="E32" t="str">
        <f>Table1[[#This Row],[Color Code]] &amp; " - " &amp;Table1[[#This Row],[Color Name]]</f>
        <v>4T0893 - LEAFY SPLENDOR</v>
      </c>
    </row>
    <row r="33" spans="1:5" x14ac:dyDescent="0.35">
      <c r="A33" t="s">
        <v>583</v>
      </c>
      <c r="B33" t="s">
        <v>582</v>
      </c>
      <c r="C33" s="9" t="s">
        <v>1509</v>
      </c>
      <c r="D3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220.06362716269129</v>
      </c>
      <c r="E33" t="str">
        <f>Table1[[#This Row],[Color Code]] &amp; " - " &amp;Table1[[#This Row],[Color Name]]</f>
        <v>3D0782 - SUNFLOWER PETAL</v>
      </c>
    </row>
    <row r="34" spans="1:5" x14ac:dyDescent="0.35">
      <c r="A34" t="s">
        <v>1229</v>
      </c>
      <c r="B34" t="s">
        <v>1228</v>
      </c>
      <c r="C34" s="9" t="s">
        <v>1832</v>
      </c>
      <c r="D3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221.05655384991417</v>
      </c>
      <c r="E34" t="str">
        <f>Table1[[#This Row],[Color Code]] &amp; " - " &amp;Table1[[#This Row],[Color Name]]</f>
        <v>7P0338 - POTTERY</v>
      </c>
    </row>
    <row r="35" spans="1:5" x14ac:dyDescent="0.35">
      <c r="A35" t="s">
        <v>240</v>
      </c>
      <c r="B35" t="s">
        <v>241</v>
      </c>
      <c r="C35" s="9" t="s">
        <v>1339</v>
      </c>
      <c r="D3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221.2803651479272</v>
      </c>
      <c r="E35" t="str">
        <f>Table1[[#This Row],[Color Code]] &amp; " - " &amp;Table1[[#This Row],[Color Name]]</f>
        <v>2P0037 - MACADAMIA TOAST</v>
      </c>
    </row>
    <row r="36" spans="1:5" x14ac:dyDescent="0.35">
      <c r="A36" t="s">
        <v>1221</v>
      </c>
      <c r="B36" t="s">
        <v>1220</v>
      </c>
      <c r="C36" s="9" t="s">
        <v>1828</v>
      </c>
      <c r="D3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222.91253890259293</v>
      </c>
      <c r="E36" t="str">
        <f>Table1[[#This Row],[Color Code]] &amp; " - " &amp;Table1[[#This Row],[Color Name]]</f>
        <v>7P0191 - LIGHT MURALS</v>
      </c>
    </row>
    <row r="37" spans="1:5" x14ac:dyDescent="0.35">
      <c r="A37" t="s">
        <v>819</v>
      </c>
      <c r="B37" t="s">
        <v>818</v>
      </c>
      <c r="C37" s="9" t="s">
        <v>1627</v>
      </c>
      <c r="D3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222.94618184665106</v>
      </c>
      <c r="E37" t="str">
        <f>Table1[[#This Row],[Color Code]] &amp; " - " &amp;Table1[[#This Row],[Color Name]]</f>
        <v>4T0908 - BREATH OF SPRING</v>
      </c>
    </row>
    <row r="38" spans="1:5" x14ac:dyDescent="0.35">
      <c r="A38" t="s">
        <v>1185</v>
      </c>
      <c r="B38" t="s">
        <v>1184</v>
      </c>
      <c r="C38" s="9" t="s">
        <v>1810</v>
      </c>
      <c r="D3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223.37860237721964</v>
      </c>
      <c r="E38" t="str">
        <f>Table1[[#This Row],[Color Code]] &amp; " - " &amp;Table1[[#This Row],[Color Name]]</f>
        <v>6T1236 - SPRING VIOLETS</v>
      </c>
    </row>
    <row r="39" spans="1:5" x14ac:dyDescent="0.35">
      <c r="A39" t="s">
        <v>86</v>
      </c>
      <c r="B39" t="s">
        <v>87</v>
      </c>
      <c r="C39" s="9" t="s">
        <v>190</v>
      </c>
      <c r="D3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224.58851261807672</v>
      </c>
      <c r="E39" t="str">
        <f>Table1[[#This Row],[Color Code]] &amp; " - " &amp;Table1[[#This Row],[Color Name]]</f>
        <v>1P0024 - LARKSPUR</v>
      </c>
    </row>
    <row r="40" spans="1:5" x14ac:dyDescent="0.35">
      <c r="A40" t="s">
        <v>1177</v>
      </c>
      <c r="B40" t="s">
        <v>1176</v>
      </c>
      <c r="C40" s="9" t="s">
        <v>1806</v>
      </c>
      <c r="D4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224.79101405527757</v>
      </c>
      <c r="E40" t="str">
        <f>Table1[[#This Row],[Color Code]] &amp; " - " &amp;Table1[[#This Row],[Color Name]]</f>
        <v>6T1220 - LADY LAVENDER</v>
      </c>
    </row>
    <row r="41" spans="1:5" x14ac:dyDescent="0.35">
      <c r="A41" t="s">
        <v>831</v>
      </c>
      <c r="B41" t="s">
        <v>830</v>
      </c>
      <c r="C41" s="9" t="s">
        <v>1633</v>
      </c>
      <c r="D4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225.09775654146355</v>
      </c>
      <c r="E41" t="str">
        <f>Table1[[#This Row],[Color Code]] &amp; " - " &amp;Table1[[#This Row],[Color Name]]</f>
        <v>4T0924 - DOGWOOD LEAF</v>
      </c>
    </row>
    <row r="42" spans="1:5" x14ac:dyDescent="0.35">
      <c r="A42" t="s">
        <v>1155</v>
      </c>
      <c r="B42" t="s">
        <v>1154</v>
      </c>
      <c r="C42" s="9" t="s">
        <v>1795</v>
      </c>
      <c r="D4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225.1888096686867</v>
      </c>
      <c r="E42" t="str">
        <f>Table1[[#This Row],[Color Code]] &amp; " - " &amp;Table1[[#This Row],[Color Name]]</f>
        <v>6T0309 - AROMATIC FLORAL</v>
      </c>
    </row>
    <row r="43" spans="1:5" x14ac:dyDescent="0.35">
      <c r="A43" t="s">
        <v>1191</v>
      </c>
      <c r="B43" t="s">
        <v>1190</v>
      </c>
      <c r="C43" s="9" t="s">
        <v>1813</v>
      </c>
      <c r="D4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226.29626598775332</v>
      </c>
      <c r="E43" t="str">
        <f>Table1[[#This Row],[Color Code]] &amp; " - " &amp;Table1[[#This Row],[Color Name]]</f>
        <v>6T1244 - SIMPLY LILAC</v>
      </c>
    </row>
    <row r="44" spans="1:5" x14ac:dyDescent="0.35">
      <c r="A44" t="s">
        <v>801</v>
      </c>
      <c r="B44" t="s">
        <v>800</v>
      </c>
      <c r="C44" s="9" t="s">
        <v>1618</v>
      </c>
      <c r="D4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226.47074866304479</v>
      </c>
      <c r="E44" t="str">
        <f>Table1[[#This Row],[Color Code]] &amp; " - " &amp;Table1[[#This Row],[Color Name]]</f>
        <v>4T0274 - AQUA ESSENCE</v>
      </c>
    </row>
    <row r="45" spans="1:5" x14ac:dyDescent="0.35">
      <c r="A45" t="s">
        <v>825</v>
      </c>
      <c r="B45" t="s">
        <v>824</v>
      </c>
      <c r="C45" s="9" t="s">
        <v>1630</v>
      </c>
      <c r="D4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226.57449106199047</v>
      </c>
      <c r="E45" t="str">
        <f>Table1[[#This Row],[Color Code]] &amp; " - " &amp;Table1[[#This Row],[Color Name]]</f>
        <v>4T0916 - SNAPPY GREEN</v>
      </c>
    </row>
    <row r="46" spans="1:5" x14ac:dyDescent="0.35">
      <c r="A46" t="s">
        <v>875</v>
      </c>
      <c r="B46" t="s">
        <v>874</v>
      </c>
      <c r="C46" s="9" t="s">
        <v>1655</v>
      </c>
      <c r="D4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226.76419470454326</v>
      </c>
      <c r="E46" t="str">
        <f>Table1[[#This Row],[Color Code]] &amp; " - " &amp;Table1[[#This Row],[Color Name]]</f>
        <v>5P0144 - FRESQUE</v>
      </c>
    </row>
    <row r="47" spans="1:5" x14ac:dyDescent="0.35">
      <c r="A47" t="s">
        <v>2327</v>
      </c>
      <c r="B47" t="s">
        <v>2326</v>
      </c>
      <c r="C47" s="9" t="s">
        <v>2328</v>
      </c>
      <c r="D4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227.10570226218451</v>
      </c>
      <c r="E47" t="str">
        <f>Table1[[#This Row],[Color Code]] &amp; " - " &amp;Table1[[#This Row],[Color Name]]</f>
        <v>8P2674 - TECHNO GREY</v>
      </c>
    </row>
    <row r="48" spans="1:5" x14ac:dyDescent="0.35">
      <c r="A48" t="s">
        <v>244</v>
      </c>
      <c r="B48" t="s">
        <v>245</v>
      </c>
      <c r="C48" s="9" t="s">
        <v>1341</v>
      </c>
      <c r="D4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227.48626332154652</v>
      </c>
      <c r="E48" t="str">
        <f>Table1[[#This Row],[Color Code]] &amp; " - " &amp;Table1[[#This Row],[Color Name]]</f>
        <v>2P0040 - SOURDOUGH</v>
      </c>
    </row>
    <row r="49" spans="1:5" x14ac:dyDescent="0.35">
      <c r="A49" t="s">
        <v>622</v>
      </c>
      <c r="B49" t="s">
        <v>623</v>
      </c>
      <c r="C49" s="9" t="s">
        <v>1529</v>
      </c>
      <c r="D4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228.53008554673934</v>
      </c>
      <c r="E49" t="str">
        <f>Table1[[#This Row],[Color Code]] &amp; " - " &amp;Table1[[#This Row],[Color Name]]</f>
        <v>4P0104 - TROPICAL STORM</v>
      </c>
    </row>
    <row r="50" spans="1:5" x14ac:dyDescent="0.35">
      <c r="A50" t="s">
        <v>2098</v>
      </c>
      <c r="B50" t="s">
        <v>2097</v>
      </c>
      <c r="C50" s="9" t="s">
        <v>2099</v>
      </c>
      <c r="D5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228.81870552907165</v>
      </c>
      <c r="E50" t="str">
        <f>Table1[[#This Row],[Color Code]] &amp; " - " &amp;Table1[[#This Row],[Color Name]]</f>
        <v>8P0216 - DEW MIST</v>
      </c>
    </row>
    <row r="51" spans="1:5" x14ac:dyDescent="0.35">
      <c r="A51" t="s">
        <v>374</v>
      </c>
      <c r="B51" t="s">
        <v>375</v>
      </c>
      <c r="C51" s="9" t="s">
        <v>1406</v>
      </c>
      <c r="D5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230.36926878383758</v>
      </c>
      <c r="E51" t="str">
        <f>Table1[[#This Row],[Color Code]] &amp; " - " &amp;Table1[[#This Row],[Color Name]]</f>
        <v>3P0064 - TIRAMISU</v>
      </c>
    </row>
    <row r="52" spans="1:5" x14ac:dyDescent="0.35">
      <c r="A52" t="s">
        <v>650</v>
      </c>
      <c r="B52" t="s">
        <v>651</v>
      </c>
      <c r="C52" s="9" t="s">
        <v>1543</v>
      </c>
      <c r="D5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230.69460331789298</v>
      </c>
      <c r="E52" t="str">
        <f>Table1[[#This Row],[Color Code]] &amp; " - " &amp;Table1[[#This Row],[Color Name]]</f>
        <v>4P0120 - ALPINE GLOW</v>
      </c>
    </row>
    <row r="53" spans="1:5" x14ac:dyDescent="0.35">
      <c r="A53" t="s">
        <v>571</v>
      </c>
      <c r="B53" t="s">
        <v>570</v>
      </c>
      <c r="C53" s="9" t="s">
        <v>1503</v>
      </c>
      <c r="D5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230.93938598688618</v>
      </c>
      <c r="E53" t="str">
        <f>Table1[[#This Row],[Color Code]] &amp; " - " &amp;Table1[[#This Row],[Color Name]]</f>
        <v>3T2091 - HONEY PIE</v>
      </c>
    </row>
    <row r="54" spans="1:5" x14ac:dyDescent="0.35">
      <c r="A54" t="s">
        <v>1217</v>
      </c>
      <c r="B54" t="s">
        <v>1216</v>
      </c>
      <c r="C54" s="9" t="s">
        <v>1826</v>
      </c>
      <c r="D5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231.58799623469261</v>
      </c>
      <c r="E54" t="str">
        <f>Table1[[#This Row],[Color Code]] &amp; " - " &amp;Table1[[#This Row],[Color Name]]</f>
        <v>7P0189 - ORGANIC IVORY</v>
      </c>
    </row>
    <row r="55" spans="1:5" x14ac:dyDescent="0.35">
      <c r="A55" t="s">
        <v>539</v>
      </c>
      <c r="B55" t="s">
        <v>538</v>
      </c>
      <c r="C55" s="9" t="s">
        <v>1487</v>
      </c>
      <c r="D5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232.53816890996626</v>
      </c>
      <c r="E55" t="str">
        <f>Table1[[#This Row],[Color Code]] &amp; " - " &amp;Table1[[#This Row],[Color Name]]</f>
        <v>3T0829 - OLIVE OIL</v>
      </c>
    </row>
    <row r="56" spans="1:5" x14ac:dyDescent="0.35">
      <c r="A56" t="s">
        <v>348</v>
      </c>
      <c r="B56" t="s">
        <v>349</v>
      </c>
      <c r="C56" s="9" t="s">
        <v>1393</v>
      </c>
      <c r="D5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233.86748384501851</v>
      </c>
      <c r="E56" t="str">
        <f>Table1[[#This Row],[Color Code]] &amp; " - " &amp;Table1[[#This Row],[Color Name]]</f>
        <v>2T0226 - CHIFFON SOUFFLE</v>
      </c>
    </row>
    <row r="57" spans="1:5" x14ac:dyDescent="0.35">
      <c r="A57" t="s">
        <v>1231</v>
      </c>
      <c r="B57" t="s">
        <v>1230</v>
      </c>
      <c r="C57" s="9" t="s">
        <v>1833</v>
      </c>
      <c r="D5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233.91665182282341</v>
      </c>
      <c r="E57" t="str">
        <f>Table1[[#This Row],[Color Code]] &amp; " - " &amp;Table1[[#This Row],[Color Name]]</f>
        <v>7P0341 - WARM SHAWL</v>
      </c>
    </row>
    <row r="58" spans="1:5" x14ac:dyDescent="0.35">
      <c r="A58" t="s">
        <v>845</v>
      </c>
      <c r="B58" t="s">
        <v>844</v>
      </c>
      <c r="C58" s="9" t="s">
        <v>1640</v>
      </c>
      <c r="D5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234.3181597742693</v>
      </c>
      <c r="E58" t="str">
        <f>Table1[[#This Row],[Color Code]] &amp; " - " &amp;Table1[[#This Row],[Color Name]]</f>
        <v>5P0128 - AQUA FLIP</v>
      </c>
    </row>
    <row r="59" spans="1:5" x14ac:dyDescent="0.35">
      <c r="A59" t="s">
        <v>494</v>
      </c>
      <c r="B59" t="s">
        <v>495</v>
      </c>
      <c r="C59" s="9" t="s">
        <v>1465</v>
      </c>
      <c r="D5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234.35869943315524</v>
      </c>
      <c r="E59" t="str">
        <f>Table1[[#This Row],[Color Code]] &amp; " - " &amp;Table1[[#This Row],[Color Name]]</f>
        <v>3T0235 - BRIGHT IDEA</v>
      </c>
    </row>
    <row r="60" spans="1:5" x14ac:dyDescent="0.35">
      <c r="A60" t="s">
        <v>567</v>
      </c>
      <c r="B60" t="s">
        <v>566</v>
      </c>
      <c r="C60" s="9" t="s">
        <v>1501</v>
      </c>
      <c r="D6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234.9255201122262</v>
      </c>
      <c r="E60" t="str">
        <f>Table1[[#This Row],[Color Code]] &amp; " - " &amp;Table1[[#This Row],[Color Name]]</f>
        <v>3T2086 - YELLOW TART</v>
      </c>
    </row>
    <row r="61" spans="1:5" x14ac:dyDescent="0.35">
      <c r="A61" t="s">
        <v>114</v>
      </c>
      <c r="B61" t="s">
        <v>115</v>
      </c>
      <c r="C61" s="9" t="s">
        <v>204</v>
      </c>
      <c r="D6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235.14676268237247</v>
      </c>
      <c r="E61" t="str">
        <f>Table1[[#This Row],[Color Code]] &amp; " - " &amp;Table1[[#This Row],[Color Name]]</f>
        <v>1P0318 - PINK GLIMMER</v>
      </c>
    </row>
    <row r="62" spans="1:5" x14ac:dyDescent="0.35">
      <c r="A62" t="s">
        <v>352</v>
      </c>
      <c r="B62" t="s">
        <v>353</v>
      </c>
      <c r="C62" s="9" t="s">
        <v>1395</v>
      </c>
      <c r="D6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235.76683396949622</v>
      </c>
      <c r="E62" t="str">
        <f>Table1[[#This Row],[Color Code]] &amp; " - " &amp;Table1[[#This Row],[Color Name]]</f>
        <v>2T0588 - GINGER PEACH</v>
      </c>
    </row>
    <row r="63" spans="1:5" x14ac:dyDescent="0.35">
      <c r="A63" t="s">
        <v>532</v>
      </c>
      <c r="B63" t="s">
        <v>533</v>
      </c>
      <c r="C63" s="9" t="s">
        <v>1484</v>
      </c>
      <c r="D6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236.01271152207036</v>
      </c>
      <c r="E63" t="str">
        <f>Table1[[#This Row],[Color Code]] &amp; " - " &amp;Table1[[#This Row],[Color Name]]</f>
        <v>3T0821 - YELLOW RIVER</v>
      </c>
    </row>
    <row r="64" spans="1:5" x14ac:dyDescent="0.35">
      <c r="A64" t="s">
        <v>604</v>
      </c>
      <c r="B64" t="s">
        <v>605</v>
      </c>
      <c r="C64" s="9" t="s">
        <v>1520</v>
      </c>
      <c r="D6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236.02118548977759</v>
      </c>
      <c r="E64" t="str">
        <f>Table1[[#This Row],[Color Code]] &amp; " - " &amp;Table1[[#This Row],[Color Name]]</f>
        <v>4P0095 - ANASTASIA</v>
      </c>
    </row>
    <row r="65" spans="1:5" x14ac:dyDescent="0.35">
      <c r="A65" t="s">
        <v>2256</v>
      </c>
      <c r="B65" t="s">
        <v>2255</v>
      </c>
      <c r="C65" s="9" t="s">
        <v>2257</v>
      </c>
      <c r="D6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236.50158561836324</v>
      </c>
      <c r="E65" t="str">
        <f>Table1[[#This Row],[Color Code]] &amp; " - " &amp;Table1[[#This Row],[Color Name]]</f>
        <v>8P2550 - DRIED ROSE</v>
      </c>
    </row>
    <row r="66" spans="1:5" x14ac:dyDescent="0.35">
      <c r="A66" t="s">
        <v>805</v>
      </c>
      <c r="B66" t="s">
        <v>804</v>
      </c>
      <c r="C66" s="9" t="s">
        <v>1620</v>
      </c>
      <c r="D6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236.74670008259884</v>
      </c>
      <c r="E66" t="str">
        <f>Table1[[#This Row],[Color Code]] &amp; " - " &amp;Table1[[#This Row],[Color Name]]</f>
        <v>4T0884 - SPRING FLING</v>
      </c>
    </row>
    <row r="67" spans="1:5" x14ac:dyDescent="0.35">
      <c r="A67" t="s">
        <v>2095</v>
      </c>
      <c r="B67" t="s">
        <v>2094</v>
      </c>
      <c r="C67" s="9" t="s">
        <v>2096</v>
      </c>
      <c r="D6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236.76781875922242</v>
      </c>
      <c r="E67" t="str">
        <f>Table1[[#This Row],[Color Code]] &amp; " - " &amp;Table1[[#This Row],[Color Name]]</f>
        <v>8P0215 - GENTLE DAWN</v>
      </c>
    </row>
    <row r="68" spans="1:5" x14ac:dyDescent="0.35">
      <c r="A68" t="s">
        <v>861</v>
      </c>
      <c r="B68" t="s">
        <v>860</v>
      </c>
      <c r="C68" s="9" t="s">
        <v>1648</v>
      </c>
      <c r="D6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237.23406163533937</v>
      </c>
      <c r="E68" t="str">
        <f>Table1[[#This Row],[Color Code]] &amp; " - " &amp;Table1[[#This Row],[Color Name]]</f>
        <v>5P0136 - AQUA CHILL</v>
      </c>
    </row>
    <row r="69" spans="1:5" x14ac:dyDescent="0.35">
      <c r="A69" t="s">
        <v>559</v>
      </c>
      <c r="B69" t="s">
        <v>558</v>
      </c>
      <c r="C69" s="9" t="s">
        <v>1497</v>
      </c>
      <c r="D6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238.20159529272678</v>
      </c>
      <c r="E69" t="str">
        <f>Table1[[#This Row],[Color Code]] &amp; " - " &amp;Table1[[#This Row],[Color Name]]</f>
        <v>3T2072 - ROYAL ARCH</v>
      </c>
    </row>
    <row r="70" spans="1:5" x14ac:dyDescent="0.35">
      <c r="A70" t="s">
        <v>74</v>
      </c>
      <c r="B70" t="s">
        <v>75</v>
      </c>
      <c r="C70" s="9" t="s">
        <v>184</v>
      </c>
      <c r="D7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238.23098035310184</v>
      </c>
      <c r="E70" t="str">
        <f>Table1[[#This Row],[Color Code]] &amp; " - " &amp;Table1[[#This Row],[Color Name]]</f>
        <v>1P0013 - MAXI PINK</v>
      </c>
    </row>
    <row r="71" spans="1:5" x14ac:dyDescent="0.35">
      <c r="A71" t="s">
        <v>258</v>
      </c>
      <c r="B71" t="s">
        <v>259</v>
      </c>
      <c r="C71" s="9" t="s">
        <v>1348</v>
      </c>
      <c r="D7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238.45125287991254</v>
      </c>
      <c r="E71" t="str">
        <f>Table1[[#This Row],[Color Code]] &amp; " - " &amp;Table1[[#This Row],[Color Name]]</f>
        <v>2P0048 - AIRY CREAM</v>
      </c>
    </row>
    <row r="72" spans="1:5" x14ac:dyDescent="0.35">
      <c r="A72" t="s">
        <v>664</v>
      </c>
      <c r="B72" t="s">
        <v>665</v>
      </c>
      <c r="C72" s="9" t="s">
        <v>1550</v>
      </c>
      <c r="D7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239.10667075596197</v>
      </c>
      <c r="E72" t="str">
        <f>Table1[[#This Row],[Color Code]] &amp; " - " &amp;Table1[[#This Row],[Color Name]]</f>
        <v>4P0277 - DREAMERS</v>
      </c>
    </row>
    <row r="73" spans="1:5" x14ac:dyDescent="0.35">
      <c r="A73" t="s">
        <v>547</v>
      </c>
      <c r="B73" t="s">
        <v>546</v>
      </c>
      <c r="C73" s="9" t="s">
        <v>1491</v>
      </c>
      <c r="D7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239.16939603552959</v>
      </c>
      <c r="E73" t="str">
        <f>Table1[[#This Row],[Color Code]] &amp; " - " &amp;Table1[[#This Row],[Color Name]]</f>
        <v>3T0860 - PRAIRIE PRINCESS</v>
      </c>
    </row>
    <row r="74" spans="1:5" x14ac:dyDescent="0.35">
      <c r="A74" t="s">
        <v>2238</v>
      </c>
      <c r="B74" t="s">
        <v>2237</v>
      </c>
      <c r="C74" s="9" t="s">
        <v>2239</v>
      </c>
      <c r="D7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239.60383970212163</v>
      </c>
      <c r="E74" t="str">
        <f>Table1[[#This Row],[Color Code]] &amp; " - " &amp;Table1[[#This Row],[Color Name]]</f>
        <v>8P2529 - PALE AMARYLLIS</v>
      </c>
    </row>
    <row r="75" spans="1:5" x14ac:dyDescent="0.35">
      <c r="A75" t="s">
        <v>2143</v>
      </c>
      <c r="B75" t="s">
        <v>2142</v>
      </c>
      <c r="C75" s="9" t="s">
        <v>2144</v>
      </c>
      <c r="D7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239.73527066328811</v>
      </c>
      <c r="E75" t="str">
        <f>Table1[[#This Row],[Color Code]] &amp; " - " &amp;Table1[[#This Row],[Color Name]]</f>
        <v>8P1738 - ROSE QUARTZ</v>
      </c>
    </row>
    <row r="76" spans="1:5" x14ac:dyDescent="0.35">
      <c r="A76" t="s">
        <v>873</v>
      </c>
      <c r="B76" t="s">
        <v>872</v>
      </c>
      <c r="C76" s="9" t="s">
        <v>1654</v>
      </c>
      <c r="D7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240.18742681497713</v>
      </c>
      <c r="E76" t="str">
        <f>Table1[[#This Row],[Color Code]] &amp; " - " &amp;Table1[[#This Row],[Color Name]]</f>
        <v>5P0143 - HEAVENING MIST</v>
      </c>
    </row>
    <row r="77" spans="1:5" x14ac:dyDescent="0.35">
      <c r="A77" t="s">
        <v>1153</v>
      </c>
      <c r="B77" t="s">
        <v>1152</v>
      </c>
      <c r="C77" s="9" t="s">
        <v>1794</v>
      </c>
      <c r="D7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240.249869927124</v>
      </c>
      <c r="E77" t="str">
        <f>Table1[[#This Row],[Color Code]] &amp; " - " &amp;Table1[[#This Row],[Color Name]]</f>
        <v>6T0306 - BO PEEP</v>
      </c>
    </row>
    <row r="78" spans="1:5" x14ac:dyDescent="0.35">
      <c r="A78" t="s">
        <v>1333</v>
      </c>
      <c r="B78" t="s">
        <v>1332</v>
      </c>
      <c r="C78" s="9" t="s">
        <v>1883</v>
      </c>
      <c r="D7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240.62626623043462</v>
      </c>
      <c r="E78" t="str">
        <f>Table1[[#This Row],[Color Code]] &amp; " - " &amp;Table1[[#This Row],[Color Name]]</f>
        <v>7P1658 - LITTLE PRECIOUS</v>
      </c>
    </row>
    <row r="79" spans="1:5" x14ac:dyDescent="0.35">
      <c r="A79" t="s">
        <v>108</v>
      </c>
      <c r="B79" t="s">
        <v>109</v>
      </c>
      <c r="C79" s="9" t="s">
        <v>201</v>
      </c>
      <c r="D7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240.71975407099436</v>
      </c>
      <c r="E79" t="str">
        <f>Table1[[#This Row],[Color Code]] &amp; " - " &amp;Table1[[#This Row],[Color Name]]</f>
        <v>1P0222 - BUFF APRICOT</v>
      </c>
    </row>
    <row r="80" spans="1:5" x14ac:dyDescent="0.35">
      <c r="A80" t="s">
        <v>1219</v>
      </c>
      <c r="B80" t="s">
        <v>1218</v>
      </c>
      <c r="C80" s="9" t="s">
        <v>1827</v>
      </c>
      <c r="D8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240.8090529859706</v>
      </c>
      <c r="E80" t="str">
        <f>Table1[[#This Row],[Color Code]] &amp; " - " &amp;Table1[[#This Row],[Color Name]]</f>
        <v>7P0190 - MINERAL WHITE</v>
      </c>
    </row>
    <row r="81" spans="1:5" x14ac:dyDescent="0.35">
      <c r="A81" t="s">
        <v>811</v>
      </c>
      <c r="B81" t="s">
        <v>810</v>
      </c>
      <c r="C81" s="9" t="s">
        <v>1623</v>
      </c>
      <c r="D8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241.35036772294339</v>
      </c>
      <c r="E81" t="str">
        <f>Table1[[#This Row],[Color Code]] &amp; " - " &amp;Table1[[#This Row],[Color Name]]</f>
        <v>4T0892 - ENTICING AS SPRING</v>
      </c>
    </row>
    <row r="82" spans="1:5" x14ac:dyDescent="0.35">
      <c r="A82" t="s">
        <v>2062</v>
      </c>
      <c r="B82" t="s">
        <v>2061</v>
      </c>
      <c r="C82" s="9" t="s">
        <v>2063</v>
      </c>
      <c r="D8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241.45807089430662</v>
      </c>
      <c r="E82" t="str">
        <f>Table1[[#This Row],[Color Code]] &amp; " - " &amp;Table1[[#This Row],[Color Name]]</f>
        <v>8P0204 - TOPSAIL</v>
      </c>
    </row>
    <row r="83" spans="1:5" x14ac:dyDescent="0.35">
      <c r="A83" t="s">
        <v>1329</v>
      </c>
      <c r="B83" t="s">
        <v>1328</v>
      </c>
      <c r="C83" s="9" t="s">
        <v>1881</v>
      </c>
      <c r="D8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241.6112580158466</v>
      </c>
      <c r="E83" t="str">
        <f>Table1[[#This Row],[Color Code]] &amp; " - " &amp;Table1[[#This Row],[Color Name]]</f>
        <v>7P1650 - STELLAR LIGHT</v>
      </c>
    </row>
    <row r="84" spans="1:5" x14ac:dyDescent="0.35">
      <c r="A84" t="s">
        <v>526</v>
      </c>
      <c r="B84" t="s">
        <v>527</v>
      </c>
      <c r="C84" s="9" t="s">
        <v>1481</v>
      </c>
      <c r="D8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241.96693989055612</v>
      </c>
      <c r="E84" t="str">
        <f>Table1[[#This Row],[Color Code]] &amp; " - " &amp;Table1[[#This Row],[Color Name]]</f>
        <v>3T0781 - GOLDEN TORTILLA</v>
      </c>
    </row>
    <row r="85" spans="1:5" x14ac:dyDescent="0.35">
      <c r="A85" t="s">
        <v>2137</v>
      </c>
      <c r="B85" t="s">
        <v>2136</v>
      </c>
      <c r="C85" s="9" t="s">
        <v>2138</v>
      </c>
      <c r="D8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242.00206610688264</v>
      </c>
      <c r="E85" t="str">
        <f>Table1[[#This Row],[Color Code]] &amp; " - " &amp;Table1[[#This Row],[Color Name]]</f>
        <v>8P1730 - STAR GAZER</v>
      </c>
    </row>
    <row r="86" spans="1:5" x14ac:dyDescent="0.35">
      <c r="A86" t="s">
        <v>242</v>
      </c>
      <c r="B86" t="s">
        <v>243</v>
      </c>
      <c r="C86" s="9" t="s">
        <v>1340</v>
      </c>
      <c r="D8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242.3509851434485</v>
      </c>
      <c r="E86" t="str">
        <f>Table1[[#This Row],[Color Code]] &amp; " - " &amp;Table1[[#This Row],[Color Name]]</f>
        <v>2P0039 - BABY BONNET</v>
      </c>
    </row>
    <row r="87" spans="1:5" x14ac:dyDescent="0.35">
      <c r="A87" t="s">
        <v>238</v>
      </c>
      <c r="B87" t="s">
        <v>239</v>
      </c>
      <c r="C87" s="9" t="s">
        <v>1338</v>
      </c>
      <c r="D8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242.39636960977776</v>
      </c>
      <c r="E87" t="str">
        <f>Table1[[#This Row],[Color Code]] &amp; " - " &amp;Table1[[#This Row],[Color Name]]</f>
        <v>2P0036 - MOROCCON SAND</v>
      </c>
    </row>
    <row r="88" spans="1:5" x14ac:dyDescent="0.35">
      <c r="A88" t="s">
        <v>557</v>
      </c>
      <c r="B88" t="s">
        <v>556</v>
      </c>
      <c r="C88" s="9" t="s">
        <v>1496</v>
      </c>
      <c r="D8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242.41699610382108</v>
      </c>
      <c r="E88" t="str">
        <f>Table1[[#This Row],[Color Code]] &amp; " - " &amp;Table1[[#This Row],[Color Name]]</f>
        <v>3T2071 - PIANO BAR</v>
      </c>
    </row>
    <row r="89" spans="1:5" x14ac:dyDescent="0.35">
      <c r="A89" t="s">
        <v>2074</v>
      </c>
      <c r="B89" t="s">
        <v>2073</v>
      </c>
      <c r="C89" s="9" t="s">
        <v>2075</v>
      </c>
      <c r="D8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242.59018941416406</v>
      </c>
      <c r="E89" t="str">
        <f>Table1[[#This Row],[Color Code]] &amp; " - " &amp;Table1[[#This Row],[Color Name]]</f>
        <v>8P0208 - POETIC WHITE</v>
      </c>
    </row>
    <row r="90" spans="1:5" x14ac:dyDescent="0.35">
      <c r="A90" t="s">
        <v>634</v>
      </c>
      <c r="B90" t="s">
        <v>635</v>
      </c>
      <c r="C90" s="9" t="s">
        <v>1535</v>
      </c>
      <c r="D9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242.91973983190414</v>
      </c>
      <c r="E90" t="str">
        <f>Table1[[#This Row],[Color Code]] &amp; " - " &amp;Table1[[#This Row],[Color Name]]</f>
        <v>4P0112 - CABANA BAY</v>
      </c>
    </row>
    <row r="91" spans="1:5" x14ac:dyDescent="0.35">
      <c r="A91" t="s">
        <v>869</v>
      </c>
      <c r="B91" t="s">
        <v>868</v>
      </c>
      <c r="C91" s="9" t="s">
        <v>1652</v>
      </c>
      <c r="D9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243.04114877937852</v>
      </c>
      <c r="E91" t="str">
        <f>Table1[[#This Row],[Color Code]] &amp; " - " &amp;Table1[[#This Row],[Color Name]]</f>
        <v>5P0141 - SEVEN LAKES</v>
      </c>
    </row>
    <row r="92" spans="1:5" x14ac:dyDescent="0.35">
      <c r="A92" t="s">
        <v>510</v>
      </c>
      <c r="B92" t="s">
        <v>511</v>
      </c>
      <c r="C92" s="9" t="s">
        <v>1473</v>
      </c>
      <c r="D9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243.23034350179256</v>
      </c>
      <c r="E92" t="str">
        <f>Table1[[#This Row],[Color Code]] &amp; " - " &amp;Table1[[#This Row],[Color Name]]</f>
        <v>3T0741 - LUCKY LUCY</v>
      </c>
    </row>
    <row r="93" spans="1:5" x14ac:dyDescent="0.35">
      <c r="A93" t="s">
        <v>84</v>
      </c>
      <c r="B93" t="s">
        <v>85</v>
      </c>
      <c r="C93" s="9" t="s">
        <v>189</v>
      </c>
      <c r="D9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243.64112953276177</v>
      </c>
      <c r="E93" t="str">
        <f>Table1[[#This Row],[Color Code]] &amp; " - " &amp;Table1[[#This Row],[Color Name]]</f>
        <v>1P0023 - LIGHT CAMELIA</v>
      </c>
    </row>
    <row r="94" spans="1:5" x14ac:dyDescent="0.35">
      <c r="A94" t="s">
        <v>1159</v>
      </c>
      <c r="B94" t="s">
        <v>1158</v>
      </c>
      <c r="C94" s="9" t="s">
        <v>1797</v>
      </c>
      <c r="D9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243.79499584692053</v>
      </c>
      <c r="E94" t="str">
        <f>Table1[[#This Row],[Color Code]] &amp; " - " &amp;Table1[[#This Row],[Color Name]]</f>
        <v>6T1195 - SAFE PASSAGE</v>
      </c>
    </row>
    <row r="95" spans="1:5" x14ac:dyDescent="0.35">
      <c r="A95" t="s">
        <v>2315</v>
      </c>
      <c r="B95" t="s">
        <v>2314</v>
      </c>
      <c r="C95" s="9" t="s">
        <v>2316</v>
      </c>
      <c r="D9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243.85446479406522</v>
      </c>
      <c r="E95" t="str">
        <f>Table1[[#This Row],[Color Code]] &amp; " - " &amp;Table1[[#This Row],[Color Name]]</f>
        <v>8P2655 - WHISTLING STONE</v>
      </c>
    </row>
    <row r="96" spans="1:5" x14ac:dyDescent="0.35">
      <c r="A96" t="s">
        <v>859</v>
      </c>
      <c r="B96" t="s">
        <v>858</v>
      </c>
      <c r="C96" s="9" t="s">
        <v>1647</v>
      </c>
      <c r="D9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244.0880988495752</v>
      </c>
      <c r="E96" t="str">
        <f>Table1[[#This Row],[Color Code]] &amp; " - " &amp;Table1[[#This Row],[Color Name]]</f>
        <v>5P0135 - MUSE OF THE SEA</v>
      </c>
    </row>
    <row r="97" spans="1:5" x14ac:dyDescent="0.35">
      <c r="A97" t="s">
        <v>1163</v>
      </c>
      <c r="B97" t="s">
        <v>1162</v>
      </c>
      <c r="C97" s="9" t="s">
        <v>1799</v>
      </c>
      <c r="D9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244.22325851564588</v>
      </c>
      <c r="E97" t="str">
        <f>Table1[[#This Row],[Color Code]] &amp; " - " &amp;Table1[[#This Row],[Color Name]]</f>
        <v>6T1203 - BIG FALLS</v>
      </c>
    </row>
    <row r="98" spans="1:5" x14ac:dyDescent="0.35">
      <c r="A98" t="s">
        <v>2274</v>
      </c>
      <c r="B98" t="s">
        <v>2273</v>
      </c>
      <c r="C98" s="9" t="s">
        <v>2275</v>
      </c>
      <c r="D9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244.32969528896811</v>
      </c>
      <c r="E98" t="str">
        <f>Table1[[#This Row],[Color Code]] &amp; " - " &amp;Table1[[#This Row],[Color Name]]</f>
        <v>8P2572 - DANCING NOTES</v>
      </c>
    </row>
    <row r="99" spans="1:5" x14ac:dyDescent="0.35">
      <c r="A99" t="s">
        <v>2155</v>
      </c>
      <c r="B99" t="s">
        <v>2154</v>
      </c>
      <c r="C99" s="9" t="s">
        <v>2156</v>
      </c>
      <c r="D9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244.37062016535458</v>
      </c>
      <c r="E99" t="str">
        <f>Table1[[#This Row],[Color Code]] &amp; " - " &amp;Table1[[#This Row],[Color Name]]</f>
        <v>8P1754 - PATCHOULI</v>
      </c>
    </row>
    <row r="100" spans="1:5" x14ac:dyDescent="0.35">
      <c r="A100" t="s">
        <v>154</v>
      </c>
      <c r="B100" t="s">
        <v>155</v>
      </c>
      <c r="C100" s="9" t="s">
        <v>224</v>
      </c>
      <c r="D10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244.3951718017359</v>
      </c>
      <c r="E100" t="str">
        <f>Table1[[#This Row],[Color Code]] &amp; " - " &amp;Table1[[#This Row],[Color Name]]</f>
        <v>1P0530 - SIMPLY SHELL</v>
      </c>
    </row>
    <row r="101" spans="1:5" x14ac:dyDescent="0.35">
      <c r="A101" t="s">
        <v>857</v>
      </c>
      <c r="B101" t="s">
        <v>856</v>
      </c>
      <c r="C101" s="9" t="s">
        <v>1646</v>
      </c>
      <c r="D10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244.40335513245313</v>
      </c>
      <c r="E101" t="str">
        <f>Table1[[#This Row],[Color Code]] &amp; " - " &amp;Table1[[#This Row],[Color Name]]</f>
        <v>5P0134 - HYPNOTIC</v>
      </c>
    </row>
    <row r="102" spans="1:5" x14ac:dyDescent="0.35">
      <c r="A102" t="s">
        <v>504</v>
      </c>
      <c r="B102" t="s">
        <v>505</v>
      </c>
      <c r="C102" s="9" t="s">
        <v>1470</v>
      </c>
      <c r="D10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244.66507719738019</v>
      </c>
      <c r="E102" t="str">
        <f>Table1[[#This Row],[Color Code]] &amp; " - " &amp;Table1[[#This Row],[Color Name]]</f>
        <v>3T0733 - DAISY HEART</v>
      </c>
    </row>
    <row r="103" spans="1:5" x14ac:dyDescent="0.35">
      <c r="A103" t="s">
        <v>2149</v>
      </c>
      <c r="B103" t="s">
        <v>2148</v>
      </c>
      <c r="C103" s="9" t="s">
        <v>2150</v>
      </c>
      <c r="D10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245.48116017324017</v>
      </c>
      <c r="E103" t="str">
        <f>Table1[[#This Row],[Color Code]] &amp; " - " &amp;Table1[[#This Row],[Color Name]]</f>
        <v>8P1746 - TAUPE TREND</v>
      </c>
    </row>
    <row r="104" spans="1:5" x14ac:dyDescent="0.35">
      <c r="A104" t="s">
        <v>829</v>
      </c>
      <c r="B104" t="s">
        <v>828</v>
      </c>
      <c r="C104" s="9" t="s">
        <v>1632</v>
      </c>
      <c r="D10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246.94331333324254</v>
      </c>
      <c r="E104" t="str">
        <f>Table1[[#This Row],[Color Code]] &amp; " - " &amp;Table1[[#This Row],[Color Name]]</f>
        <v>4T0923 - GREEN GLEAM</v>
      </c>
    </row>
    <row r="105" spans="1:5" x14ac:dyDescent="0.35">
      <c r="A105" t="s">
        <v>2131</v>
      </c>
      <c r="B105" t="s">
        <v>2130</v>
      </c>
      <c r="C105" s="9" t="s">
        <v>2132</v>
      </c>
      <c r="D10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247.22863911772035</v>
      </c>
      <c r="E105" t="str">
        <f>Table1[[#This Row],[Color Code]] &amp; " - " &amp;Table1[[#This Row],[Color Name]]</f>
        <v>8P1722 - WINTER WALTZ</v>
      </c>
    </row>
    <row r="106" spans="1:5" x14ac:dyDescent="0.35">
      <c r="A106" t="s">
        <v>256</v>
      </c>
      <c r="B106" t="s">
        <v>257</v>
      </c>
      <c r="C106" s="9" t="s">
        <v>1347</v>
      </c>
      <c r="D10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247.47121044679116</v>
      </c>
      <c r="E106" t="str">
        <f>Table1[[#This Row],[Color Code]] &amp; " - " &amp;Table1[[#This Row],[Color Name]]</f>
        <v>2P0047 - CREAM ALLURE</v>
      </c>
    </row>
    <row r="107" spans="1:5" x14ac:dyDescent="0.35">
      <c r="A107" t="s">
        <v>2092</v>
      </c>
      <c r="B107" t="s">
        <v>2091</v>
      </c>
      <c r="C107" s="9" t="s">
        <v>2093</v>
      </c>
      <c r="D10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247.7761086142084</v>
      </c>
      <c r="E107" t="str">
        <f>Table1[[#This Row],[Color Code]] &amp; " - " &amp;Table1[[#This Row],[Color Name]]</f>
        <v>8P0214 - GAZEBO</v>
      </c>
    </row>
    <row r="108" spans="1:5" x14ac:dyDescent="0.35">
      <c r="A108" t="s">
        <v>843</v>
      </c>
      <c r="B108" t="s">
        <v>842</v>
      </c>
      <c r="C108" s="9" t="s">
        <v>1639</v>
      </c>
      <c r="D10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247.99596770915448</v>
      </c>
      <c r="E108" t="str">
        <f>Table1[[#This Row],[Color Code]] &amp; " - " &amp;Table1[[#This Row],[Color Name]]</f>
        <v>5P0127 - BELLA AQUA</v>
      </c>
    </row>
    <row r="109" spans="1:5" x14ac:dyDescent="0.35">
      <c r="A109" t="s">
        <v>1189</v>
      </c>
      <c r="B109" t="s">
        <v>1188</v>
      </c>
      <c r="C109" s="9" t="s">
        <v>1812</v>
      </c>
      <c r="D10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248.15116360799118</v>
      </c>
      <c r="E109" t="str">
        <f>Table1[[#This Row],[Color Code]] &amp; " - " &amp;Table1[[#This Row],[Color Name]]</f>
        <v>6T1243 - POETIC PURPLE</v>
      </c>
    </row>
    <row r="110" spans="1:5" x14ac:dyDescent="0.35">
      <c r="A110" t="s">
        <v>102</v>
      </c>
      <c r="B110" t="s">
        <v>103</v>
      </c>
      <c r="C110" s="9" t="s">
        <v>198</v>
      </c>
      <c r="D11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248.28008377636738</v>
      </c>
      <c r="E110" t="str">
        <f>Table1[[#This Row],[Color Code]] &amp; " - " &amp;Table1[[#This Row],[Color Name]]</f>
        <v>1P0032 - SPIRITED</v>
      </c>
    </row>
    <row r="111" spans="1:5" x14ac:dyDescent="0.35">
      <c r="A111" t="s">
        <v>537</v>
      </c>
      <c r="B111" t="s">
        <v>536</v>
      </c>
      <c r="C111" s="9" t="s">
        <v>1486</v>
      </c>
      <c r="D11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248.63024755648698</v>
      </c>
      <c r="E111" t="str">
        <f>Table1[[#This Row],[Color Code]] &amp; " - " &amp;Table1[[#This Row],[Color Name]]</f>
        <v>3T0828 - THE GREAT PLAINS</v>
      </c>
    </row>
    <row r="112" spans="1:5" x14ac:dyDescent="0.35">
      <c r="A112" t="s">
        <v>156</v>
      </c>
      <c r="B112" t="s">
        <v>157</v>
      </c>
      <c r="C112" s="9" t="s">
        <v>225</v>
      </c>
      <c r="D11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248.68654969660099</v>
      </c>
      <c r="E112" t="str">
        <f>Table1[[#This Row],[Color Code]] &amp; " - " &amp;Table1[[#This Row],[Color Name]]</f>
        <v>1P0538 - YOUTHFUL DELIGHT</v>
      </c>
    </row>
    <row r="113" spans="1:5" x14ac:dyDescent="0.35">
      <c r="A113" t="s">
        <v>1169</v>
      </c>
      <c r="B113" t="s">
        <v>1168</v>
      </c>
      <c r="C113" s="9" t="s">
        <v>1802</v>
      </c>
      <c r="D11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248.75087939543047</v>
      </c>
      <c r="E113" t="str">
        <f>Table1[[#This Row],[Color Code]] &amp; " - " &amp;Table1[[#This Row],[Color Name]]</f>
        <v>6T1211 - LAVENDER LASS</v>
      </c>
    </row>
    <row r="114" spans="1:5" x14ac:dyDescent="0.35">
      <c r="A114" t="s">
        <v>252</v>
      </c>
      <c r="B114" t="s">
        <v>253</v>
      </c>
      <c r="C114" s="9" t="s">
        <v>1345</v>
      </c>
      <c r="D11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248.91765706755317</v>
      </c>
      <c r="E114" t="str">
        <f>Table1[[#This Row],[Color Code]] &amp; " - " &amp;Table1[[#This Row],[Color Name]]</f>
        <v>2P0045 - IVORY COAST</v>
      </c>
    </row>
    <row r="115" spans="1:5" x14ac:dyDescent="0.35">
      <c r="A115" t="s">
        <v>561</v>
      </c>
      <c r="B115" t="s">
        <v>560</v>
      </c>
      <c r="C115" s="9" t="s">
        <v>1498</v>
      </c>
      <c r="D11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249.03814968795444</v>
      </c>
      <c r="E115" t="str">
        <f>Table1[[#This Row],[Color Code]] &amp; " - " &amp;Table1[[#This Row],[Color Name]]</f>
        <v>3T2075 - TOUCH OF CLASS</v>
      </c>
    </row>
    <row r="116" spans="1:5" x14ac:dyDescent="0.35">
      <c r="A116" t="s">
        <v>2182</v>
      </c>
      <c r="B116" t="s">
        <v>2181</v>
      </c>
      <c r="C116" s="9" t="s">
        <v>2183</v>
      </c>
      <c r="D11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249.1224598465582</v>
      </c>
      <c r="E116" t="str">
        <f>Table1[[#This Row],[Color Code]] &amp; " - " &amp;Table1[[#This Row],[Color Name]]</f>
        <v>8P1794 - SILVER STREAK</v>
      </c>
    </row>
    <row r="117" spans="1:5" x14ac:dyDescent="0.35">
      <c r="A117" t="s">
        <v>855</v>
      </c>
      <c r="B117" t="s">
        <v>854</v>
      </c>
      <c r="C117" s="9" t="s">
        <v>1645</v>
      </c>
      <c r="D11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249.27093693409185</v>
      </c>
      <c r="E117" t="str">
        <f>Table1[[#This Row],[Color Code]] &amp; " - " &amp;Table1[[#This Row],[Color Name]]</f>
        <v>5P0133 - OPAQUE TEAL</v>
      </c>
    </row>
    <row r="118" spans="1:5" x14ac:dyDescent="0.35">
      <c r="A118" t="s">
        <v>358</v>
      </c>
      <c r="B118" t="s">
        <v>359</v>
      </c>
      <c r="C118" s="9" t="s">
        <v>1398</v>
      </c>
      <c r="D11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249.38724907260195</v>
      </c>
      <c r="E118" t="str">
        <f>Table1[[#This Row],[Color Code]] &amp; " - " &amp;Table1[[#This Row],[Color Name]]</f>
        <v>3P0056 - A CAPELLO</v>
      </c>
    </row>
    <row r="119" spans="1:5" x14ac:dyDescent="0.35">
      <c r="A119" t="s">
        <v>1179</v>
      </c>
      <c r="B119" t="s">
        <v>1178</v>
      </c>
      <c r="C119" s="9" t="s">
        <v>1807</v>
      </c>
      <c r="D11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249.48146223717706</v>
      </c>
      <c r="E119" t="str">
        <f>Table1[[#This Row],[Color Code]] &amp; " - " &amp;Table1[[#This Row],[Color Name]]</f>
        <v>6T1227 - PRINCE CHARMING</v>
      </c>
    </row>
    <row r="120" spans="1:5" x14ac:dyDescent="0.35">
      <c r="A120" t="s">
        <v>2354</v>
      </c>
      <c r="B120" t="s">
        <v>2353</v>
      </c>
      <c r="C120" s="9" t="s">
        <v>2355</v>
      </c>
      <c r="D12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249.49148282055643</v>
      </c>
      <c r="E120" t="str">
        <f>Table1[[#This Row],[Color Code]] &amp; " - " &amp;Table1[[#This Row],[Color Name]]</f>
        <v>8P2714 - SOFT KNIT</v>
      </c>
    </row>
    <row r="121" spans="1:5" x14ac:dyDescent="0.35">
      <c r="A121" t="s">
        <v>1325</v>
      </c>
      <c r="B121" t="s">
        <v>1324</v>
      </c>
      <c r="C121" s="9" t="s">
        <v>1879</v>
      </c>
      <c r="D12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249.5475906515629</v>
      </c>
      <c r="E121" t="str">
        <f>Table1[[#This Row],[Color Code]] &amp; " - " &amp;Table1[[#This Row],[Color Name]]</f>
        <v>7P1642 - BARE ESSENTIAL</v>
      </c>
    </row>
    <row r="122" spans="1:5" x14ac:dyDescent="0.35">
      <c r="A122" t="s">
        <v>2333</v>
      </c>
      <c r="B122" t="s">
        <v>2332</v>
      </c>
      <c r="C122" s="9" t="s">
        <v>2334</v>
      </c>
      <c r="D12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249.70782927253202</v>
      </c>
      <c r="E122" t="str">
        <f>Table1[[#This Row],[Color Code]] &amp; " - " &amp;Table1[[#This Row],[Color Name]]</f>
        <v>8P2680 - OUTER SPACE</v>
      </c>
    </row>
    <row r="123" spans="1:5" x14ac:dyDescent="0.35">
      <c r="A123" t="s">
        <v>2065</v>
      </c>
      <c r="B123" t="s">
        <v>2064</v>
      </c>
      <c r="C123" s="9" t="s">
        <v>2066</v>
      </c>
      <c r="D12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249.77990311472217</v>
      </c>
      <c r="E123" t="str">
        <f>Table1[[#This Row],[Color Code]] &amp; " - " &amp;Table1[[#This Row],[Color Name]]</f>
        <v>8P0205 - SNOW BITS</v>
      </c>
    </row>
    <row r="124" spans="1:5" x14ac:dyDescent="0.35">
      <c r="A124" t="s">
        <v>565</v>
      </c>
      <c r="B124" t="s">
        <v>564</v>
      </c>
      <c r="C124" s="9" t="s">
        <v>1500</v>
      </c>
      <c r="D12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249.88397307550559</v>
      </c>
      <c r="E124" t="str">
        <f>Table1[[#This Row],[Color Code]] &amp; " - " &amp;Table1[[#This Row],[Color Name]]</f>
        <v>3T2085 - YELLOW VEIL</v>
      </c>
    </row>
    <row r="125" spans="1:5" x14ac:dyDescent="0.35">
      <c r="A125" t="s">
        <v>658</v>
      </c>
      <c r="B125" t="s">
        <v>659</v>
      </c>
      <c r="C125" s="9" t="s">
        <v>1547</v>
      </c>
      <c r="D12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250.00199999200007</v>
      </c>
      <c r="E125" t="str">
        <f>Table1[[#This Row],[Color Code]] &amp; " - " &amp;Table1[[#This Row],[Color Name]]</f>
        <v>4P0266 - ESSENCE TEAL</v>
      </c>
    </row>
    <row r="126" spans="1:5" x14ac:dyDescent="0.35">
      <c r="A126" t="s">
        <v>254</v>
      </c>
      <c r="B126" t="s">
        <v>255</v>
      </c>
      <c r="C126" s="9" t="s">
        <v>1346</v>
      </c>
      <c r="D12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250.03999680051189</v>
      </c>
      <c r="E126" t="str">
        <f>Table1[[#This Row],[Color Code]] &amp; " - " &amp;Table1[[#This Row],[Color Name]]</f>
        <v>2P0046 - ALPINE TAN</v>
      </c>
    </row>
    <row r="127" spans="1:5" x14ac:dyDescent="0.35">
      <c r="A127" t="s">
        <v>408</v>
      </c>
      <c r="B127" t="s">
        <v>409</v>
      </c>
      <c r="C127" s="9" t="s">
        <v>1423</v>
      </c>
      <c r="D12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250.18992785481993</v>
      </c>
      <c r="E127" t="str">
        <f>Table1[[#This Row],[Color Code]] &amp; " - " &amp;Table1[[#This Row],[Color Name]]</f>
        <v>3P0245 - BASIC BEIGE</v>
      </c>
    </row>
    <row r="128" spans="1:5" x14ac:dyDescent="0.35">
      <c r="A128" t="s">
        <v>2212</v>
      </c>
      <c r="B128" t="s">
        <v>2211</v>
      </c>
      <c r="C128" s="9" t="s">
        <v>2213</v>
      </c>
      <c r="D12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250.40367409445093</v>
      </c>
      <c r="E128" t="str">
        <f>Table1[[#This Row],[Color Code]] &amp; " - " &amp;Table1[[#This Row],[Color Name]]</f>
        <v>8P1834 - MURANO MIST</v>
      </c>
    </row>
    <row r="129" spans="1:5" x14ac:dyDescent="0.35">
      <c r="A129" t="s">
        <v>969</v>
      </c>
      <c r="B129" t="s">
        <v>968</v>
      </c>
      <c r="C129" s="9" t="s">
        <v>1702</v>
      </c>
      <c r="D12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251.0258950785755</v>
      </c>
      <c r="E129" t="str">
        <f>Table1[[#This Row],[Color Code]] &amp; " - " &amp;Table1[[#This Row],[Color Name]]</f>
        <v>6P0160 - FRAGILE FLOWER</v>
      </c>
    </row>
    <row r="130" spans="1:5" x14ac:dyDescent="0.35">
      <c r="A130" t="s">
        <v>2188</v>
      </c>
      <c r="B130" t="s">
        <v>2187</v>
      </c>
      <c r="C130" s="9" t="s">
        <v>2189</v>
      </c>
      <c r="D13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251.24490044576029</v>
      </c>
      <c r="E130" t="str">
        <f>Table1[[#This Row],[Color Code]] &amp; " - " &amp;Table1[[#This Row],[Color Name]]</f>
        <v>8P1802 - INDUSTRIAL STEEL</v>
      </c>
    </row>
    <row r="131" spans="1:5" x14ac:dyDescent="0.35">
      <c r="A131" t="s">
        <v>2292</v>
      </c>
      <c r="B131" t="s">
        <v>2291</v>
      </c>
      <c r="C131" s="9" t="s">
        <v>2189</v>
      </c>
      <c r="D13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251.24490044576029</v>
      </c>
      <c r="E131" t="str">
        <f>Table1[[#This Row],[Color Code]] &amp; " - " &amp;Table1[[#This Row],[Color Name]]</f>
        <v>8P2608 - STEEL A GLANZE</v>
      </c>
    </row>
    <row r="132" spans="1:5" x14ac:dyDescent="0.35">
      <c r="A132" t="s">
        <v>2194</v>
      </c>
      <c r="B132" t="s">
        <v>2193</v>
      </c>
      <c r="C132" s="9" t="s">
        <v>2195</v>
      </c>
      <c r="D13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251.43388793080379</v>
      </c>
      <c r="E132" t="str">
        <f>Table1[[#This Row],[Color Code]] &amp; " - " &amp;Table1[[#This Row],[Color Name]]</f>
        <v>8P1810 - ICE PALACE</v>
      </c>
    </row>
    <row r="133" spans="1:5" x14ac:dyDescent="0.35">
      <c r="A133" t="s">
        <v>2167</v>
      </c>
      <c r="B133" t="s">
        <v>2166</v>
      </c>
      <c r="C133" s="9" t="s">
        <v>2168</v>
      </c>
      <c r="D13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251.46968008091949</v>
      </c>
      <c r="E133" t="str">
        <f>Table1[[#This Row],[Color Code]] &amp; " - " &amp;Table1[[#This Row],[Color Name]]</f>
        <v>8P1770 - FIRST FLIRT</v>
      </c>
    </row>
    <row r="134" spans="1:5" x14ac:dyDescent="0.35">
      <c r="A134" t="s">
        <v>2053</v>
      </c>
      <c r="B134" t="s">
        <v>2052</v>
      </c>
      <c r="C134" s="9" t="s">
        <v>2054</v>
      </c>
      <c r="D13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251.74193135034139</v>
      </c>
      <c r="E134" t="str">
        <f>Table1[[#This Row],[Color Code]] &amp; " - " &amp;Table1[[#This Row],[Color Name]]</f>
        <v>8P0200 - TRILLIUM</v>
      </c>
    </row>
    <row r="135" spans="1:5" x14ac:dyDescent="0.35">
      <c r="A135" t="s">
        <v>901</v>
      </c>
      <c r="B135" t="s">
        <v>900</v>
      </c>
      <c r="C135" s="9" t="s">
        <v>1668</v>
      </c>
      <c r="D13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251.82930726982514</v>
      </c>
      <c r="E135" t="str">
        <f>Table1[[#This Row],[Color Code]] &amp; " - " &amp;Table1[[#This Row],[Color Name]]</f>
        <v>5P0290 - BLUE SAGE</v>
      </c>
    </row>
    <row r="136" spans="1:5" x14ac:dyDescent="0.35">
      <c r="A136" t="s">
        <v>2071</v>
      </c>
      <c r="B136" t="s">
        <v>2070</v>
      </c>
      <c r="C136" s="9" t="s">
        <v>2072</v>
      </c>
      <c r="D13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252.05158202241066</v>
      </c>
      <c r="E136" t="str">
        <f>Table1[[#This Row],[Color Code]] &amp; " - " &amp;Table1[[#This Row],[Color Name]]</f>
        <v>8P0207 - SERENE SUMMIT</v>
      </c>
    </row>
    <row r="137" spans="1:5" x14ac:dyDescent="0.35">
      <c r="A137" t="s">
        <v>632</v>
      </c>
      <c r="B137" t="s">
        <v>633</v>
      </c>
      <c r="C137" s="9" t="s">
        <v>1534</v>
      </c>
      <c r="D13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252.10712008985388</v>
      </c>
      <c r="E137" t="str">
        <f>Table1[[#This Row],[Color Code]] &amp; " - " &amp;Table1[[#This Row],[Color Name]]</f>
        <v>4P0111 - PIXIE</v>
      </c>
    </row>
    <row r="138" spans="1:5" x14ac:dyDescent="0.35">
      <c r="A138" t="s">
        <v>897</v>
      </c>
      <c r="B138" t="s">
        <v>896</v>
      </c>
      <c r="C138" s="9" t="s">
        <v>1666</v>
      </c>
      <c r="D13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252.20626479134097</v>
      </c>
      <c r="E138" t="str">
        <f>Table1[[#This Row],[Color Code]] &amp; " - " &amp;Table1[[#This Row],[Color Name]]</f>
        <v>5P0286 - BOTANY BLUE</v>
      </c>
    </row>
    <row r="139" spans="1:5" x14ac:dyDescent="0.35">
      <c r="A139" t="s">
        <v>160</v>
      </c>
      <c r="B139" t="s">
        <v>161</v>
      </c>
      <c r="C139" s="9" t="s">
        <v>227</v>
      </c>
      <c r="D13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252.25978672788892</v>
      </c>
      <c r="E139" t="str">
        <f>Table1[[#This Row],[Color Code]] &amp; " - " &amp;Table1[[#This Row],[Color Name]]</f>
        <v>1P0546 - GENTLE HUSH</v>
      </c>
    </row>
    <row r="140" spans="1:5" x14ac:dyDescent="0.35">
      <c r="A140" t="s">
        <v>2268</v>
      </c>
      <c r="B140" t="s">
        <v>2267</v>
      </c>
      <c r="C140" s="9" t="s">
        <v>2269</v>
      </c>
      <c r="D14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252.39057034683367</v>
      </c>
      <c r="E140" t="str">
        <f>Table1[[#This Row],[Color Code]] &amp; " - " &amp;Table1[[#This Row],[Color Name]]</f>
        <v>8P2565 - LIGHT FOOTED</v>
      </c>
    </row>
    <row r="141" spans="1:5" x14ac:dyDescent="0.35">
      <c r="A141" t="s">
        <v>1207</v>
      </c>
      <c r="B141" t="s">
        <v>1206</v>
      </c>
      <c r="C141" s="9" t="s">
        <v>1821</v>
      </c>
      <c r="D14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252.40641830191245</v>
      </c>
      <c r="E141" t="str">
        <f>Table1[[#This Row],[Color Code]] &amp; " - " &amp;Table1[[#This Row],[Color Name]]</f>
        <v>7P0183 - BISCUIT BEIGE</v>
      </c>
    </row>
    <row r="142" spans="1:5" x14ac:dyDescent="0.35">
      <c r="A142" t="s">
        <v>543</v>
      </c>
      <c r="B142" t="s">
        <v>542</v>
      </c>
      <c r="C142" s="9" t="s">
        <v>1489</v>
      </c>
      <c r="D14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252.51138588190435</v>
      </c>
      <c r="E142" t="str">
        <f>Table1[[#This Row],[Color Code]] &amp; " - " &amp;Table1[[#This Row],[Color Name]]</f>
        <v>3T0852 - GRASSHOPPER WING</v>
      </c>
    </row>
    <row r="143" spans="1:5" x14ac:dyDescent="0.35">
      <c r="A143" t="s">
        <v>823</v>
      </c>
      <c r="B143" t="s">
        <v>822</v>
      </c>
      <c r="C143" s="9" t="s">
        <v>1629</v>
      </c>
      <c r="D14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252.55890402042846</v>
      </c>
      <c r="E143" t="str">
        <f>Table1[[#This Row],[Color Code]] &amp; " - " &amp;Table1[[#This Row],[Color Name]]</f>
        <v>4T0915 - GREEN VISION</v>
      </c>
    </row>
    <row r="144" spans="1:5" x14ac:dyDescent="0.35">
      <c r="A144" t="s">
        <v>2005</v>
      </c>
      <c r="B144" t="s">
        <v>2004</v>
      </c>
      <c r="C144" s="9" t="s">
        <v>2006</v>
      </c>
      <c r="D14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252.57474141330917</v>
      </c>
      <c r="E144" t="str">
        <f>Table1[[#This Row],[Color Code]] &amp; " - " &amp;Table1[[#This Row],[Color Name]]</f>
        <v>7P2478 - BAKER'S DAY</v>
      </c>
    </row>
    <row r="145" spans="1:5" x14ac:dyDescent="0.35">
      <c r="A145" t="s">
        <v>602</v>
      </c>
      <c r="B145" t="s">
        <v>603</v>
      </c>
      <c r="C145" s="9" t="s">
        <v>1519</v>
      </c>
      <c r="D14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252.69349022086027</v>
      </c>
      <c r="E145" t="str">
        <f>Table1[[#This Row],[Color Code]] &amp; " - " &amp;Table1[[#This Row],[Color Name]]</f>
        <v>4P0094 - ABSINTHE TOUCH</v>
      </c>
    </row>
    <row r="146" spans="1:5" x14ac:dyDescent="0.35">
      <c r="A146" t="s">
        <v>1183</v>
      </c>
      <c r="B146" t="s">
        <v>1182</v>
      </c>
      <c r="C146" s="9" t="s">
        <v>1809</v>
      </c>
      <c r="D14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252.7568001063473</v>
      </c>
      <c r="E146" t="str">
        <f>Table1[[#This Row],[Color Code]] &amp; " - " &amp;Table1[[#This Row],[Color Name]]</f>
        <v>6T1235 - SHY VIOLET</v>
      </c>
    </row>
    <row r="147" spans="1:5" x14ac:dyDescent="0.35">
      <c r="A147" t="s">
        <v>2206</v>
      </c>
      <c r="B147" t="s">
        <v>2205</v>
      </c>
      <c r="C147" s="9" t="s">
        <v>2207</v>
      </c>
      <c r="D14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252.78251521812183</v>
      </c>
      <c r="E147" t="str">
        <f>Table1[[#This Row],[Color Code]] &amp; " - " &amp;Table1[[#This Row],[Color Name]]</f>
        <v>8P1826 - CRYSTAL RIVER</v>
      </c>
    </row>
    <row r="148" spans="1:5" x14ac:dyDescent="0.35">
      <c r="A148" t="s">
        <v>2262</v>
      </c>
      <c r="B148" t="s">
        <v>2261</v>
      </c>
      <c r="C148" s="9" t="s">
        <v>2263</v>
      </c>
      <c r="D14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252.98616562966441</v>
      </c>
      <c r="E148" t="str">
        <f>Table1[[#This Row],[Color Code]] &amp; " - " &amp;Table1[[#This Row],[Color Name]]</f>
        <v>8P2557 - VICTORIAN VEIL</v>
      </c>
    </row>
    <row r="149" spans="1:5" x14ac:dyDescent="0.35">
      <c r="A149" t="s">
        <v>893</v>
      </c>
      <c r="B149" t="s">
        <v>892</v>
      </c>
      <c r="C149" s="9" t="s">
        <v>1664</v>
      </c>
      <c r="D14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253.2153233909828</v>
      </c>
      <c r="E149" t="str">
        <f>Table1[[#This Row],[Color Code]] &amp; " - " &amp;Table1[[#This Row],[Color Name]]</f>
        <v>5P0281 - BLUE MIST</v>
      </c>
    </row>
    <row r="150" spans="1:5" x14ac:dyDescent="0.35">
      <c r="A150" t="s">
        <v>372</v>
      </c>
      <c r="B150" t="s">
        <v>373</v>
      </c>
      <c r="C150" s="9" t="s">
        <v>1405</v>
      </c>
      <c r="D15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253.3692956930654</v>
      </c>
      <c r="E150" s="10" t="str">
        <f>Table1[[#This Row],[Color Code]] &amp; " - " &amp;Table1[[#This Row],[Color Name]]</f>
        <v>3P0063 - TRAVERTINE</v>
      </c>
    </row>
    <row r="151" spans="1:5" x14ac:dyDescent="0.35">
      <c r="A151" t="s">
        <v>569</v>
      </c>
      <c r="B151" t="s">
        <v>568</v>
      </c>
      <c r="C151" s="9" t="s">
        <v>1502</v>
      </c>
      <c r="D15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253.47583711273151</v>
      </c>
      <c r="E151" t="str">
        <f>Table1[[#This Row],[Color Code]] &amp; " - " &amp;Table1[[#This Row],[Color Name]]</f>
        <v>3T2090 - PINEAPPLE SHAKE</v>
      </c>
    </row>
    <row r="152" spans="1:5" x14ac:dyDescent="0.35">
      <c r="A152" t="s">
        <v>1193</v>
      </c>
      <c r="B152" t="s">
        <v>1192</v>
      </c>
      <c r="C152" s="9" t="s">
        <v>1814</v>
      </c>
      <c r="D15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253.76563991210472</v>
      </c>
      <c r="E152" t="str">
        <f>Table1[[#This Row],[Color Code]] &amp; " - " &amp;Table1[[#This Row],[Color Name]]</f>
        <v>6T1251 - MINIATURE IRIS</v>
      </c>
    </row>
    <row r="153" spans="1:5" x14ac:dyDescent="0.35">
      <c r="A153" t="s">
        <v>1273</v>
      </c>
      <c r="B153" t="s">
        <v>1272</v>
      </c>
      <c r="C153" s="9" t="s">
        <v>1854</v>
      </c>
      <c r="D15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254.17710361084846</v>
      </c>
      <c r="E153" t="str">
        <f>Table1[[#This Row],[Color Code]] &amp; " - " &amp;Table1[[#This Row],[Color Name]]</f>
        <v>7P1522 - KISS OF SPRING</v>
      </c>
    </row>
    <row r="154" spans="1:5" x14ac:dyDescent="0.35">
      <c r="A154" t="s">
        <v>841</v>
      </c>
      <c r="B154" t="s">
        <v>840</v>
      </c>
      <c r="C154" s="9" t="s">
        <v>1638</v>
      </c>
      <c r="D15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254.32852769597042</v>
      </c>
      <c r="E154" t="str">
        <f>Table1[[#This Row],[Color Code]] &amp; " - " &amp;Table1[[#This Row],[Color Name]]</f>
        <v>5P0126 - TOUCH OF BERMUDA</v>
      </c>
    </row>
    <row r="155" spans="1:5" x14ac:dyDescent="0.35">
      <c r="A155" t="s">
        <v>2244</v>
      </c>
      <c r="B155" t="s">
        <v>2243</v>
      </c>
      <c r="C155" s="9" t="s">
        <v>2245</v>
      </c>
      <c r="D15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254.73319375377838</v>
      </c>
      <c r="E155" t="str">
        <f>Table1[[#This Row],[Color Code]] &amp; " - " &amp;Table1[[#This Row],[Color Name]]</f>
        <v>8P2537 - CLOUDY TAUPE</v>
      </c>
    </row>
    <row r="156" spans="1:5" x14ac:dyDescent="0.35">
      <c r="A156" t="s">
        <v>660</v>
      </c>
      <c r="B156" t="s">
        <v>661</v>
      </c>
      <c r="C156" s="9" t="s">
        <v>1548</v>
      </c>
      <c r="D15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254.7508586835381</v>
      </c>
      <c r="E156" t="str">
        <f>Table1[[#This Row],[Color Code]] &amp; " - " &amp;Table1[[#This Row],[Color Name]]</f>
        <v>4P0269 - SPRINKLE OF GREEN</v>
      </c>
    </row>
    <row r="157" spans="1:5" x14ac:dyDescent="0.35">
      <c r="A157" t="s">
        <v>1886</v>
      </c>
      <c r="B157" t="s">
        <v>1885</v>
      </c>
      <c r="C157" s="9" t="s">
        <v>1887</v>
      </c>
      <c r="D15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254.75870937025883</v>
      </c>
      <c r="E157" t="str">
        <f>Table1[[#This Row],[Color Code]] &amp; " - " &amp;Table1[[#This Row],[Color Name]]</f>
        <v>7P1666 - ROSY LIPS</v>
      </c>
    </row>
    <row r="158" spans="1:5" x14ac:dyDescent="0.35">
      <c r="A158" t="s">
        <v>2068</v>
      </c>
      <c r="B158" t="s">
        <v>2067</v>
      </c>
      <c r="C158" s="9" t="s">
        <v>2069</v>
      </c>
      <c r="D15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254.89801882321487</v>
      </c>
      <c r="E158" t="str">
        <f>Table1[[#This Row],[Color Code]] &amp; " - " &amp;Table1[[#This Row],[Color Name]]</f>
        <v>8P0206 - DUSTY GRAY</v>
      </c>
    </row>
    <row r="159" spans="1:5" x14ac:dyDescent="0.35">
      <c r="A159" t="s">
        <v>508</v>
      </c>
      <c r="B159" t="s">
        <v>509</v>
      </c>
      <c r="C159" s="9" t="s">
        <v>1472</v>
      </c>
      <c r="D15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255.3801088573658</v>
      </c>
      <c r="E159" t="str">
        <f>Table1[[#This Row],[Color Code]] &amp; " - " &amp;Table1[[#This Row],[Color Name]]</f>
        <v>3T0740 - HAY BALE</v>
      </c>
    </row>
    <row r="160" spans="1:5" x14ac:dyDescent="0.35">
      <c r="A160" t="s">
        <v>2283</v>
      </c>
      <c r="B160" t="s">
        <v>2282</v>
      </c>
      <c r="C160" s="9" t="s">
        <v>2284</v>
      </c>
      <c r="D16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255.39381355075929</v>
      </c>
      <c r="E160" t="str">
        <f>Table1[[#This Row],[Color Code]] &amp; " - " &amp;Table1[[#This Row],[Color Name]]</f>
        <v>8P2590 - COMPASS ROSE</v>
      </c>
    </row>
    <row r="161" spans="1:5" x14ac:dyDescent="0.35">
      <c r="A161" t="s">
        <v>2059</v>
      </c>
      <c r="B161" t="s">
        <v>2058</v>
      </c>
      <c r="C161" s="9" t="s">
        <v>2060</v>
      </c>
      <c r="D16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255.83002169409281</v>
      </c>
      <c r="E161" t="str">
        <f>Table1[[#This Row],[Color Code]] &amp; " - " &amp;Table1[[#This Row],[Color Name]]</f>
        <v>8P0203 - TIARA</v>
      </c>
    </row>
    <row r="162" spans="1:5" x14ac:dyDescent="0.35">
      <c r="A162" t="s">
        <v>2116</v>
      </c>
      <c r="B162" t="s">
        <v>2115</v>
      </c>
      <c r="C162" s="9" t="s">
        <v>2117</v>
      </c>
      <c r="D16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255.90818666076316</v>
      </c>
      <c r="E162" t="str">
        <f>Table1[[#This Row],[Color Code]] &amp; " - " &amp;Table1[[#This Row],[Color Name]]</f>
        <v>8P1698 - SIERRA SNOW</v>
      </c>
    </row>
    <row r="163" spans="1:5" x14ac:dyDescent="0.35">
      <c r="A163" t="s">
        <v>853</v>
      </c>
      <c r="B163" t="s">
        <v>852</v>
      </c>
      <c r="C163" s="9" t="s">
        <v>1644</v>
      </c>
      <c r="D16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255.98632775990205</v>
      </c>
      <c r="E163" t="str">
        <f>Table1[[#This Row],[Color Code]] &amp; " - " &amp;Table1[[#This Row],[Color Name]]</f>
        <v>5P0132 - TEAL FOG</v>
      </c>
    </row>
    <row r="164" spans="1:5" x14ac:dyDescent="0.35">
      <c r="A164" t="s">
        <v>112</v>
      </c>
      <c r="B164" t="s">
        <v>113</v>
      </c>
      <c r="C164" s="9" t="s">
        <v>203</v>
      </c>
      <c r="D16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256.11911291428447</v>
      </c>
      <c r="E164" t="str">
        <f>Table1[[#This Row],[Color Code]] &amp; " - " &amp;Table1[[#This Row],[Color Name]]</f>
        <v>1P0317 - RISING PINK</v>
      </c>
    </row>
    <row r="165" spans="1:5" x14ac:dyDescent="0.35">
      <c r="A165" t="s">
        <v>2200</v>
      </c>
      <c r="B165" t="s">
        <v>2199</v>
      </c>
      <c r="C165" s="9" t="s">
        <v>2201</v>
      </c>
      <c r="D16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256.21475367355407</v>
      </c>
      <c r="E165" t="str">
        <f>Table1[[#This Row],[Color Code]] &amp; " - " &amp;Table1[[#This Row],[Color Name]]</f>
        <v>8P1818 - BRIGHT BROOK</v>
      </c>
    </row>
    <row r="166" spans="1:5" x14ac:dyDescent="0.35">
      <c r="A166" t="s">
        <v>2378</v>
      </c>
      <c r="B166" t="s">
        <v>2377</v>
      </c>
      <c r="C166" s="9" t="s">
        <v>2379</v>
      </c>
      <c r="D16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256.54629211898583</v>
      </c>
      <c r="E166" t="str">
        <f>Table1[[#This Row],[Color Code]] &amp; " - " &amp;Table1[[#This Row],[Color Name]]</f>
        <v>8P2744 - SAND IN MY EYE</v>
      </c>
    </row>
    <row r="167" spans="1:5" x14ac:dyDescent="0.35">
      <c r="A167" t="s">
        <v>1175</v>
      </c>
      <c r="B167" t="s">
        <v>1174</v>
      </c>
      <c r="C167" s="9" t="s">
        <v>1805</v>
      </c>
      <c r="D16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256.54629211898583</v>
      </c>
      <c r="E167" t="str">
        <f>Table1[[#This Row],[Color Code]] &amp; " - " &amp;Table1[[#This Row],[Color Name]]</f>
        <v>6T1219 - PURPLE SKY</v>
      </c>
    </row>
    <row r="168" spans="1:5" x14ac:dyDescent="0.35">
      <c r="A168" t="s">
        <v>704</v>
      </c>
      <c r="B168" t="s">
        <v>705</v>
      </c>
      <c r="C168" s="9" t="s">
        <v>1570</v>
      </c>
      <c r="D16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256.63982543634961</v>
      </c>
      <c r="E168" t="str">
        <f>Table1[[#This Row],[Color Code]] &amp; " - " &amp;Table1[[#This Row],[Color Name]]</f>
        <v>4P1018 - WATER'S EDGE</v>
      </c>
    </row>
    <row r="169" spans="1:5" x14ac:dyDescent="0.35">
      <c r="A169" t="s">
        <v>2250</v>
      </c>
      <c r="B169" t="s">
        <v>2249</v>
      </c>
      <c r="C169" s="9" t="s">
        <v>2251</v>
      </c>
      <c r="D16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257.1011474108974</v>
      </c>
      <c r="E169" t="str">
        <f>Table1[[#This Row],[Color Code]] &amp; " - " &amp;Table1[[#This Row],[Color Name]]</f>
        <v>8P2543 - FARAWAY</v>
      </c>
    </row>
    <row r="170" spans="1:5" x14ac:dyDescent="0.35">
      <c r="A170" t="s">
        <v>817</v>
      </c>
      <c r="B170" t="s">
        <v>816</v>
      </c>
      <c r="C170" s="9" t="s">
        <v>1626</v>
      </c>
      <c r="D17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257.18864671676312</v>
      </c>
      <c r="E170" t="str">
        <f>Table1[[#This Row],[Color Code]] &amp; " - " &amp;Table1[[#This Row],[Color Name]]</f>
        <v>4T0907 - PEACE GARDEN</v>
      </c>
    </row>
    <row r="171" spans="1:5" x14ac:dyDescent="0.35">
      <c r="A171" t="s">
        <v>2011</v>
      </c>
      <c r="B171" t="s">
        <v>2010</v>
      </c>
      <c r="C171" s="9" t="s">
        <v>2012</v>
      </c>
      <c r="D17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257.23141332271223</v>
      </c>
      <c r="E171" t="str">
        <f>Table1[[#This Row],[Color Code]] &amp; " - " &amp;Table1[[#This Row],[Color Name]]</f>
        <v>7P2485 - WITH THE WIND</v>
      </c>
    </row>
    <row r="172" spans="1:5" x14ac:dyDescent="0.35">
      <c r="A172" t="s">
        <v>2002</v>
      </c>
      <c r="B172" t="s">
        <v>2001</v>
      </c>
      <c r="C172" s="9" t="s">
        <v>2003</v>
      </c>
      <c r="D17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257.31498207449948</v>
      </c>
      <c r="E172" t="str">
        <f>Table1[[#This Row],[Color Code]] &amp; " - " &amp;Table1[[#This Row],[Color Name]]</f>
        <v>7P2472 - ANTIQUE SCROLL</v>
      </c>
    </row>
    <row r="173" spans="1:5" x14ac:dyDescent="0.35">
      <c r="A173" t="s">
        <v>2339</v>
      </c>
      <c r="B173" t="s">
        <v>2338</v>
      </c>
      <c r="C173" s="9" t="s">
        <v>2340</v>
      </c>
      <c r="D17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257.68973592287296</v>
      </c>
      <c r="E173" t="str">
        <f>Table1[[#This Row],[Color Code]] &amp; " - " &amp;Table1[[#This Row],[Color Name]]</f>
        <v>8P2688 - SILVER FRAME</v>
      </c>
    </row>
    <row r="174" spans="1:5" x14ac:dyDescent="0.35">
      <c r="A174" t="s">
        <v>2029</v>
      </c>
      <c r="B174" t="s">
        <v>2028</v>
      </c>
      <c r="C174" s="9" t="s">
        <v>2030</v>
      </c>
      <c r="D17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257.75569828812706</v>
      </c>
      <c r="E174" t="str">
        <f>Table1[[#This Row],[Color Code]] &amp; " - " &amp;Table1[[#This Row],[Color Name]]</f>
        <v>7P2507 - AUTUMN WALK</v>
      </c>
    </row>
    <row r="175" spans="1:5" x14ac:dyDescent="0.35">
      <c r="A175" t="s">
        <v>100</v>
      </c>
      <c r="B175" t="s">
        <v>101</v>
      </c>
      <c r="C175" s="9" t="s">
        <v>197</v>
      </c>
      <c r="D17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257.77121639159014</v>
      </c>
      <c r="E175" t="str">
        <f>Table1[[#This Row],[Color Code]] &amp; " - " &amp;Table1[[#This Row],[Color Name]]</f>
        <v>1P0031 - LIGHTHEADED</v>
      </c>
    </row>
    <row r="176" spans="1:5" x14ac:dyDescent="0.35">
      <c r="A176" t="s">
        <v>2089</v>
      </c>
      <c r="B176" t="s">
        <v>2088</v>
      </c>
      <c r="C176" s="9" t="s">
        <v>2090</v>
      </c>
      <c r="D17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257.86236638951408</v>
      </c>
      <c r="E176" t="str">
        <f>Table1[[#This Row],[Color Code]] &amp; " - " &amp;Table1[[#This Row],[Color Name]]</f>
        <v>8P0213 - ECHO</v>
      </c>
    </row>
    <row r="177" spans="1:5" x14ac:dyDescent="0.35">
      <c r="A177" t="s">
        <v>96</v>
      </c>
      <c r="B177" t="s">
        <v>97</v>
      </c>
      <c r="C177" s="9" t="s">
        <v>195</v>
      </c>
      <c r="D17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258.04844506410029</v>
      </c>
      <c r="E177" t="str">
        <f>Table1[[#This Row],[Color Code]] &amp; " - " &amp;Table1[[#This Row],[Color Name]]</f>
        <v>1P0029 - PALACE LIGHTS</v>
      </c>
    </row>
    <row r="178" spans="1:5" x14ac:dyDescent="0.35">
      <c r="A178" t="s">
        <v>815</v>
      </c>
      <c r="B178" t="s">
        <v>814</v>
      </c>
      <c r="C178" s="9" t="s">
        <v>1625</v>
      </c>
      <c r="D17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258.10462994684929</v>
      </c>
      <c r="E178" t="str">
        <f>Table1[[#This Row],[Color Code]] &amp; " - " &amp;Table1[[#This Row],[Color Name]]</f>
        <v>4T0899 - CHELSEA GARDEN</v>
      </c>
    </row>
    <row r="179" spans="1:5" x14ac:dyDescent="0.35">
      <c r="A179" t="s">
        <v>644</v>
      </c>
      <c r="B179" t="s">
        <v>645</v>
      </c>
      <c r="C179" s="9" t="s">
        <v>1540</v>
      </c>
      <c r="D17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258.17435968740193</v>
      </c>
      <c r="E179" t="str">
        <f>Table1[[#This Row],[Color Code]] &amp; " - " &amp;Table1[[#This Row],[Color Name]]</f>
        <v>4P0117 - AQUATONE</v>
      </c>
    </row>
    <row r="180" spans="1:5" x14ac:dyDescent="0.35">
      <c r="A180" t="s">
        <v>618</v>
      </c>
      <c r="B180" t="s">
        <v>619</v>
      </c>
      <c r="C180" s="9" t="s">
        <v>1527</v>
      </c>
      <c r="D18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258.34086010540415</v>
      </c>
      <c r="E180" t="str">
        <f>Table1[[#This Row],[Color Code]] &amp; " - " &amp;Table1[[#This Row],[Color Name]]</f>
        <v>4P0102 - GLACIER WALL</v>
      </c>
    </row>
    <row r="181" spans="1:5" x14ac:dyDescent="0.35">
      <c r="A181" t="s">
        <v>891</v>
      </c>
      <c r="B181" t="s">
        <v>890</v>
      </c>
      <c r="C181" s="9" t="s">
        <v>1663</v>
      </c>
      <c r="D18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258.42213527482511</v>
      </c>
      <c r="E181" t="str">
        <f>Table1[[#This Row],[Color Code]] &amp; " - " &amp;Table1[[#This Row],[Color Name]]</f>
        <v>5P0152 - ARUBA MIST</v>
      </c>
    </row>
    <row r="182" spans="1:5" x14ac:dyDescent="0.35">
      <c r="A182" t="s">
        <v>2179</v>
      </c>
      <c r="B182" t="s">
        <v>2178</v>
      </c>
      <c r="C182" s="9" t="s">
        <v>2180</v>
      </c>
      <c r="D18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258.43374392675582</v>
      </c>
      <c r="E182" t="str">
        <f>Table1[[#This Row],[Color Code]] &amp; " - " &amp;Table1[[#This Row],[Color Name]]</f>
        <v>8P1786 - LILAC BREEZE</v>
      </c>
    </row>
    <row r="183" spans="1:5" x14ac:dyDescent="0.35">
      <c r="A183" t="s">
        <v>82</v>
      </c>
      <c r="B183" t="s">
        <v>83</v>
      </c>
      <c r="C183" s="9" t="s">
        <v>188</v>
      </c>
      <c r="D18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258.43567865138124</v>
      </c>
      <c r="E183" t="str">
        <f>Table1[[#This Row],[Color Code]] &amp; " - " &amp;Table1[[#This Row],[Color Name]]</f>
        <v>1P0021 - PALE CAMEO</v>
      </c>
    </row>
    <row r="184" spans="1:5" x14ac:dyDescent="0.35">
      <c r="A184" t="s">
        <v>164</v>
      </c>
      <c r="B184" t="s">
        <v>165</v>
      </c>
      <c r="C184" s="9" t="s">
        <v>229</v>
      </c>
      <c r="D18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258.57494078119788</v>
      </c>
      <c r="E184" t="str">
        <f>Table1[[#This Row],[Color Code]] &amp; " - " &amp;Table1[[#This Row],[Color Name]]</f>
        <v>1P0554 - HUSH BLUSH</v>
      </c>
    </row>
    <row r="185" spans="1:5" x14ac:dyDescent="0.35">
      <c r="A185" t="s">
        <v>2173</v>
      </c>
      <c r="B185" t="s">
        <v>2172</v>
      </c>
      <c r="C185" s="9" t="s">
        <v>2174</v>
      </c>
      <c r="D18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258.64841000864476</v>
      </c>
      <c r="E185" t="str">
        <f>Table1[[#This Row],[Color Code]] &amp; " - " &amp;Table1[[#This Row],[Color Name]]</f>
        <v>8P1778 - BEGUILING BLOSSOM</v>
      </c>
    </row>
    <row r="186" spans="1:5" x14ac:dyDescent="0.35">
      <c r="A186" t="s">
        <v>911</v>
      </c>
      <c r="B186" t="s">
        <v>910</v>
      </c>
      <c r="C186" s="9" t="s">
        <v>1673</v>
      </c>
      <c r="D18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258.71412794820463</v>
      </c>
      <c r="E186" t="str">
        <f>Table1[[#This Row],[Color Code]] &amp; " - " &amp;Table1[[#This Row],[Color Name]]</f>
        <v>5P1042 - DRIFT AWAY</v>
      </c>
    </row>
    <row r="187" spans="1:5" x14ac:dyDescent="0.35">
      <c r="A187" t="s">
        <v>555</v>
      </c>
      <c r="B187" t="s">
        <v>554</v>
      </c>
      <c r="C187" s="9" t="s">
        <v>1495</v>
      </c>
      <c r="D18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258.76630383417387</v>
      </c>
      <c r="E187" t="str">
        <f>Table1[[#This Row],[Color Code]] &amp; " - " &amp;Table1[[#This Row],[Color Name]]</f>
        <v>3T2070 - MAGNOLIA PETAL</v>
      </c>
    </row>
    <row r="188" spans="1:5" x14ac:dyDescent="0.35">
      <c r="A188" t="s">
        <v>2348</v>
      </c>
      <c r="B188" t="s">
        <v>2347</v>
      </c>
      <c r="C188" s="9" t="s">
        <v>2349</v>
      </c>
      <c r="D18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258.78562556679998</v>
      </c>
      <c r="E188" t="str">
        <f>Table1[[#This Row],[Color Code]] &amp; " - " &amp;Table1[[#This Row],[Color Name]]</f>
        <v>8P2706 - JET STREAM</v>
      </c>
    </row>
    <row r="189" spans="1:5" x14ac:dyDescent="0.35">
      <c r="A189" t="s">
        <v>530</v>
      </c>
      <c r="B189" t="s">
        <v>531</v>
      </c>
      <c r="C189" s="9" t="s">
        <v>1483</v>
      </c>
      <c r="D18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258.8667610953558</v>
      </c>
      <c r="E189" t="str">
        <f>Table1[[#This Row],[Color Code]] &amp; " - " &amp;Table1[[#This Row],[Color Name]]</f>
        <v>3T0820 - YELLOW ROSE</v>
      </c>
    </row>
    <row r="190" spans="1:5" x14ac:dyDescent="0.35">
      <c r="A190" t="s">
        <v>236</v>
      </c>
      <c r="B190" t="s">
        <v>237</v>
      </c>
      <c r="C190" s="9" t="s">
        <v>1337</v>
      </c>
      <c r="D19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258.94594030414919</v>
      </c>
      <c r="E190" t="str">
        <f>Table1[[#This Row],[Color Code]] &amp; " - " &amp;Table1[[#This Row],[Color Name]]</f>
        <v>2P0035 - APRICOT DATES</v>
      </c>
    </row>
    <row r="191" spans="1:5" x14ac:dyDescent="0.35">
      <c r="A191" t="s">
        <v>696</v>
      </c>
      <c r="B191" t="s">
        <v>697</v>
      </c>
      <c r="C191" s="9" t="s">
        <v>1566</v>
      </c>
      <c r="D19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258.97104085206132</v>
      </c>
      <c r="E191" t="str">
        <f>Table1[[#This Row],[Color Code]] &amp; " - " &amp;Table1[[#This Row],[Color Name]]</f>
        <v>4P1002 - SWIM TEAM</v>
      </c>
    </row>
    <row r="192" spans="1:5" x14ac:dyDescent="0.35">
      <c r="A192" t="s">
        <v>2300</v>
      </c>
      <c r="B192" t="s">
        <v>2299</v>
      </c>
      <c r="C192" s="9" t="s">
        <v>2301</v>
      </c>
      <c r="D19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259.28555686732727</v>
      </c>
      <c r="E192" t="str">
        <f>Table1[[#This Row],[Color Code]] &amp; " - " &amp;Table1[[#This Row],[Color Name]]</f>
        <v>8P2627 - GLOBE TROTTER</v>
      </c>
    </row>
    <row r="193" spans="1:5" x14ac:dyDescent="0.35">
      <c r="A193" t="s">
        <v>1245</v>
      </c>
      <c r="B193" t="s">
        <v>1244</v>
      </c>
      <c r="C193" s="9" t="s">
        <v>1840</v>
      </c>
      <c r="D19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259.37810239108467</v>
      </c>
      <c r="E193" t="str">
        <f>Table1[[#This Row],[Color Code]] &amp; " - " &amp;Table1[[#This Row],[Color Name]]</f>
        <v>7P1466 - GREEN PEACE</v>
      </c>
    </row>
    <row r="194" spans="1:5" x14ac:dyDescent="0.35">
      <c r="A194" t="s">
        <v>2104</v>
      </c>
      <c r="B194" t="s">
        <v>2103</v>
      </c>
      <c r="C194" s="9" t="s">
        <v>2105</v>
      </c>
      <c r="D19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259.42050805593607</v>
      </c>
      <c r="E194" t="str">
        <f>Table1[[#This Row],[Color Code]] &amp; " - " &amp;Table1[[#This Row],[Color Name]]</f>
        <v>8P0349 - GRAY FELT</v>
      </c>
    </row>
    <row r="195" spans="1:5" x14ac:dyDescent="0.35">
      <c r="A195" t="s">
        <v>2161</v>
      </c>
      <c r="B195" t="s">
        <v>2160</v>
      </c>
      <c r="C195" s="9" t="s">
        <v>2162</v>
      </c>
      <c r="D19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259.45519844474114</v>
      </c>
      <c r="E195" t="str">
        <f>Table1[[#This Row],[Color Code]] &amp; " - " &amp;Table1[[#This Row],[Color Name]]</f>
        <v>8P1762 - SHEER STYLE</v>
      </c>
    </row>
    <row r="196" spans="1:5" x14ac:dyDescent="0.35">
      <c r="A196" t="s">
        <v>762</v>
      </c>
      <c r="B196" t="s">
        <v>763</v>
      </c>
      <c r="C196" s="9" t="s">
        <v>1599</v>
      </c>
      <c r="D19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259.5168587972658</v>
      </c>
      <c r="E196" t="str">
        <f>Table1[[#This Row],[Color Code]] &amp; " - " &amp;Table1[[#This Row],[Color Name]]</f>
        <v>4P2146 - NAIVE GREEN</v>
      </c>
    </row>
    <row r="197" spans="1:5" x14ac:dyDescent="0.35">
      <c r="A197" t="s">
        <v>1239</v>
      </c>
      <c r="B197" t="s">
        <v>1238</v>
      </c>
      <c r="C197" s="9" t="s">
        <v>1837</v>
      </c>
      <c r="D19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259.62280331280607</v>
      </c>
      <c r="E197" t="str">
        <f>Table1[[#This Row],[Color Code]] &amp; " - " &amp;Table1[[#This Row],[Color Name]]</f>
        <v>7P1450 - EMERALD CITY</v>
      </c>
    </row>
    <row r="198" spans="1:5" x14ac:dyDescent="0.35">
      <c r="A198" t="s">
        <v>2110</v>
      </c>
      <c r="B198" t="s">
        <v>2109</v>
      </c>
      <c r="C198" s="9" t="s">
        <v>2111</v>
      </c>
      <c r="D19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259.65554105391243</v>
      </c>
      <c r="E198" t="str">
        <f>Table1[[#This Row],[Color Code]] &amp; " - " &amp;Table1[[#This Row],[Color Name]]</f>
        <v>8P1690 - FIRST THAW</v>
      </c>
    </row>
    <row r="199" spans="1:5" x14ac:dyDescent="0.35">
      <c r="A199" t="s">
        <v>1930</v>
      </c>
      <c r="B199" t="s">
        <v>1929</v>
      </c>
      <c r="C199" s="9" t="s">
        <v>1931</v>
      </c>
      <c r="D19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259.81147010861548</v>
      </c>
      <c r="E199" t="str">
        <f>Table1[[#This Row],[Color Code]] &amp; " - " &amp;Table1[[#This Row],[Color Name]]</f>
        <v>7P1951 - PALE SATIN</v>
      </c>
    </row>
    <row r="200" spans="1:5" x14ac:dyDescent="0.35">
      <c r="A200" t="s">
        <v>2384</v>
      </c>
      <c r="B200" t="s">
        <v>2383</v>
      </c>
      <c r="C200" s="9" t="s">
        <v>2385</v>
      </c>
      <c r="D20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259.95768886493818</v>
      </c>
      <c r="E200" t="str">
        <f>Table1[[#This Row],[Color Code]] &amp; " - " &amp;Table1[[#This Row],[Color Name]]</f>
        <v>8P2750 - FROSTED WHITE</v>
      </c>
    </row>
    <row r="201" spans="1:5" x14ac:dyDescent="0.35">
      <c r="A201" t="s">
        <v>1969</v>
      </c>
      <c r="B201" t="s">
        <v>1968</v>
      </c>
      <c r="C201" s="9" t="s">
        <v>1970</v>
      </c>
      <c r="D20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259.99615381770553</v>
      </c>
      <c r="E201" t="str">
        <f>Table1[[#This Row],[Color Code]] &amp; " - " &amp;Table1[[#This Row],[Color Name]]</f>
        <v>7P2413 - FROTHY CREAM</v>
      </c>
    </row>
    <row r="202" spans="1:5" x14ac:dyDescent="0.35">
      <c r="A202" t="s">
        <v>672</v>
      </c>
      <c r="B202" t="s">
        <v>673</v>
      </c>
      <c r="C202" s="9" t="s">
        <v>1554</v>
      </c>
      <c r="D20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260.21145247663486</v>
      </c>
      <c r="E202" t="str">
        <f>Table1[[#This Row],[Color Code]] &amp; " - " &amp;Table1[[#This Row],[Color Name]]</f>
        <v>4P0930 - FLASH OF EMERALD</v>
      </c>
    </row>
    <row r="203" spans="1:5" x14ac:dyDescent="0.35">
      <c r="A203" t="s">
        <v>350</v>
      </c>
      <c r="B203" t="s">
        <v>351</v>
      </c>
      <c r="C203" s="9" t="s">
        <v>1394</v>
      </c>
      <c r="D20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260.30943125442076</v>
      </c>
      <c r="E203" t="str">
        <f>Table1[[#This Row],[Color Code]] &amp; " - " &amp;Table1[[#This Row],[Color Name]]</f>
        <v>2T0587 - SAND HILLS</v>
      </c>
    </row>
    <row r="204" spans="1:5" x14ac:dyDescent="0.35">
      <c r="A204" t="s">
        <v>652</v>
      </c>
      <c r="B204" t="s">
        <v>653</v>
      </c>
      <c r="C204" s="9" t="s">
        <v>1544</v>
      </c>
      <c r="D20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260.31903503201607</v>
      </c>
      <c r="E204" t="str">
        <f>Table1[[#This Row],[Color Code]] &amp; " - " &amp;Table1[[#This Row],[Color Name]]</f>
        <v>4P0261 - DREAMY GREEN</v>
      </c>
    </row>
    <row r="205" spans="1:5" x14ac:dyDescent="0.35">
      <c r="A205" t="s">
        <v>1215</v>
      </c>
      <c r="B205" t="s">
        <v>1214</v>
      </c>
      <c r="C205" s="9" t="s">
        <v>1825</v>
      </c>
      <c r="D20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260.38625155718188</v>
      </c>
      <c r="E205" t="str">
        <f>Table1[[#This Row],[Color Code]] &amp; " - " &amp;Table1[[#This Row],[Color Name]]</f>
        <v>7P0188 - PALACE WALLS</v>
      </c>
    </row>
    <row r="206" spans="1:5" x14ac:dyDescent="0.35">
      <c r="A206" t="s">
        <v>1257</v>
      </c>
      <c r="B206" t="s">
        <v>1256</v>
      </c>
      <c r="C206" s="9" t="s">
        <v>1846</v>
      </c>
      <c r="D20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260.38817177437227</v>
      </c>
      <c r="E206" t="str">
        <f>Table1[[#This Row],[Color Code]] &amp; " - " &amp;Table1[[#This Row],[Color Name]]</f>
        <v>7P1490 - ESMERALDA EVENING</v>
      </c>
    </row>
    <row r="207" spans="1:5" x14ac:dyDescent="0.35">
      <c r="A207" t="s">
        <v>2146</v>
      </c>
      <c r="B207" t="s">
        <v>2145</v>
      </c>
      <c r="C207" s="9" t="s">
        <v>2147</v>
      </c>
      <c r="D20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260.50143953536991</v>
      </c>
      <c r="E207" t="str">
        <f>Table1[[#This Row],[Color Code]] &amp; " - " &amp;Table1[[#This Row],[Color Name]]</f>
        <v>8P1745 - MEDINA</v>
      </c>
    </row>
    <row r="208" spans="1:5" x14ac:dyDescent="0.35">
      <c r="A208" t="s">
        <v>150</v>
      </c>
      <c r="B208" t="s">
        <v>151</v>
      </c>
      <c r="C208" s="9" t="s">
        <v>222</v>
      </c>
      <c r="D20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260.68179836728149</v>
      </c>
      <c r="E208" t="str">
        <f>Table1[[#This Row],[Color Code]] &amp; " - " &amp;Table1[[#This Row],[Color Name]]</f>
        <v>1P0506 - SWEET TREAT</v>
      </c>
    </row>
    <row r="209" spans="1:5" x14ac:dyDescent="0.35">
      <c r="A209" t="s">
        <v>2017</v>
      </c>
      <c r="B209" t="s">
        <v>2016</v>
      </c>
      <c r="C209" s="9" t="s">
        <v>2018</v>
      </c>
      <c r="D20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261.0651259743438</v>
      </c>
      <c r="E209" t="str">
        <f>Table1[[#This Row],[Color Code]] &amp; " - " &amp;Table1[[#This Row],[Color Name]]</f>
        <v>7P2492 - SPICED DISH</v>
      </c>
    </row>
    <row r="210" spans="1:5" x14ac:dyDescent="0.35">
      <c r="A210" t="s">
        <v>1235</v>
      </c>
      <c r="B210" t="s">
        <v>1234</v>
      </c>
      <c r="C210" s="9" t="s">
        <v>1835</v>
      </c>
      <c r="D21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261.08619266441497</v>
      </c>
      <c r="E210" t="str">
        <f>Table1[[#This Row],[Color Code]] &amp; " - " &amp;Table1[[#This Row],[Color Name]]</f>
        <v>7P1442 - PROVINCIAL PARK</v>
      </c>
    </row>
    <row r="211" spans="1:5" x14ac:dyDescent="0.35">
      <c r="A211" t="s">
        <v>1249</v>
      </c>
      <c r="B211" t="s">
        <v>1248</v>
      </c>
      <c r="C211" s="9" t="s">
        <v>1842</v>
      </c>
      <c r="D21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261.20490041344937</v>
      </c>
      <c r="E211" t="str">
        <f>Table1[[#This Row],[Color Code]] &amp; " - " &amp;Table1[[#This Row],[Color Name]]</f>
        <v>7P1474 - SOFT JADE</v>
      </c>
    </row>
    <row r="212" spans="1:5" x14ac:dyDescent="0.35">
      <c r="A212" t="s">
        <v>2297</v>
      </c>
      <c r="B212" t="s">
        <v>2296</v>
      </c>
      <c r="C212" s="9" t="s">
        <v>2298</v>
      </c>
      <c r="D21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261.24892344275793</v>
      </c>
      <c r="E212" t="str">
        <f>Table1[[#This Row],[Color Code]] &amp; " - " &amp;Table1[[#This Row],[Color Name]]</f>
        <v>8P2616 - SHIFTING CLOUDS</v>
      </c>
    </row>
    <row r="213" spans="1:5" x14ac:dyDescent="0.35">
      <c r="A213" t="s">
        <v>168</v>
      </c>
      <c r="B213" t="s">
        <v>169</v>
      </c>
      <c r="C213" s="9" t="s">
        <v>231</v>
      </c>
      <c r="D21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261.26232028365666</v>
      </c>
      <c r="E213" t="str">
        <f>Table1[[#This Row],[Color Code]] &amp; " - " &amp;Table1[[#This Row],[Color Name]]</f>
        <v>1P0562 - SAND CORAL</v>
      </c>
    </row>
    <row r="214" spans="1:5" x14ac:dyDescent="0.35">
      <c r="A214" t="s">
        <v>921</v>
      </c>
      <c r="B214" t="s">
        <v>920</v>
      </c>
      <c r="C214" s="9" t="s">
        <v>1678</v>
      </c>
      <c r="D21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261.26232028365666</v>
      </c>
      <c r="E214" t="str">
        <f>Table1[[#This Row],[Color Code]] &amp; " - " &amp;Table1[[#This Row],[Color Name]]</f>
        <v>5P1082 - SERENE THOUGHTS</v>
      </c>
    </row>
    <row r="215" spans="1:5" x14ac:dyDescent="0.35">
      <c r="A215" t="s">
        <v>1039</v>
      </c>
      <c r="B215" t="s">
        <v>1038</v>
      </c>
      <c r="C215" s="9" t="s">
        <v>1737</v>
      </c>
      <c r="D21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261.30633363927478</v>
      </c>
      <c r="E215" t="str">
        <f>Table1[[#This Row],[Color Code]] &amp; " - " &amp;Table1[[#This Row],[Color Name]]</f>
        <v>6P1274 - ALL'S QUIET</v>
      </c>
    </row>
    <row r="216" spans="1:5" x14ac:dyDescent="0.35">
      <c r="A216" t="s">
        <v>803</v>
      </c>
      <c r="B216" t="s">
        <v>802</v>
      </c>
      <c r="C216" s="9" t="s">
        <v>1619</v>
      </c>
      <c r="D21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261.32929418647274</v>
      </c>
      <c r="E216" t="str">
        <f>Table1[[#This Row],[Color Code]] &amp; " - " &amp;Table1[[#This Row],[Color Name]]</f>
        <v>4T0883 - SPRINGSATION</v>
      </c>
    </row>
    <row r="217" spans="1:5" x14ac:dyDescent="0.35">
      <c r="A217" t="s">
        <v>1241</v>
      </c>
      <c r="B217" t="s">
        <v>1240</v>
      </c>
      <c r="C217" s="9" t="s">
        <v>1838</v>
      </c>
      <c r="D21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261.48040079516477</v>
      </c>
      <c r="E217" t="str">
        <f>Table1[[#This Row],[Color Code]] &amp; " - " &amp;Table1[[#This Row],[Color Name]]</f>
        <v>7P1458 - EASTERN LIGHT</v>
      </c>
    </row>
    <row r="218" spans="1:5" x14ac:dyDescent="0.35">
      <c r="A218" t="s">
        <v>2050</v>
      </c>
      <c r="B218" t="s">
        <v>2049</v>
      </c>
      <c r="C218" s="9" t="s">
        <v>2051</v>
      </c>
      <c r="D21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261.56643515558335</v>
      </c>
      <c r="E218" t="str">
        <f>Table1[[#This Row],[Color Code]] &amp; " - " &amp;Table1[[#This Row],[Color Name]]</f>
        <v>8P0199 - EGG CREAM</v>
      </c>
    </row>
    <row r="219" spans="1:5" x14ac:dyDescent="0.35">
      <c r="A219" t="s">
        <v>871</v>
      </c>
      <c r="B219" t="s">
        <v>870</v>
      </c>
      <c r="C219" s="9" t="s">
        <v>1653</v>
      </c>
      <c r="D21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261.59892966141894</v>
      </c>
      <c r="E219" t="str">
        <f>Table1[[#This Row],[Color Code]] &amp; " - " &amp;Table1[[#This Row],[Color Name]]</f>
        <v>5P0142 - ROBIN'S EGG</v>
      </c>
    </row>
    <row r="220" spans="1:5" x14ac:dyDescent="0.35">
      <c r="A220" t="s">
        <v>754</v>
      </c>
      <c r="B220" t="s">
        <v>755</v>
      </c>
      <c r="C220" s="9" t="s">
        <v>1595</v>
      </c>
      <c r="D22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261.61039734689444</v>
      </c>
      <c r="E220" t="str">
        <f>Table1[[#This Row],[Color Code]] &amp; " - " &amp;Table1[[#This Row],[Color Name]]</f>
        <v>4P2128 - MISTY MORN</v>
      </c>
    </row>
    <row r="221" spans="1:5" x14ac:dyDescent="0.35">
      <c r="A221" t="s">
        <v>356</v>
      </c>
      <c r="B221" t="s">
        <v>357</v>
      </c>
      <c r="C221" s="9" t="s">
        <v>1397</v>
      </c>
      <c r="D22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261.72695696087555</v>
      </c>
      <c r="E221" t="str">
        <f>Table1[[#This Row],[Color Code]] &amp; " - " &amp;Table1[[#This Row],[Color Name]]</f>
        <v>3P0055 - SILKY SCARF</v>
      </c>
    </row>
    <row r="222" spans="1:5" x14ac:dyDescent="0.35">
      <c r="A222" t="s">
        <v>1321</v>
      </c>
      <c r="B222" t="s">
        <v>1320</v>
      </c>
      <c r="C222" s="9" t="s">
        <v>1877</v>
      </c>
      <c r="D22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261.75752138190796</v>
      </c>
      <c r="E222" t="str">
        <f>Table1[[#This Row],[Color Code]] &amp; " - " &amp;Table1[[#This Row],[Color Name]]</f>
        <v>7P1634 - SEA OF CORAL</v>
      </c>
    </row>
    <row r="223" spans="1:5" x14ac:dyDescent="0.35">
      <c r="A223" t="s">
        <v>136</v>
      </c>
      <c r="B223" t="s">
        <v>137</v>
      </c>
      <c r="C223" s="9" t="s">
        <v>215</v>
      </c>
      <c r="D22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261.85683111196471</v>
      </c>
      <c r="E223" t="str">
        <f>Table1[[#This Row],[Color Code]] &amp; " - " &amp;Table1[[#This Row],[Color Name]]</f>
        <v>1P0474 - SHELL CREEK</v>
      </c>
    </row>
    <row r="224" spans="1:5" x14ac:dyDescent="0.35">
      <c r="A224" t="s">
        <v>386</v>
      </c>
      <c r="B224" t="s">
        <v>387</v>
      </c>
      <c r="C224" s="9" t="s">
        <v>1412</v>
      </c>
      <c r="D22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261.93892417890089</v>
      </c>
      <c r="E224" t="str">
        <f>Table1[[#This Row],[Color Code]] &amp; " - " &amp;Table1[[#This Row],[Color Name]]</f>
        <v>3P0072 - YELLOW CHINTZ</v>
      </c>
    </row>
    <row r="225" spans="1:5" x14ac:dyDescent="0.35">
      <c r="A225" t="s">
        <v>933</v>
      </c>
      <c r="B225" t="s">
        <v>932</v>
      </c>
      <c r="C225" s="9" t="s">
        <v>1684</v>
      </c>
      <c r="D22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262.03244073969159</v>
      </c>
      <c r="E225" t="str">
        <f>Table1[[#This Row],[Color Code]] &amp; " - " &amp;Table1[[#This Row],[Color Name]]</f>
        <v>5P1114 - DREAM A LITTLE DREAM</v>
      </c>
    </row>
    <row r="226" spans="1:5" x14ac:dyDescent="0.35">
      <c r="A226" t="s">
        <v>929</v>
      </c>
      <c r="B226" t="s">
        <v>928</v>
      </c>
      <c r="C226" s="9" t="s">
        <v>1682</v>
      </c>
      <c r="D22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262.03434889342276</v>
      </c>
      <c r="E226" t="str">
        <f>Table1[[#This Row],[Color Code]] &amp; " - " &amp;Table1[[#This Row],[Color Name]]</f>
        <v>5P1106 - WATERCOLOR BLUE</v>
      </c>
    </row>
    <row r="227" spans="1:5" x14ac:dyDescent="0.35">
      <c r="A227" t="s">
        <v>1253</v>
      </c>
      <c r="B227" t="s">
        <v>1252</v>
      </c>
      <c r="C227" s="9" t="s">
        <v>1844</v>
      </c>
      <c r="D22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262.47095077360467</v>
      </c>
      <c r="E227" t="str">
        <f>Table1[[#This Row],[Color Code]] &amp; " - " &amp;Table1[[#This Row],[Color Name]]</f>
        <v>7P1482 - MY GARDEN</v>
      </c>
    </row>
    <row r="228" spans="1:5" x14ac:dyDescent="0.35">
      <c r="A228" t="s">
        <v>706</v>
      </c>
      <c r="B228" t="s">
        <v>707</v>
      </c>
      <c r="C228" s="9" t="s">
        <v>1571</v>
      </c>
      <c r="D22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262.57951176738828</v>
      </c>
      <c r="E228" t="str">
        <f>Table1[[#This Row],[Color Code]] &amp; " - " &amp;Table1[[#This Row],[Color Name]]</f>
        <v>4P1026 - SEA WAVES</v>
      </c>
    </row>
    <row r="229" spans="1:5" x14ac:dyDescent="0.35">
      <c r="A229" t="s">
        <v>700</v>
      </c>
      <c r="B229" t="s">
        <v>701</v>
      </c>
      <c r="C229" s="9" t="s">
        <v>1568</v>
      </c>
      <c r="D22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262.61378486286662</v>
      </c>
      <c r="E229" t="str">
        <f>Table1[[#This Row],[Color Code]] &amp; " - " &amp;Table1[[#This Row],[Color Name]]</f>
        <v>4P1010 - SEASIDE CHARM</v>
      </c>
    </row>
    <row r="230" spans="1:5" x14ac:dyDescent="0.35">
      <c r="A230" t="s">
        <v>384</v>
      </c>
      <c r="B230" t="s">
        <v>385</v>
      </c>
      <c r="C230" s="9" t="s">
        <v>1411</v>
      </c>
      <c r="D23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262.69944803900904</v>
      </c>
      <c r="E230" t="str">
        <f>Table1[[#This Row],[Color Code]] &amp; " - " &amp;Table1[[#This Row],[Color Name]]</f>
        <v>3P0071 - MANGO CUPCAKE</v>
      </c>
    </row>
    <row r="231" spans="1:5" x14ac:dyDescent="0.35">
      <c r="A231" t="s">
        <v>2321</v>
      </c>
      <c r="B231" t="s">
        <v>2320</v>
      </c>
      <c r="C231" s="9" t="s">
        <v>2322</v>
      </c>
      <c r="D23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262.72038367816077</v>
      </c>
      <c r="E231" t="str">
        <f>Table1[[#This Row],[Color Code]] &amp; " - " &amp;Table1[[#This Row],[Color Name]]</f>
        <v>8P2666 - GENTLE CREEK</v>
      </c>
    </row>
    <row r="232" spans="1:5" x14ac:dyDescent="0.35">
      <c r="A232" t="s">
        <v>2235</v>
      </c>
      <c r="B232" t="s">
        <v>2234</v>
      </c>
      <c r="C232" s="9" t="s">
        <v>2236</v>
      </c>
      <c r="D23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262.91443475016735</v>
      </c>
      <c r="E232" t="str">
        <f>Table1[[#This Row],[Color Code]] &amp; " - " &amp;Table1[[#This Row],[Color Name]]</f>
        <v>8P2516 - NUDE BRUSH</v>
      </c>
    </row>
    <row r="233" spans="1:5" x14ac:dyDescent="0.35">
      <c r="A233" t="s">
        <v>250</v>
      </c>
      <c r="B233" t="s">
        <v>251</v>
      </c>
      <c r="C233" s="9" t="s">
        <v>1344</v>
      </c>
      <c r="D23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263.0703328009451</v>
      </c>
      <c r="E233" t="str">
        <f>Table1[[#This Row],[Color Code]] &amp; " - " &amp;Table1[[#This Row],[Color Name]]</f>
        <v>2P0044 - ALPACA</v>
      </c>
    </row>
    <row r="234" spans="1:5" x14ac:dyDescent="0.35">
      <c r="A234" t="s">
        <v>688</v>
      </c>
      <c r="B234" t="s">
        <v>689</v>
      </c>
      <c r="C234" s="9" t="s">
        <v>1562</v>
      </c>
      <c r="D23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263.11594402468279</v>
      </c>
      <c r="E234" t="str">
        <f>Table1[[#This Row],[Color Code]] &amp; " - " &amp;Table1[[#This Row],[Color Name]]</f>
        <v>4P0978 - FRESH AIR</v>
      </c>
    </row>
    <row r="235" spans="1:5" x14ac:dyDescent="0.35">
      <c r="A235" t="s">
        <v>777</v>
      </c>
      <c r="B235" t="s">
        <v>776</v>
      </c>
      <c r="C235" s="9" t="s">
        <v>1606</v>
      </c>
      <c r="D23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263.29830990722292</v>
      </c>
      <c r="E235" t="str">
        <f>Table1[[#This Row],[Color Code]] &amp; " - " &amp;Table1[[#This Row],[Color Name]]</f>
        <v>4P2169 - SAILOR'S TUNE</v>
      </c>
    </row>
    <row r="236" spans="1:5" x14ac:dyDescent="0.35">
      <c r="A236" t="s">
        <v>646</v>
      </c>
      <c r="B236" t="s">
        <v>647</v>
      </c>
      <c r="C236" s="9" t="s">
        <v>1541</v>
      </c>
      <c r="D23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263.47106102948004</v>
      </c>
      <c r="E236" t="str">
        <f>Table1[[#This Row],[Color Code]] &amp; " - " &amp;Table1[[#This Row],[Color Name]]</f>
        <v>4P0118 - OCEAN CREST</v>
      </c>
    </row>
    <row r="237" spans="1:5" x14ac:dyDescent="0.35">
      <c r="A237" t="s">
        <v>1957</v>
      </c>
      <c r="B237" t="s">
        <v>1956</v>
      </c>
      <c r="C237" s="9" t="s">
        <v>1958</v>
      </c>
      <c r="D23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263.51470547200967</v>
      </c>
      <c r="E237" t="str">
        <f>Table1[[#This Row],[Color Code]] &amp; " - " &amp;Table1[[#This Row],[Color Name]]</f>
        <v>7P2400 - LOTUS LEAF</v>
      </c>
    </row>
    <row r="238" spans="1:5" x14ac:dyDescent="0.35">
      <c r="A238" t="s">
        <v>867</v>
      </c>
      <c r="B238" t="s">
        <v>866</v>
      </c>
      <c r="C238" s="9" t="s">
        <v>1651</v>
      </c>
      <c r="D23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263.54126811564066</v>
      </c>
      <c r="E238" t="str">
        <f>Table1[[#This Row],[Color Code]] &amp; " - " &amp;Table1[[#This Row],[Color Name]]</f>
        <v>5P0140 - SKY LIFT</v>
      </c>
    </row>
    <row r="239" spans="1:5" x14ac:dyDescent="0.35">
      <c r="A239" t="s">
        <v>502</v>
      </c>
      <c r="B239" t="s">
        <v>503</v>
      </c>
      <c r="C239" s="9" t="s">
        <v>1469</v>
      </c>
      <c r="D23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263.56023979348629</v>
      </c>
      <c r="E239" t="str">
        <f>Table1[[#This Row],[Color Code]] &amp; " - " &amp;Table1[[#This Row],[Color Name]]</f>
        <v>3T0732 - HONEY BUNCH</v>
      </c>
    </row>
    <row r="240" spans="1:5" x14ac:dyDescent="0.35">
      <c r="A240" t="s">
        <v>770</v>
      </c>
      <c r="B240" t="s">
        <v>771</v>
      </c>
      <c r="C240" s="9" t="s">
        <v>1603</v>
      </c>
      <c r="D24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263.67024860609513</v>
      </c>
      <c r="E240" t="str">
        <f>Table1[[#This Row],[Color Code]] &amp; " - " &amp;Table1[[#This Row],[Color Name]]</f>
        <v>4P2160 - SPRING DAY</v>
      </c>
    </row>
    <row r="241" spans="1:5" x14ac:dyDescent="0.35">
      <c r="A241" t="s">
        <v>1889</v>
      </c>
      <c r="B241" t="s">
        <v>1888</v>
      </c>
      <c r="C241" s="9" t="s">
        <v>1890</v>
      </c>
      <c r="D24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263.68162620857754</v>
      </c>
      <c r="E241" t="str">
        <f>Table1[[#This Row],[Color Code]] &amp; " - " &amp;Table1[[#This Row],[Color Name]]</f>
        <v>7P1674 - PINK SUNSET</v>
      </c>
    </row>
    <row r="242" spans="1:5" x14ac:dyDescent="0.35">
      <c r="A242" t="s">
        <v>865</v>
      </c>
      <c r="B242" t="s">
        <v>864</v>
      </c>
      <c r="C242" s="9" t="s">
        <v>1650</v>
      </c>
      <c r="D24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263.72144395175758</v>
      </c>
      <c r="E242" t="str">
        <f>Table1[[#This Row],[Color Code]] &amp; " - " &amp;Table1[[#This Row],[Color Name]]</f>
        <v>5P0139 - BLUE WALTZ</v>
      </c>
    </row>
    <row r="243" spans="1:5" x14ac:dyDescent="0.35">
      <c r="A243" t="s">
        <v>1225</v>
      </c>
      <c r="B243" t="s">
        <v>1224</v>
      </c>
      <c r="C243" s="9" t="s">
        <v>1830</v>
      </c>
      <c r="D24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263.83328069066647</v>
      </c>
      <c r="E243" t="str">
        <f>Table1[[#This Row],[Color Code]] &amp; " - " &amp;Table1[[#This Row],[Color Name]]</f>
        <v>7P0333 - BLUSHING BRIDE</v>
      </c>
    </row>
    <row r="244" spans="1:5" x14ac:dyDescent="0.35">
      <c r="A244" t="s">
        <v>1933</v>
      </c>
      <c r="B244" t="s">
        <v>1932</v>
      </c>
      <c r="C244" s="9" t="s">
        <v>1934</v>
      </c>
      <c r="D24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263.87307554959068</v>
      </c>
      <c r="E244" t="str">
        <f>Table1[[#This Row],[Color Code]] &amp; " - " &amp;Table1[[#This Row],[Color Name]]</f>
        <v>7P1952 - OPALINE</v>
      </c>
    </row>
    <row r="245" spans="1:5" x14ac:dyDescent="0.35">
      <c r="A245" t="s">
        <v>2372</v>
      </c>
      <c r="B245" t="s">
        <v>2371</v>
      </c>
      <c r="C245" s="9" t="s">
        <v>2373</v>
      </c>
      <c r="D24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263.895812774663</v>
      </c>
      <c r="E245" t="str">
        <f>Table1[[#This Row],[Color Code]] &amp; " - " &amp;Table1[[#This Row],[Color Name]]</f>
        <v>8P2736 - SILENT HALL</v>
      </c>
    </row>
    <row r="246" spans="1:5" x14ac:dyDescent="0.35">
      <c r="A246" t="s">
        <v>2140</v>
      </c>
      <c r="B246" t="s">
        <v>2139</v>
      </c>
      <c r="C246" s="9" t="s">
        <v>2141</v>
      </c>
      <c r="D24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263.93370379699519</v>
      </c>
      <c r="E246" t="str">
        <f>Table1[[#This Row],[Color Code]] &amp; " - " &amp;Table1[[#This Row],[Color Name]]</f>
        <v>8P1737 - SOFT BEAUTY</v>
      </c>
    </row>
    <row r="247" spans="1:5" x14ac:dyDescent="0.35">
      <c r="A247" t="s">
        <v>2271</v>
      </c>
      <c r="B247" t="s">
        <v>2270</v>
      </c>
      <c r="C247" s="9" t="s">
        <v>2272</v>
      </c>
      <c r="D24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263.94507004299209</v>
      </c>
      <c r="E247" t="str">
        <f>Table1[[#This Row],[Color Code]] &amp; " - " &amp;Table1[[#This Row],[Color Name]]</f>
        <v>8P2571 - SOLFEGE</v>
      </c>
    </row>
    <row r="248" spans="1:5" x14ac:dyDescent="0.35">
      <c r="A248" t="s">
        <v>124</v>
      </c>
      <c r="B248" t="s">
        <v>125</v>
      </c>
      <c r="C248" s="9" t="s">
        <v>209</v>
      </c>
      <c r="D24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263.99431812067473</v>
      </c>
      <c r="E248" t="str">
        <f>Table1[[#This Row],[Color Code]] &amp; " - " &amp;Table1[[#This Row],[Color Name]]</f>
        <v>1P0442 - PINK DIMITY</v>
      </c>
    </row>
    <row r="249" spans="1:5" x14ac:dyDescent="0.35">
      <c r="A249" t="s">
        <v>2152</v>
      </c>
      <c r="B249" t="s">
        <v>2151</v>
      </c>
      <c r="C249" s="9" t="s">
        <v>2153</v>
      </c>
      <c r="D24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264.0170449043016</v>
      </c>
      <c r="E249" t="str">
        <f>Table1[[#This Row],[Color Code]] &amp; " - " &amp;Table1[[#This Row],[Color Name]]</f>
        <v>8P1753 - ARABLE</v>
      </c>
    </row>
    <row r="250" spans="1:5" x14ac:dyDescent="0.35">
      <c r="A250" t="s">
        <v>1135</v>
      </c>
      <c r="B250" t="s">
        <v>1134</v>
      </c>
      <c r="C250" s="9" t="s">
        <v>1785</v>
      </c>
      <c r="D25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264.03408870825751</v>
      </c>
      <c r="E250" t="str">
        <f>Table1[[#This Row],[Color Code]] &amp; " - " &amp;Table1[[#This Row],[Color Name]]</f>
        <v>6P2313 - SIMPLY ME</v>
      </c>
    </row>
    <row r="251" spans="1:5" x14ac:dyDescent="0.35">
      <c r="A251" t="s">
        <v>1951</v>
      </c>
      <c r="B251" t="s">
        <v>1950</v>
      </c>
      <c r="C251" s="9" t="s">
        <v>1952</v>
      </c>
      <c r="D25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264.1230773711377</v>
      </c>
      <c r="E251" t="str">
        <f>Table1[[#This Row],[Color Code]] &amp; " - " &amp;Table1[[#This Row],[Color Name]]</f>
        <v>7P2392 - APPLE SHAKE</v>
      </c>
    </row>
    <row r="252" spans="1:5" x14ac:dyDescent="0.35">
      <c r="A252" t="s">
        <v>116</v>
      </c>
      <c r="B252" t="s">
        <v>117</v>
      </c>
      <c r="C252" s="9" t="s">
        <v>205</v>
      </c>
      <c r="D25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264.16093579482941</v>
      </c>
      <c r="E252" t="str">
        <f>Table1[[#This Row],[Color Code]] &amp; " - " &amp;Table1[[#This Row],[Color Name]]</f>
        <v>1P0325 - FAIRY WING</v>
      </c>
    </row>
    <row r="253" spans="1:5" x14ac:dyDescent="0.35">
      <c r="A253" t="s">
        <v>915</v>
      </c>
      <c r="B253" t="s">
        <v>914</v>
      </c>
      <c r="C253" s="9" t="s">
        <v>1675</v>
      </c>
      <c r="D25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264.24609741678307</v>
      </c>
      <c r="E253" t="str">
        <f>Table1[[#This Row],[Color Code]] &amp; " - " &amp;Table1[[#This Row],[Color Name]]</f>
        <v>5P1058 - GYPSY WIND</v>
      </c>
    </row>
    <row r="254" spans="1:5" x14ac:dyDescent="0.35">
      <c r="A254" t="s">
        <v>678</v>
      </c>
      <c r="B254" t="s">
        <v>679</v>
      </c>
      <c r="C254" s="9" t="s">
        <v>1557</v>
      </c>
      <c r="D25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264.24988174074934</v>
      </c>
      <c r="E254" t="str">
        <f>Table1[[#This Row],[Color Code]] &amp; " - " &amp;Table1[[#This Row],[Color Name]]</f>
        <v>4P0954 - IRISH COUNTRYSIDE</v>
      </c>
    </row>
    <row r="255" spans="1:5" x14ac:dyDescent="0.35">
      <c r="A255" t="s">
        <v>498</v>
      </c>
      <c r="B255" t="s">
        <v>499</v>
      </c>
      <c r="C255" s="9" t="s">
        <v>1467</v>
      </c>
      <c r="D25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264.48629454094595</v>
      </c>
      <c r="E255" t="str">
        <f>Table1[[#This Row],[Color Code]] &amp; " - " &amp;Table1[[#This Row],[Color Name]]</f>
        <v>3T0724 - GOLDEN SUNSHINE</v>
      </c>
    </row>
    <row r="256" spans="1:5" x14ac:dyDescent="0.35">
      <c r="A256" t="s">
        <v>1261</v>
      </c>
      <c r="B256" t="s">
        <v>1260</v>
      </c>
      <c r="C256" s="9" t="s">
        <v>1848</v>
      </c>
      <c r="D25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264.80936539329571</v>
      </c>
      <c r="E256" t="str">
        <f>Table1[[#This Row],[Color Code]] &amp; " - " &amp;Table1[[#This Row],[Color Name]]</f>
        <v>7P1498 - GARDEN MEDLEY</v>
      </c>
    </row>
    <row r="257" spans="1:5" x14ac:dyDescent="0.35">
      <c r="A257" t="s">
        <v>1137</v>
      </c>
      <c r="B257" t="s">
        <v>1136</v>
      </c>
      <c r="C257" s="9" t="s">
        <v>1786</v>
      </c>
      <c r="D25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264.84146201076601</v>
      </c>
      <c r="E257" t="str">
        <f>Table1[[#This Row],[Color Code]] &amp; " - " &amp;Table1[[#This Row],[Color Name]]</f>
        <v>6P2320 - KNOWING NICOLE</v>
      </c>
    </row>
    <row r="258" spans="1:5" x14ac:dyDescent="0.35">
      <c r="A258" t="s">
        <v>404</v>
      </c>
      <c r="B258" t="s">
        <v>405</v>
      </c>
      <c r="C258" s="9" t="s">
        <v>1421</v>
      </c>
      <c r="D25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264.97547056284287</v>
      </c>
      <c r="E258" t="str">
        <f>Table1[[#This Row],[Color Code]] &amp; " - " &amp;Table1[[#This Row],[Color Name]]</f>
        <v>3P0088 - LEMON LACE</v>
      </c>
    </row>
    <row r="259" spans="1:5" x14ac:dyDescent="0.35">
      <c r="A259" t="s">
        <v>943</v>
      </c>
      <c r="B259" t="s">
        <v>942</v>
      </c>
      <c r="C259" s="9" t="s">
        <v>1689</v>
      </c>
      <c r="D25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264.98679212368302</v>
      </c>
      <c r="E259" t="str">
        <f>Table1[[#This Row],[Color Code]] &amp; " - " &amp;Table1[[#This Row],[Color Name]]</f>
        <v>5P1138 - CLOUD-WISPED SKY</v>
      </c>
    </row>
    <row r="260" spans="1:5" x14ac:dyDescent="0.35">
      <c r="A260" t="s">
        <v>1213</v>
      </c>
      <c r="B260" t="s">
        <v>1212</v>
      </c>
      <c r="C260" s="9" t="s">
        <v>1824</v>
      </c>
      <c r="D26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265.00377355803823</v>
      </c>
      <c r="E260" t="str">
        <f>Table1[[#This Row],[Color Code]] &amp; " - " &amp;Table1[[#This Row],[Color Name]]</f>
        <v>7P0187 - SCALLION</v>
      </c>
    </row>
    <row r="261" spans="1:5" x14ac:dyDescent="0.35">
      <c r="A261" t="s">
        <v>98</v>
      </c>
      <c r="B261" t="s">
        <v>99</v>
      </c>
      <c r="C261" s="9" t="s">
        <v>196</v>
      </c>
      <c r="D26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265.07546095404609</v>
      </c>
      <c r="E261" t="str">
        <f>Table1[[#This Row],[Color Code]] &amp; " - " &amp;Table1[[#This Row],[Color Name]]</f>
        <v>1P0030 - BERKSHIRE LACE</v>
      </c>
    </row>
    <row r="262" spans="1:5" x14ac:dyDescent="0.35">
      <c r="A262" t="s">
        <v>1009</v>
      </c>
      <c r="B262" t="s">
        <v>1008</v>
      </c>
      <c r="C262" s="9" t="s">
        <v>1722</v>
      </c>
      <c r="D26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265.1056393213845</v>
      </c>
      <c r="E262" t="str">
        <f>Table1[[#This Row],[Color Code]] &amp; " - " &amp;Table1[[#This Row],[Color Name]]</f>
        <v>6P1202 - PHANTOM LAKE</v>
      </c>
    </row>
    <row r="263" spans="1:5" x14ac:dyDescent="0.35">
      <c r="A263" t="s">
        <v>742</v>
      </c>
      <c r="B263" t="s">
        <v>743</v>
      </c>
      <c r="C263" s="9" t="s">
        <v>1589</v>
      </c>
      <c r="D26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265.19615381826338</v>
      </c>
      <c r="E263" t="str">
        <f>Table1[[#This Row],[Color Code]] &amp; " - " &amp;Table1[[#This Row],[Color Name]]</f>
        <v>4P2098 - PARADISE</v>
      </c>
    </row>
    <row r="264" spans="1:5" x14ac:dyDescent="0.35">
      <c r="A264" t="s">
        <v>534</v>
      </c>
      <c r="B264" t="s">
        <v>535</v>
      </c>
      <c r="C264" s="9" t="s">
        <v>1485</v>
      </c>
      <c r="D26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265.22443326360411</v>
      </c>
      <c r="E264" t="str">
        <f>Table1[[#This Row],[Color Code]] &amp; " - " &amp;Table1[[#This Row],[Color Name]]</f>
        <v>3T0827 - MEADOW MIST</v>
      </c>
    </row>
    <row r="265" spans="1:5" x14ac:dyDescent="0.35">
      <c r="A265" t="s">
        <v>889</v>
      </c>
      <c r="B265" t="s">
        <v>888</v>
      </c>
      <c r="C265" s="9" t="s">
        <v>1662</v>
      </c>
      <c r="D26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265.31679177918613</v>
      </c>
      <c r="E265" t="str">
        <f>Table1[[#This Row],[Color Code]] &amp; " - " &amp;Table1[[#This Row],[Color Name]]</f>
        <v>5P0151 - BRISK BREEZE</v>
      </c>
    </row>
    <row r="266" spans="1:5" x14ac:dyDescent="0.35">
      <c r="A266" t="s">
        <v>563</v>
      </c>
      <c r="B266" t="s">
        <v>562</v>
      </c>
      <c r="C266" s="9" t="s">
        <v>1499</v>
      </c>
      <c r="D26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265.37520607622707</v>
      </c>
      <c r="E266" t="str">
        <f>Table1[[#This Row],[Color Code]] &amp; " - " &amp;Table1[[#This Row],[Color Name]]</f>
        <v>3T2084 - SO DELIGHTFUL</v>
      </c>
    </row>
    <row r="267" spans="1:5" x14ac:dyDescent="0.35">
      <c r="A267" t="s">
        <v>676</v>
      </c>
      <c r="B267" t="s">
        <v>677</v>
      </c>
      <c r="C267" s="9" t="s">
        <v>1556</v>
      </c>
      <c r="D26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265.6181469704207</v>
      </c>
      <c r="E267" t="str">
        <f>Table1[[#This Row],[Color Code]] &amp; " - " &amp;Table1[[#This Row],[Color Name]]</f>
        <v>4P0946 - ENGLISH COUNTRYSIDE</v>
      </c>
    </row>
    <row r="268" spans="1:5" x14ac:dyDescent="0.35">
      <c r="A268" t="s">
        <v>809</v>
      </c>
      <c r="B268" t="s">
        <v>808</v>
      </c>
      <c r="C268" s="9" t="s">
        <v>1622</v>
      </c>
      <c r="D26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265.62002936525704</v>
      </c>
      <c r="E268" t="str">
        <f>Table1[[#This Row],[Color Code]] &amp; " - " &amp;Table1[[#This Row],[Color Name]]</f>
        <v>4T0891 - BEST OF SPRING</v>
      </c>
    </row>
    <row r="269" spans="1:5" x14ac:dyDescent="0.35">
      <c r="A269" t="s">
        <v>680</v>
      </c>
      <c r="B269" t="s">
        <v>681</v>
      </c>
      <c r="C269" s="9" t="s">
        <v>1558</v>
      </c>
      <c r="D26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265.65202803667808</v>
      </c>
      <c r="E269" t="str">
        <f>Table1[[#This Row],[Color Code]] &amp; " - " &amp;Table1[[#This Row],[Color Name]]</f>
        <v>4P0962 - EMERALD ICE</v>
      </c>
    </row>
    <row r="270" spans="1:5" x14ac:dyDescent="0.35">
      <c r="A270" t="s">
        <v>925</v>
      </c>
      <c r="B270" t="s">
        <v>924</v>
      </c>
      <c r="C270" s="9" t="s">
        <v>1680</v>
      </c>
      <c r="D27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265.73294865334259</v>
      </c>
      <c r="E270" t="str">
        <f>Table1[[#This Row],[Color Code]] &amp; " - " &amp;Table1[[#This Row],[Color Name]]</f>
        <v>5P1098 - AFTER THE RAIN</v>
      </c>
    </row>
    <row r="271" spans="1:5" x14ac:dyDescent="0.35">
      <c r="A271" t="s">
        <v>785</v>
      </c>
      <c r="B271" t="s">
        <v>784</v>
      </c>
      <c r="C271" s="9" t="s">
        <v>1610</v>
      </c>
      <c r="D27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265.75740817520028</v>
      </c>
      <c r="E271" t="str">
        <f>Table1[[#This Row],[Color Code]] &amp; " - " &amp;Table1[[#This Row],[Color Name]]</f>
        <v>4P2190 - LITTLE CACTUS</v>
      </c>
    </row>
    <row r="272" spans="1:5" x14ac:dyDescent="0.35">
      <c r="A272" t="s">
        <v>524</v>
      </c>
      <c r="B272" t="s">
        <v>525</v>
      </c>
      <c r="C272" s="9" t="s">
        <v>1480</v>
      </c>
      <c r="D27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265.94924327773521</v>
      </c>
      <c r="E272" t="str">
        <f>Table1[[#This Row],[Color Code]] &amp; " - " &amp;Table1[[#This Row],[Color Name]]</f>
        <v>3T0773 - SUNNY AT HEART</v>
      </c>
    </row>
    <row r="273" spans="1:5" x14ac:dyDescent="0.35">
      <c r="A273" t="s">
        <v>887</v>
      </c>
      <c r="B273" t="s">
        <v>886</v>
      </c>
      <c r="C273" s="9" t="s">
        <v>1661</v>
      </c>
      <c r="D27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265.994360842481</v>
      </c>
      <c r="E273" t="str">
        <f>Table1[[#This Row],[Color Code]] &amp; " - " &amp;Table1[[#This Row],[Color Name]]</f>
        <v>5P0150 - DROP OF BLUE</v>
      </c>
    </row>
    <row r="274" spans="1:5" x14ac:dyDescent="0.35">
      <c r="A274" t="s">
        <v>674</v>
      </c>
      <c r="B274" t="s">
        <v>675</v>
      </c>
      <c r="C274" s="9" t="s">
        <v>1555</v>
      </c>
      <c r="D27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266.02443496791795</v>
      </c>
      <c r="E274" t="str">
        <f>Table1[[#This Row],[Color Code]] &amp; " - " &amp;Table1[[#This Row],[Color Name]]</f>
        <v>4P0938 - GREEN MIST</v>
      </c>
    </row>
    <row r="275" spans="1:5" x14ac:dyDescent="0.35">
      <c r="A275" t="s">
        <v>68</v>
      </c>
      <c r="B275" t="s">
        <v>69</v>
      </c>
      <c r="C275" s="9" t="s">
        <v>181</v>
      </c>
      <c r="D27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266.29494925739766</v>
      </c>
      <c r="E275" t="str">
        <f>Table1[[#This Row],[Color Code]] &amp; " - " &amp;Table1[[#This Row],[Color Name]]</f>
        <v>1P0008 - WISHING PINK</v>
      </c>
    </row>
    <row r="276" spans="1:5" x14ac:dyDescent="0.35">
      <c r="A276" t="s">
        <v>772</v>
      </c>
      <c r="B276" t="s">
        <v>773</v>
      </c>
      <c r="C276" s="9" t="s">
        <v>1604</v>
      </c>
      <c r="D27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266.31184727683444</v>
      </c>
      <c r="E276" t="str">
        <f>Table1[[#This Row],[Color Code]] &amp; " - " &amp;Table1[[#This Row],[Color Name]]</f>
        <v>4P2162 - REGAL TOUCH</v>
      </c>
    </row>
    <row r="277" spans="1:5" x14ac:dyDescent="0.35">
      <c r="A277" t="s">
        <v>692</v>
      </c>
      <c r="B277" t="s">
        <v>693</v>
      </c>
      <c r="C277" s="9" t="s">
        <v>1564</v>
      </c>
      <c r="D27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266.3475173527998</v>
      </c>
      <c r="E277" t="str">
        <f>Table1[[#This Row],[Color Code]] &amp; " - " &amp;Table1[[#This Row],[Color Name]]</f>
        <v>4P0986 - SEASIDE GLOW</v>
      </c>
    </row>
    <row r="278" spans="1:5" x14ac:dyDescent="0.35">
      <c r="A278" t="s">
        <v>1265</v>
      </c>
      <c r="B278" t="s">
        <v>1264</v>
      </c>
      <c r="C278" s="9" t="s">
        <v>1850</v>
      </c>
      <c r="D27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266.43760995775352</v>
      </c>
      <c r="E278" t="str">
        <f>Table1[[#This Row],[Color Code]] &amp; " - " &amp;Table1[[#This Row],[Color Name]]</f>
        <v>7P1506 - SOMETHING GREEN</v>
      </c>
    </row>
    <row r="279" spans="1:5" x14ac:dyDescent="0.35">
      <c r="A279" t="s">
        <v>260</v>
      </c>
      <c r="B279" t="s">
        <v>261</v>
      </c>
      <c r="C279" s="9" t="s">
        <v>1349</v>
      </c>
      <c r="D27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266.55956182436978</v>
      </c>
      <c r="E279" t="str">
        <f>Table1[[#This Row],[Color Code]] &amp; " - " &amp;Table1[[#This Row],[Color Name]]</f>
        <v>2P0225 - CHERISHED FLOWER</v>
      </c>
    </row>
    <row r="280" spans="1:5" x14ac:dyDescent="0.35">
      <c r="A280" t="s">
        <v>1285</v>
      </c>
      <c r="B280" t="s">
        <v>1284</v>
      </c>
      <c r="C280" s="9" t="s">
        <v>1860</v>
      </c>
      <c r="D28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266.56518902512386</v>
      </c>
      <c r="E280" t="str">
        <f>Table1[[#This Row],[Color Code]] &amp; " - " &amp;Table1[[#This Row],[Color Name]]</f>
        <v>7P1554 - SIERRA FOOTHILLS</v>
      </c>
    </row>
    <row r="281" spans="1:5" x14ac:dyDescent="0.35">
      <c r="A281" t="s">
        <v>2312</v>
      </c>
      <c r="B281" t="s">
        <v>2311</v>
      </c>
      <c r="C281" s="9" t="s">
        <v>2313</v>
      </c>
      <c r="D28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266.67020830981477</v>
      </c>
      <c r="E281" t="str">
        <f>Table1[[#This Row],[Color Code]] &amp; " - " &amp;Table1[[#This Row],[Color Name]]</f>
        <v>8P2654 - PALE GEMSTONE</v>
      </c>
    </row>
    <row r="282" spans="1:5" x14ac:dyDescent="0.35">
      <c r="A282" t="s">
        <v>684</v>
      </c>
      <c r="B282" t="s">
        <v>685</v>
      </c>
      <c r="C282" s="9" t="s">
        <v>1560</v>
      </c>
      <c r="D28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266.80517236365563</v>
      </c>
      <c r="E282" t="str">
        <f>Table1[[#This Row],[Color Code]] &amp; " - " &amp;Table1[[#This Row],[Color Name]]</f>
        <v>4P0970 - SPRING RAIN</v>
      </c>
    </row>
    <row r="283" spans="1:5" x14ac:dyDescent="0.35">
      <c r="A283" t="s">
        <v>1281</v>
      </c>
      <c r="B283" t="s">
        <v>1280</v>
      </c>
      <c r="C283" s="9" t="s">
        <v>1858</v>
      </c>
      <c r="D28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266.87450234145638</v>
      </c>
      <c r="E283" t="str">
        <f>Table1[[#This Row],[Color Code]] &amp; " - " &amp;Table1[[#This Row],[Color Name]]</f>
        <v>7P1546 - SUTHERLAND</v>
      </c>
    </row>
    <row r="284" spans="1:5" x14ac:dyDescent="0.35">
      <c r="A284" t="s">
        <v>1205</v>
      </c>
      <c r="B284" t="s">
        <v>1204</v>
      </c>
      <c r="C284" s="9" t="s">
        <v>1820</v>
      </c>
      <c r="D28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266.88199639541068</v>
      </c>
      <c r="E284" t="str">
        <f>Table1[[#This Row],[Color Code]] &amp; " - " &amp;Table1[[#This Row],[Color Name]]</f>
        <v>7P0182 - CHAMPAGNE TOAST</v>
      </c>
    </row>
    <row r="285" spans="1:5" x14ac:dyDescent="0.35">
      <c r="A285" t="s">
        <v>694</v>
      </c>
      <c r="B285" t="s">
        <v>695</v>
      </c>
      <c r="C285" s="9" t="s">
        <v>1565</v>
      </c>
      <c r="D28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267.0224709645239</v>
      </c>
      <c r="E285" t="str">
        <f>Table1[[#This Row],[Color Code]] &amp; " - " &amp;Table1[[#This Row],[Color Name]]</f>
        <v>4P0994 - HIDDEN SPRINGS</v>
      </c>
    </row>
    <row r="286" spans="1:5" x14ac:dyDescent="0.35">
      <c r="A286" t="s">
        <v>1015</v>
      </c>
      <c r="B286" t="s">
        <v>1014</v>
      </c>
      <c r="C286" s="9" t="s">
        <v>1725</v>
      </c>
      <c r="D28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267.03745055703331</v>
      </c>
      <c r="E286" t="str">
        <f>Table1[[#This Row],[Color Code]] &amp; " - " &amp;Table1[[#This Row],[Color Name]]</f>
        <v>6P1226 - VICTORIA GLACIER</v>
      </c>
    </row>
    <row r="287" spans="1:5" x14ac:dyDescent="0.35">
      <c r="A287" t="s">
        <v>370</v>
      </c>
      <c r="B287" t="s">
        <v>371</v>
      </c>
      <c r="C287" s="9" t="s">
        <v>1404</v>
      </c>
      <c r="D28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267.05055701121466</v>
      </c>
      <c r="E287" t="str">
        <f>Table1[[#This Row],[Color Code]] &amp; " - " &amp;Table1[[#This Row],[Color Name]]</f>
        <v>3P0062 - FRENCH BREAD</v>
      </c>
    </row>
    <row r="288" spans="1:5" x14ac:dyDescent="0.35">
      <c r="A288" t="s">
        <v>937</v>
      </c>
      <c r="B288" t="s">
        <v>936</v>
      </c>
      <c r="C288" s="9" t="s">
        <v>1686</v>
      </c>
      <c r="D28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267.1778433927484</v>
      </c>
      <c r="E288" t="str">
        <f>Table1[[#This Row],[Color Code]] &amp; " - " &amp;Table1[[#This Row],[Color Name]]</f>
        <v>5P1122 - SWIRLING WATER</v>
      </c>
    </row>
    <row r="289" spans="1:5" x14ac:dyDescent="0.35">
      <c r="A289" t="s">
        <v>2309</v>
      </c>
      <c r="B289" t="s">
        <v>2308</v>
      </c>
      <c r="C289" s="9" t="s">
        <v>2310</v>
      </c>
      <c r="D28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267.49392516466611</v>
      </c>
      <c r="E289" t="str">
        <f>Table1[[#This Row],[Color Code]] &amp; " - " &amp;Table1[[#This Row],[Color Name]]</f>
        <v>8P2643 - WIND WHIPPED</v>
      </c>
    </row>
    <row r="290" spans="1:5" x14ac:dyDescent="0.35">
      <c r="A290" t="s">
        <v>907</v>
      </c>
      <c r="B290" t="s">
        <v>906</v>
      </c>
      <c r="C290" s="9" t="s">
        <v>1671</v>
      </c>
      <c r="D29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267.61352731130762</v>
      </c>
      <c r="E290" t="str">
        <f>Table1[[#This Row],[Color Code]] &amp; " - " &amp;Table1[[#This Row],[Color Name]]</f>
        <v>5P1034 - TEAR DROP</v>
      </c>
    </row>
    <row r="291" spans="1:5" x14ac:dyDescent="0.35">
      <c r="A291" t="s">
        <v>949</v>
      </c>
      <c r="B291" t="s">
        <v>948</v>
      </c>
      <c r="C291" s="9" t="s">
        <v>1692</v>
      </c>
      <c r="D29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267.64341949691197</v>
      </c>
      <c r="E291" t="str">
        <f>Table1[[#This Row],[Color Code]] &amp; " - " &amp;Table1[[#This Row],[Color Name]]</f>
        <v>5P1154 - TRANQUIL TERESA</v>
      </c>
    </row>
    <row r="292" spans="1:5" x14ac:dyDescent="0.35">
      <c r="A292" t="s">
        <v>1313</v>
      </c>
      <c r="B292" t="s">
        <v>1312</v>
      </c>
      <c r="C292" s="9" t="s">
        <v>1873</v>
      </c>
      <c r="D29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267.71813535881353</v>
      </c>
      <c r="E292" t="str">
        <f>Table1[[#This Row],[Color Code]] &amp; " - " &amp;Table1[[#This Row],[Color Name]]</f>
        <v>7P1618 - CASABA</v>
      </c>
    </row>
    <row r="293" spans="1:5" x14ac:dyDescent="0.35">
      <c r="A293" t="s">
        <v>2286</v>
      </c>
      <c r="B293" t="s">
        <v>2285</v>
      </c>
      <c r="C293" s="9" t="s">
        <v>2287</v>
      </c>
      <c r="D29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267.77042405762438</v>
      </c>
      <c r="E293" t="str">
        <f>Table1[[#This Row],[Color Code]] &amp; " - " &amp;Table1[[#This Row],[Color Name]]</f>
        <v>8P2604 - FLOWER PIN</v>
      </c>
    </row>
    <row r="294" spans="1:5" x14ac:dyDescent="0.35">
      <c r="A294" t="s">
        <v>1317</v>
      </c>
      <c r="B294" t="s">
        <v>1316</v>
      </c>
      <c r="C294" s="9" t="s">
        <v>1875</v>
      </c>
      <c r="D29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267.8245694479877</v>
      </c>
      <c r="E294" t="str">
        <f>Table1[[#This Row],[Color Code]] &amp; " - " &amp;Table1[[#This Row],[Color Name]]</f>
        <v>7P1626 - BEAUTY AND THE BEACH</v>
      </c>
    </row>
    <row r="295" spans="1:5" x14ac:dyDescent="0.35">
      <c r="A295" t="s">
        <v>2125</v>
      </c>
      <c r="B295" t="s">
        <v>2124</v>
      </c>
      <c r="C295" s="9" t="s">
        <v>2126</v>
      </c>
      <c r="D29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267.9067001775058</v>
      </c>
      <c r="E295" t="str">
        <f>Table1[[#This Row],[Color Code]] &amp; " - " &amp;Table1[[#This Row],[Color Name]]</f>
        <v>8P1714 - ITALIAN MARBLE</v>
      </c>
    </row>
    <row r="296" spans="1:5" x14ac:dyDescent="0.35">
      <c r="A296" t="s">
        <v>2226</v>
      </c>
      <c r="B296" t="s">
        <v>2225</v>
      </c>
      <c r="C296" s="9" t="s">
        <v>2227</v>
      </c>
      <c r="D29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267.95148814664196</v>
      </c>
      <c r="E296" t="str">
        <f>Table1[[#This Row],[Color Code]] &amp; " - " &amp;Table1[[#This Row],[Color Name]]</f>
        <v>8P1961 - SHOOTING STAR</v>
      </c>
    </row>
    <row r="297" spans="1:5" x14ac:dyDescent="0.35">
      <c r="A297" t="s">
        <v>2128</v>
      </c>
      <c r="B297" t="s">
        <v>2127</v>
      </c>
      <c r="C297" s="9" t="s">
        <v>2129</v>
      </c>
      <c r="D29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267.9701475911076</v>
      </c>
      <c r="E297" t="str">
        <f>Table1[[#This Row],[Color Code]] &amp; " - " &amp;Table1[[#This Row],[Color Name]]</f>
        <v>8P1721 - SNOW TOP</v>
      </c>
    </row>
    <row r="298" spans="1:5" x14ac:dyDescent="0.35">
      <c r="A298" t="s">
        <v>2324</v>
      </c>
      <c r="B298" t="s">
        <v>2323</v>
      </c>
      <c r="C298" s="9" t="s">
        <v>2325</v>
      </c>
      <c r="D29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268.1063221932672</v>
      </c>
      <c r="E298" t="str">
        <f>Table1[[#This Row],[Color Code]] &amp; " - " &amp;Table1[[#This Row],[Color Name]]</f>
        <v>8P2673 - SEIZE THE DAY</v>
      </c>
    </row>
    <row r="299" spans="1:5" x14ac:dyDescent="0.35">
      <c r="A299" t="s">
        <v>638</v>
      </c>
      <c r="B299" t="s">
        <v>639</v>
      </c>
      <c r="C299" s="9" t="s">
        <v>1537</v>
      </c>
      <c r="D29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268.10818711855853</v>
      </c>
      <c r="E299" t="str">
        <f>Table1[[#This Row],[Color Code]] &amp; " - " &amp;Table1[[#This Row],[Color Name]]</f>
        <v>4P0114 - POLAR ICE</v>
      </c>
    </row>
    <row r="300" spans="1:5" x14ac:dyDescent="0.35">
      <c r="A300" t="s">
        <v>947</v>
      </c>
      <c r="B300" t="s">
        <v>946</v>
      </c>
      <c r="C300" s="9" t="s">
        <v>1691</v>
      </c>
      <c r="D30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268.11564669000575</v>
      </c>
      <c r="E300" t="str">
        <f>Table1[[#This Row],[Color Code]] &amp; " - " &amp;Table1[[#This Row],[Color Name]]</f>
        <v>5P1146 - A GENTLE PLACE</v>
      </c>
    </row>
    <row r="301" spans="1:5" x14ac:dyDescent="0.35">
      <c r="A301" t="s">
        <v>1005</v>
      </c>
      <c r="B301" t="s">
        <v>1004</v>
      </c>
      <c r="C301" s="9" t="s">
        <v>1720</v>
      </c>
      <c r="D30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268.27597730695157</v>
      </c>
      <c r="E301" t="str">
        <f>Table1[[#This Row],[Color Code]] &amp; " - " &amp;Table1[[#This Row],[Color Name]]</f>
        <v>6P1194 - BELLISIMA</v>
      </c>
    </row>
    <row r="302" spans="1:5" x14ac:dyDescent="0.35">
      <c r="A302" t="s">
        <v>903</v>
      </c>
      <c r="B302" t="s">
        <v>902</v>
      </c>
      <c r="C302" s="9" t="s">
        <v>1669</v>
      </c>
      <c r="D30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268.29275055431521</v>
      </c>
      <c r="E302" t="str">
        <f>Table1[[#This Row],[Color Code]] &amp; " - " &amp;Table1[[#This Row],[Color Name]]</f>
        <v>5P0297 - WATER WILLOW</v>
      </c>
    </row>
    <row r="303" spans="1:5" x14ac:dyDescent="0.35">
      <c r="A303" t="s">
        <v>983</v>
      </c>
      <c r="B303" t="s">
        <v>982</v>
      </c>
      <c r="C303" s="9" t="s">
        <v>1709</v>
      </c>
      <c r="D30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268.38405317753137</v>
      </c>
      <c r="E303" t="str">
        <f>Table1[[#This Row],[Color Code]] &amp; " - " &amp;Table1[[#This Row],[Color Name]]</f>
        <v>6P0167 - APRIL GLOW</v>
      </c>
    </row>
    <row r="304" spans="1:5" x14ac:dyDescent="0.35">
      <c r="A304" t="s">
        <v>923</v>
      </c>
      <c r="B304" t="s">
        <v>922</v>
      </c>
      <c r="C304" s="9" t="s">
        <v>1679</v>
      </c>
      <c r="D30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268.47904946196456</v>
      </c>
      <c r="E304" t="str">
        <f>Table1[[#This Row],[Color Code]] &amp; " - " &amp;Table1[[#This Row],[Color Name]]</f>
        <v>5P1090 - TRANQUIL TIMES</v>
      </c>
    </row>
    <row r="305" spans="1:5" x14ac:dyDescent="0.35">
      <c r="A305" t="s">
        <v>492</v>
      </c>
      <c r="B305" t="s">
        <v>493</v>
      </c>
      <c r="C305" s="9" t="s">
        <v>1464</v>
      </c>
      <c r="D30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268.51070742151046</v>
      </c>
      <c r="E305" t="str">
        <f>Table1[[#This Row],[Color Code]] &amp; " - " &amp;Table1[[#This Row],[Color Name]]</f>
        <v>3P2096 - HANGING BIRCH</v>
      </c>
    </row>
    <row r="306" spans="1:5" x14ac:dyDescent="0.35">
      <c r="A306" t="s">
        <v>1960</v>
      </c>
      <c r="B306" t="s">
        <v>1959</v>
      </c>
      <c r="C306" s="9" t="s">
        <v>1961</v>
      </c>
      <c r="D30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268.61310466915052</v>
      </c>
      <c r="E306" t="str">
        <f>Table1[[#This Row],[Color Code]] &amp; " - " &amp;Table1[[#This Row],[Color Name]]</f>
        <v>7P2404 - PINCHETS CLOUD</v>
      </c>
    </row>
    <row r="307" spans="1:5" x14ac:dyDescent="0.35">
      <c r="A307" t="s">
        <v>553</v>
      </c>
      <c r="B307" t="s">
        <v>552</v>
      </c>
      <c r="C307" s="9" t="s">
        <v>1494</v>
      </c>
      <c r="D30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268.72290561096571</v>
      </c>
      <c r="E307" t="str">
        <f>Table1[[#This Row],[Color Code]] &amp; " - " &amp;Table1[[#This Row],[Color Name]]</f>
        <v>3T0875 - PISTACHIO PUDDING</v>
      </c>
    </row>
    <row r="308" spans="1:5" x14ac:dyDescent="0.35">
      <c r="A308" t="s">
        <v>895</v>
      </c>
      <c r="B308" t="s">
        <v>894</v>
      </c>
      <c r="C308" s="9" t="s">
        <v>1665</v>
      </c>
      <c r="D30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268.9702585788994</v>
      </c>
      <c r="E308" t="str">
        <f>Table1[[#This Row],[Color Code]] &amp; " - " &amp;Table1[[#This Row],[Color Name]]</f>
        <v>5P0285 - AQUA FISH</v>
      </c>
    </row>
    <row r="309" spans="1:5" x14ac:dyDescent="0.35">
      <c r="A309" t="s">
        <v>909</v>
      </c>
      <c r="B309" t="s">
        <v>908</v>
      </c>
      <c r="C309" s="9" t="s">
        <v>1672</v>
      </c>
      <c r="D30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268.98698853290284</v>
      </c>
      <c r="E309" t="str">
        <f>Table1[[#This Row],[Color Code]] &amp; " - " &amp;Table1[[#This Row],[Color Name]]</f>
        <v>5P1041 - FOLLOW THE TRADEWINDS</v>
      </c>
    </row>
    <row r="310" spans="1:5" x14ac:dyDescent="0.35">
      <c r="A310" t="s">
        <v>2289</v>
      </c>
      <c r="B310" t="s">
        <v>2288</v>
      </c>
      <c r="C310" s="9" t="s">
        <v>2290</v>
      </c>
      <c r="D31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269.05203957598985</v>
      </c>
      <c r="E310" t="str">
        <f>Table1[[#This Row],[Color Code]] &amp; " - " &amp;Table1[[#This Row],[Color Name]]</f>
        <v>8P2607 - FLEETING THOUGHT</v>
      </c>
    </row>
    <row r="311" spans="1:5" x14ac:dyDescent="0.35">
      <c r="A311" t="s">
        <v>967</v>
      </c>
      <c r="B311" t="s">
        <v>966</v>
      </c>
      <c r="C311" s="9" t="s">
        <v>1701</v>
      </c>
      <c r="D31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269.07433917042329</v>
      </c>
      <c r="E311" t="str">
        <f>Table1[[#This Row],[Color Code]] &amp; " - " &amp;Table1[[#This Row],[Color Name]]</f>
        <v>6P0159 - OBSESSION</v>
      </c>
    </row>
    <row r="312" spans="1:5" x14ac:dyDescent="0.35">
      <c r="A312" t="s">
        <v>2277</v>
      </c>
      <c r="B312" t="s">
        <v>2276</v>
      </c>
      <c r="C312" s="9" t="s">
        <v>2278</v>
      </c>
      <c r="D31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269.08363012268137</v>
      </c>
      <c r="E312" t="str">
        <f>Table1[[#This Row],[Color Code]] &amp; " - " &amp;Table1[[#This Row],[Color Name]]</f>
        <v>8P2585 - ROSENBERG</v>
      </c>
    </row>
    <row r="313" spans="1:5" x14ac:dyDescent="0.35">
      <c r="A313" t="s">
        <v>2044</v>
      </c>
      <c r="B313" t="s">
        <v>2043</v>
      </c>
      <c r="C313" s="9" t="s">
        <v>2045</v>
      </c>
      <c r="D31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269.12079072416532</v>
      </c>
      <c r="E313" t="str">
        <f>Table1[[#This Row],[Color Code]] &amp; " - " &amp;Table1[[#This Row],[Color Name]]</f>
        <v>8P0197 - SNOW DRIFT</v>
      </c>
    </row>
    <row r="314" spans="1:5" x14ac:dyDescent="0.35">
      <c r="A314" t="s">
        <v>2158</v>
      </c>
      <c r="B314" t="s">
        <v>2157</v>
      </c>
      <c r="C314" s="9" t="s">
        <v>2159</v>
      </c>
      <c r="D31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269.16537667389542</v>
      </c>
      <c r="E314" t="str">
        <f>Table1[[#This Row],[Color Code]] &amp; " - " &amp;Table1[[#This Row],[Color Name]]</f>
        <v>8P1761 - GREEK GODDESS</v>
      </c>
    </row>
    <row r="315" spans="1:5" x14ac:dyDescent="0.35">
      <c r="A315" t="s">
        <v>1105</v>
      </c>
      <c r="B315" t="s">
        <v>1104</v>
      </c>
      <c r="C315" s="9" t="s">
        <v>1770</v>
      </c>
      <c r="D31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269.1858094328154</v>
      </c>
      <c r="E315" t="str">
        <f>Table1[[#This Row],[Color Code]] &amp; " - " &amp;Table1[[#This Row],[Color Name]]</f>
        <v>6P1426 - PINK CONFECTION</v>
      </c>
    </row>
    <row r="316" spans="1:5" x14ac:dyDescent="0.35">
      <c r="A316" t="s">
        <v>1131</v>
      </c>
      <c r="B316" t="s">
        <v>1130</v>
      </c>
      <c r="C316" s="9" t="s">
        <v>1783</v>
      </c>
      <c r="D31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269.25266943894911</v>
      </c>
      <c r="E316" t="str">
        <f>Table1[[#This Row],[Color Code]] &amp; " - " &amp;Table1[[#This Row],[Color Name]]</f>
        <v>6P2299 - TWILIGHT DREAMS</v>
      </c>
    </row>
    <row r="317" spans="1:5" x14ac:dyDescent="0.35">
      <c r="A317" t="s">
        <v>1269</v>
      </c>
      <c r="B317" t="s">
        <v>1268</v>
      </c>
      <c r="C317" s="9" t="s">
        <v>1852</v>
      </c>
      <c r="D31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269.25452642434817</v>
      </c>
      <c r="E317" t="str">
        <f>Table1[[#This Row],[Color Code]] &amp; " - " &amp;Table1[[#This Row],[Color Name]]</f>
        <v>7P1514 - THINK SPRING</v>
      </c>
    </row>
    <row r="318" spans="1:5" x14ac:dyDescent="0.35">
      <c r="A318" t="s">
        <v>919</v>
      </c>
      <c r="B318" t="s">
        <v>918</v>
      </c>
      <c r="C318" s="9" t="s">
        <v>1677</v>
      </c>
      <c r="D31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269.26009730370373</v>
      </c>
      <c r="E318" t="str">
        <f>Table1[[#This Row],[Color Code]] &amp; " - " &amp;Table1[[#This Row],[Color Name]]</f>
        <v>5P1074 - IT'S A BOY</v>
      </c>
    </row>
    <row r="319" spans="1:5" x14ac:dyDescent="0.35">
      <c r="A319" t="s">
        <v>276</v>
      </c>
      <c r="B319" t="s">
        <v>277</v>
      </c>
      <c r="C319" s="9" t="s">
        <v>1357</v>
      </c>
      <c r="D31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269.29537686339881</v>
      </c>
      <c r="E319" t="str">
        <f>Table1[[#This Row],[Color Code]] &amp; " - " &amp;Table1[[#This Row],[Color Name]]</f>
        <v>2P0610 - BLUSH BEIGE</v>
      </c>
    </row>
    <row r="320" spans="1:5" x14ac:dyDescent="0.35">
      <c r="A320" t="s">
        <v>670</v>
      </c>
      <c r="B320" t="s">
        <v>671</v>
      </c>
      <c r="C320" s="9" t="s">
        <v>1553</v>
      </c>
      <c r="D32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269.66275234077102</v>
      </c>
      <c r="E320" t="str">
        <f>Table1[[#This Row],[Color Code]] &amp; " - " &amp;Table1[[#This Row],[Color Name]]</f>
        <v>4P0922 - SPRING AHEAD</v>
      </c>
    </row>
    <row r="321" spans="1:5" x14ac:dyDescent="0.35">
      <c r="A321" t="s">
        <v>1203</v>
      </c>
      <c r="B321" t="s">
        <v>1202</v>
      </c>
      <c r="C321" s="9" t="s">
        <v>1819</v>
      </c>
      <c r="D32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269.71281022598833</v>
      </c>
      <c r="E321" t="str">
        <f>Table1[[#This Row],[Color Code]] &amp; " - " &amp;Table1[[#This Row],[Color Name]]</f>
        <v>7P0181 - DUSTRY ROSE TINT</v>
      </c>
    </row>
    <row r="322" spans="1:5" x14ac:dyDescent="0.35">
      <c r="A322" t="s">
        <v>545</v>
      </c>
      <c r="B322" t="s">
        <v>544</v>
      </c>
      <c r="C322" s="9" t="s">
        <v>1490</v>
      </c>
      <c r="D32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270.13700227847352</v>
      </c>
      <c r="E322" t="str">
        <f>Table1[[#This Row],[Color Code]] &amp; " - " &amp;Table1[[#This Row],[Color Name]]</f>
        <v>3T0859 - SPRING ASPARAGUS</v>
      </c>
    </row>
    <row r="323" spans="1:5" x14ac:dyDescent="0.35">
      <c r="A323" t="s">
        <v>2360</v>
      </c>
      <c r="B323" t="s">
        <v>2359</v>
      </c>
      <c r="C323" s="9" t="s">
        <v>2361</v>
      </c>
      <c r="D32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270.21102864242977</v>
      </c>
      <c r="E323" t="str">
        <f>Table1[[#This Row],[Color Code]] &amp; " - " &amp;Table1[[#This Row],[Color Name]]</f>
        <v>8P2722 - WORK BENCH</v>
      </c>
    </row>
    <row r="324" spans="1:5" x14ac:dyDescent="0.35">
      <c r="A324" t="s">
        <v>1013</v>
      </c>
      <c r="B324" t="s">
        <v>1012</v>
      </c>
      <c r="C324" s="9" t="s">
        <v>1724</v>
      </c>
      <c r="D32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270.50693151932353</v>
      </c>
      <c r="E324" t="str">
        <f>Table1[[#This Row],[Color Code]] &amp; " - " &amp;Table1[[#This Row],[Color Name]]</f>
        <v>6P1218 - ROMANIA</v>
      </c>
    </row>
    <row r="325" spans="1:5" x14ac:dyDescent="0.35">
      <c r="A325" t="s">
        <v>795</v>
      </c>
      <c r="B325" t="s">
        <v>794</v>
      </c>
      <c r="C325" s="9" t="s">
        <v>1615</v>
      </c>
      <c r="D32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270.56422527747458</v>
      </c>
      <c r="E325" t="str">
        <f>Table1[[#This Row],[Color Code]] &amp; " - " &amp;Table1[[#This Row],[Color Name]]</f>
        <v>4P2210 - ENDEARING TOUCH</v>
      </c>
    </row>
    <row r="326" spans="1:5" x14ac:dyDescent="0.35">
      <c r="A326" t="s">
        <v>985</v>
      </c>
      <c r="B326" t="s">
        <v>984</v>
      </c>
      <c r="C326" s="9" t="s">
        <v>1710</v>
      </c>
      <c r="D32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270.6399822642619</v>
      </c>
      <c r="E326" t="str">
        <f>Table1[[#This Row],[Color Code]] &amp; " - " &amp;Table1[[#This Row],[Color Name]]</f>
        <v>6P0168 - ALLURE VIOLET</v>
      </c>
    </row>
    <row r="327" spans="1:5" x14ac:dyDescent="0.35">
      <c r="A327" t="s">
        <v>1031</v>
      </c>
      <c r="B327" t="s">
        <v>1030</v>
      </c>
      <c r="C327" s="9" t="s">
        <v>1733</v>
      </c>
      <c r="D32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270.69355367278325</v>
      </c>
      <c r="E327" t="str">
        <f>Table1[[#This Row],[Color Code]] &amp; " - " &amp;Table1[[#This Row],[Color Name]]</f>
        <v>6P1258 - SLIGHT NUANCE</v>
      </c>
    </row>
    <row r="328" spans="1:5" x14ac:dyDescent="0.35">
      <c r="A328" t="s">
        <v>616</v>
      </c>
      <c r="B328" t="s">
        <v>617</v>
      </c>
      <c r="C328" s="9" t="s">
        <v>1526</v>
      </c>
      <c r="D32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270.75819470516495</v>
      </c>
      <c r="E328" t="str">
        <f>Table1[[#This Row],[Color Code]] &amp; " - " &amp;Table1[[#This Row],[Color Name]]</f>
        <v>4P0101 - BERYL</v>
      </c>
    </row>
    <row r="329" spans="1:5" x14ac:dyDescent="0.35">
      <c r="A329" t="s">
        <v>2119</v>
      </c>
      <c r="B329" t="s">
        <v>2118</v>
      </c>
      <c r="C329" s="9" t="s">
        <v>2120</v>
      </c>
      <c r="D32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270.78589328102009</v>
      </c>
      <c r="E329" t="str">
        <f>Table1[[#This Row],[Color Code]] &amp; " - " &amp;Table1[[#This Row],[Color Name]]</f>
        <v>8P1706 - PICKET FENCE</v>
      </c>
    </row>
    <row r="330" spans="1:5" x14ac:dyDescent="0.35">
      <c r="A330" t="s">
        <v>851</v>
      </c>
      <c r="B330" t="s">
        <v>850</v>
      </c>
      <c r="C330" s="9" t="s">
        <v>1643</v>
      </c>
      <c r="D33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270.89850497926341</v>
      </c>
      <c r="E330" t="str">
        <f>Table1[[#This Row],[Color Code]] &amp; " - " &amp;Table1[[#This Row],[Color Name]]</f>
        <v>5P0131 - TROPIC BREEZE</v>
      </c>
    </row>
    <row r="331" spans="1:5" x14ac:dyDescent="0.35">
      <c r="A331" t="s">
        <v>1996</v>
      </c>
      <c r="B331" t="s">
        <v>1995</v>
      </c>
      <c r="C331" s="9" t="s">
        <v>1997</v>
      </c>
      <c r="D33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271.01475974566404</v>
      </c>
      <c r="E331" t="str">
        <f>Table1[[#This Row],[Color Code]] &amp; " - " &amp;Table1[[#This Row],[Color Name]]</f>
        <v>7P2465 - MACADEMIA ROLL</v>
      </c>
    </row>
    <row r="332" spans="1:5" x14ac:dyDescent="0.35">
      <c r="A332" t="s">
        <v>551</v>
      </c>
      <c r="B332" t="s">
        <v>550</v>
      </c>
      <c r="C332" s="9" t="s">
        <v>1493</v>
      </c>
      <c r="D33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271.02951868754076</v>
      </c>
      <c r="E332" t="str">
        <f>Table1[[#This Row],[Color Code]] &amp; " - " &amp;Table1[[#This Row],[Color Name]]</f>
        <v>3T0867 - SPRING WELCOME</v>
      </c>
    </row>
    <row r="333" spans="1:5" x14ac:dyDescent="0.35">
      <c r="A333" t="s">
        <v>1047</v>
      </c>
      <c r="B333" t="s">
        <v>1046</v>
      </c>
      <c r="C333" s="9" t="s">
        <v>1741</v>
      </c>
      <c r="D33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271.10145702301196</v>
      </c>
      <c r="E333" t="str">
        <f>Table1[[#This Row],[Color Code]] &amp; " - " &amp;Table1[[#This Row],[Color Name]]</f>
        <v>6P1290 - LAVENDER FROST</v>
      </c>
    </row>
    <row r="334" spans="1:5" x14ac:dyDescent="0.35">
      <c r="A334" t="s">
        <v>248</v>
      </c>
      <c r="B334" t="s">
        <v>249</v>
      </c>
      <c r="C334" s="9" t="s">
        <v>1343</v>
      </c>
      <c r="D33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271.14756130195974</v>
      </c>
      <c r="E334" t="str">
        <f>Table1[[#This Row],[Color Code]] &amp; " - " &amp;Table1[[#This Row],[Color Name]]</f>
        <v>2P0043 - ANTIQUE IVORY</v>
      </c>
    </row>
    <row r="335" spans="1:5" x14ac:dyDescent="0.35">
      <c r="A335" t="s">
        <v>951</v>
      </c>
      <c r="B335" t="s">
        <v>950</v>
      </c>
      <c r="C335" s="9" t="s">
        <v>1693</v>
      </c>
      <c r="D33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271.16968857156581</v>
      </c>
      <c r="E335" t="str">
        <f>Table1[[#This Row],[Color Code]] &amp; " - " &amp;Table1[[#This Row],[Color Name]]</f>
        <v>5P1162 - CLEAR BLUE</v>
      </c>
    </row>
    <row r="336" spans="1:5" x14ac:dyDescent="0.35">
      <c r="A336" t="s">
        <v>642</v>
      </c>
      <c r="B336" t="s">
        <v>643</v>
      </c>
      <c r="C336" s="9" t="s">
        <v>1539</v>
      </c>
      <c r="D33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271.17706392687415</v>
      </c>
      <c r="E336" t="str">
        <f>Table1[[#This Row],[Color Code]] &amp; " - " &amp;Table1[[#This Row],[Color Name]]</f>
        <v>4P0116 - AQUA MOON</v>
      </c>
    </row>
    <row r="337" spans="1:5" x14ac:dyDescent="0.35">
      <c r="A337" t="s">
        <v>917</v>
      </c>
      <c r="B337" t="s">
        <v>916</v>
      </c>
      <c r="C337" s="9" t="s">
        <v>1676</v>
      </c>
      <c r="D33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271.23790295605812</v>
      </c>
      <c r="E337" t="str">
        <f>Table1[[#This Row],[Color Code]] &amp; " - " &amp;Table1[[#This Row],[Color Name]]</f>
        <v>5P1065 - IT'S CLEAR TO SEE</v>
      </c>
    </row>
    <row r="338" spans="1:5" x14ac:dyDescent="0.35">
      <c r="A338" t="s">
        <v>1301</v>
      </c>
      <c r="B338" t="s">
        <v>1300</v>
      </c>
      <c r="C338" s="9" t="s">
        <v>1867</v>
      </c>
      <c r="D33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271.26555254952666</v>
      </c>
      <c r="E338" t="str">
        <f>Table1[[#This Row],[Color Code]] &amp; " - " &amp;Table1[[#This Row],[Color Name]]</f>
        <v>7P1594 - ANTIQUA</v>
      </c>
    </row>
    <row r="339" spans="1:5" x14ac:dyDescent="0.35">
      <c r="A339" t="s">
        <v>939</v>
      </c>
      <c r="B339" t="s">
        <v>938</v>
      </c>
      <c r="C339" s="9" t="s">
        <v>1687</v>
      </c>
      <c r="D33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271.35585492117173</v>
      </c>
      <c r="E339" t="str">
        <f>Table1[[#This Row],[Color Code]] &amp; " - " &amp;Table1[[#This Row],[Color Name]]</f>
        <v>5P1130 - GULL LAKE</v>
      </c>
    </row>
    <row r="340" spans="1:5" x14ac:dyDescent="0.35">
      <c r="A340" t="s">
        <v>2363</v>
      </c>
      <c r="B340" t="s">
        <v>2362</v>
      </c>
      <c r="C340" s="9" t="s">
        <v>2364</v>
      </c>
      <c r="D34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271.36322521668262</v>
      </c>
      <c r="E340" t="str">
        <f>Table1[[#This Row],[Color Code]] &amp; " - " &amp;Table1[[#This Row],[Color Name]]</f>
        <v>8P2729 - QUIET DAY</v>
      </c>
    </row>
    <row r="341" spans="1:5" x14ac:dyDescent="0.35">
      <c r="A341" t="s">
        <v>2351</v>
      </c>
      <c r="B341" t="s">
        <v>2350</v>
      </c>
      <c r="C341" s="9" t="s">
        <v>2352</v>
      </c>
      <c r="D34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271.47375563763063</v>
      </c>
      <c r="E341" t="str">
        <f>Table1[[#This Row],[Color Code]] &amp; " - " &amp;Table1[[#This Row],[Color Name]]</f>
        <v>8P2713 - WOOLLEN</v>
      </c>
    </row>
    <row r="342" spans="1:5" x14ac:dyDescent="0.35">
      <c r="A342" t="s">
        <v>2375</v>
      </c>
      <c r="B342" t="s">
        <v>2374</v>
      </c>
      <c r="C342" s="9" t="s">
        <v>2376</v>
      </c>
      <c r="D34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271.49217299951761</v>
      </c>
      <c r="E342" t="str">
        <f>Table1[[#This Row],[Color Code]] &amp; " - " &amp;Table1[[#This Row],[Color Name]]</f>
        <v>8P2743 - MILKY OFF-WHITE</v>
      </c>
    </row>
    <row r="343" spans="1:5" x14ac:dyDescent="0.35">
      <c r="A343" t="s">
        <v>80</v>
      </c>
      <c r="B343" t="s">
        <v>81</v>
      </c>
      <c r="C343" s="9" t="s">
        <v>187</v>
      </c>
      <c r="D34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271.55478268666161</v>
      </c>
      <c r="E343" t="str">
        <f>Table1[[#This Row],[Color Code]] &amp; " - " &amp;Table1[[#This Row],[Color Name]]</f>
        <v>1P0020 - COTTON PINK</v>
      </c>
    </row>
    <row r="344" spans="1:5" x14ac:dyDescent="0.35">
      <c r="A344" t="s">
        <v>1309</v>
      </c>
      <c r="B344" t="s">
        <v>1308</v>
      </c>
      <c r="C344" s="9" t="s">
        <v>1871</v>
      </c>
      <c r="D34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271.60817366198683</v>
      </c>
      <c r="E344" t="str">
        <f>Table1[[#This Row],[Color Code]] &amp; " - " &amp;Table1[[#This Row],[Color Name]]</f>
        <v>7P1610 - SANDHURST</v>
      </c>
    </row>
    <row r="345" spans="1:5" x14ac:dyDescent="0.35">
      <c r="A345" t="s">
        <v>2342</v>
      </c>
      <c r="B345" t="s">
        <v>2341</v>
      </c>
      <c r="C345" s="9" t="s">
        <v>2343</v>
      </c>
      <c r="D34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271.65419194262398</v>
      </c>
      <c r="E345" t="str">
        <f>Table1[[#This Row],[Color Code]] &amp; " - " &amp;Table1[[#This Row],[Color Name]]</f>
        <v>8P2698 - TUXE WHITE</v>
      </c>
    </row>
    <row r="346" spans="1:5" x14ac:dyDescent="0.35">
      <c r="A346" t="s">
        <v>506</v>
      </c>
      <c r="B346" t="s">
        <v>507</v>
      </c>
      <c r="C346" s="9" t="s">
        <v>1471</v>
      </c>
      <c r="D34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271.85474062447395</v>
      </c>
      <c r="E346" t="str">
        <f>Table1[[#This Row],[Color Code]] &amp; " - " &amp;Table1[[#This Row],[Color Name]]</f>
        <v>3T0739 - YELLOW HAZE</v>
      </c>
    </row>
    <row r="347" spans="1:5" x14ac:dyDescent="0.35">
      <c r="A347" t="s">
        <v>1027</v>
      </c>
      <c r="B347" t="s">
        <v>1026</v>
      </c>
      <c r="C347" s="9" t="s">
        <v>1731</v>
      </c>
      <c r="D34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271.92646064699181</v>
      </c>
      <c r="E347" t="str">
        <f>Table1[[#This Row],[Color Code]] &amp; " - " &amp;Table1[[#This Row],[Color Name]]</f>
        <v>6P1250 - LITTLE GRAPETTE</v>
      </c>
    </row>
    <row r="348" spans="1:5" x14ac:dyDescent="0.35">
      <c r="A348" t="s">
        <v>1939</v>
      </c>
      <c r="B348" t="s">
        <v>1938</v>
      </c>
      <c r="C348" s="9" t="s">
        <v>1940</v>
      </c>
      <c r="D34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271.93197678831376</v>
      </c>
      <c r="E348" t="str">
        <f>Table1[[#This Row],[Color Code]] &amp; " - " &amp;Table1[[#This Row],[Color Name]]</f>
        <v>7P1954 - SOFT SONATA</v>
      </c>
    </row>
    <row r="349" spans="1:5" x14ac:dyDescent="0.35">
      <c r="A349" t="s">
        <v>90</v>
      </c>
      <c r="B349" t="s">
        <v>91</v>
      </c>
      <c r="C349" s="9" t="s">
        <v>192</v>
      </c>
      <c r="D34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271.99080866823425</v>
      </c>
      <c r="E349" t="str">
        <f>Table1[[#This Row],[Color Code]] &amp; " - " &amp;Table1[[#This Row],[Color Name]]</f>
        <v>1P0026 - TWILIGHT HUSH</v>
      </c>
    </row>
    <row r="350" spans="1:5" x14ac:dyDescent="0.35">
      <c r="A350" t="s">
        <v>286</v>
      </c>
      <c r="B350" t="s">
        <v>287</v>
      </c>
      <c r="C350" s="9" t="s">
        <v>1362</v>
      </c>
      <c r="D35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272.04595200076034</v>
      </c>
      <c r="E350" t="str">
        <f>Table1[[#This Row],[Color Code]] &amp; " - " &amp;Table1[[#This Row],[Color Name]]</f>
        <v>2P0698 - ALMOND BISCOTTI</v>
      </c>
    </row>
    <row r="351" spans="1:5" x14ac:dyDescent="0.35">
      <c r="A351" t="s">
        <v>2086</v>
      </c>
      <c r="B351" t="s">
        <v>2085</v>
      </c>
      <c r="C351" s="9" t="s">
        <v>2087</v>
      </c>
      <c r="D35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272.18743541905087</v>
      </c>
      <c r="E351" t="str">
        <f>Table1[[#This Row],[Color Code]] &amp; " - " &amp;Table1[[#This Row],[Color Name]]</f>
        <v>8P0212 - FRESH DEW</v>
      </c>
    </row>
    <row r="352" spans="1:5" x14ac:dyDescent="0.35">
      <c r="A352" t="s">
        <v>541</v>
      </c>
      <c r="B352" t="s">
        <v>540</v>
      </c>
      <c r="C352" s="9" t="s">
        <v>1488</v>
      </c>
      <c r="D35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272.20213077784678</v>
      </c>
      <c r="E352" t="str">
        <f>Table1[[#This Row],[Color Code]] &amp; " - " &amp;Table1[[#This Row],[Color Name]]</f>
        <v>3T0851 - MINT LEAF</v>
      </c>
    </row>
    <row r="353" spans="1:5" x14ac:dyDescent="0.35">
      <c r="A353" t="s">
        <v>1277</v>
      </c>
      <c r="B353" t="s">
        <v>1276</v>
      </c>
      <c r="C353" s="9" t="s">
        <v>1856</v>
      </c>
      <c r="D35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272.26641364663396</v>
      </c>
      <c r="E353" t="str">
        <f>Table1[[#This Row],[Color Code]] &amp; " - " &amp;Table1[[#This Row],[Color Name]]</f>
        <v>7P1538 - CLOUD OF DUST</v>
      </c>
    </row>
    <row r="354" spans="1:5" x14ac:dyDescent="0.35">
      <c r="A354" t="s">
        <v>402</v>
      </c>
      <c r="B354" t="s">
        <v>403</v>
      </c>
      <c r="C354" s="9" t="s">
        <v>1420</v>
      </c>
      <c r="D35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272.29946749856123</v>
      </c>
      <c r="E354" t="str">
        <f>Table1[[#This Row],[Color Code]] &amp; " - " &amp;Table1[[#This Row],[Color Name]]</f>
        <v>3P0087 - LEMON LIME</v>
      </c>
    </row>
    <row r="355" spans="1:5" x14ac:dyDescent="0.35">
      <c r="A355" t="s">
        <v>1043</v>
      </c>
      <c r="B355" t="s">
        <v>1042</v>
      </c>
      <c r="C355" s="9" t="s">
        <v>1739</v>
      </c>
      <c r="D35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272.30497608380205</v>
      </c>
      <c r="E355" t="str">
        <f>Table1[[#This Row],[Color Code]] &amp; " - " &amp;Table1[[#This Row],[Color Name]]</f>
        <v>6P1282 - LADY FRIEND</v>
      </c>
    </row>
    <row r="356" spans="1:5" x14ac:dyDescent="0.35">
      <c r="A356" t="s">
        <v>1075</v>
      </c>
      <c r="B356" t="s">
        <v>1074</v>
      </c>
      <c r="C356" s="9" t="s">
        <v>1755</v>
      </c>
      <c r="D35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272.5087154569556</v>
      </c>
      <c r="E356" t="str">
        <f>Table1[[#This Row],[Color Code]] &amp; " - " &amp;Table1[[#This Row],[Color Name]]</f>
        <v>6P1362 - RASPBERRY WHISPER</v>
      </c>
    </row>
    <row r="357" spans="1:5" x14ac:dyDescent="0.35">
      <c r="A357" t="s">
        <v>899</v>
      </c>
      <c r="B357" t="s">
        <v>898</v>
      </c>
      <c r="C357" s="9" t="s">
        <v>1667</v>
      </c>
      <c r="D35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272.88275870783775</v>
      </c>
      <c r="E357" t="str">
        <f>Table1[[#This Row],[Color Code]] &amp; " - " &amp;Table1[[#This Row],[Color Name]]</f>
        <v>5P0289 - THE SKY'S THE LIMIT</v>
      </c>
    </row>
    <row r="358" spans="1:5" x14ac:dyDescent="0.35">
      <c r="A358" t="s">
        <v>1145</v>
      </c>
      <c r="B358" t="s">
        <v>1144</v>
      </c>
      <c r="C358" s="9" t="s">
        <v>1790</v>
      </c>
      <c r="D35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272.90657742165178</v>
      </c>
      <c r="E358" t="str">
        <f>Table1[[#This Row],[Color Code]] &amp; " - " &amp;Table1[[#This Row],[Color Name]]</f>
        <v>6P2342 - LAUGHING LILAC</v>
      </c>
    </row>
    <row r="359" spans="1:5" x14ac:dyDescent="0.35">
      <c r="A359" t="s">
        <v>1289</v>
      </c>
      <c r="B359" t="s">
        <v>1288</v>
      </c>
      <c r="C359" s="9" t="s">
        <v>1862</v>
      </c>
      <c r="D35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272.97252609008109</v>
      </c>
      <c r="E359" t="str">
        <f>Table1[[#This Row],[Color Code]] &amp; " - " &amp;Table1[[#This Row],[Color Name]]</f>
        <v>7P1562 - VANILLA FROST</v>
      </c>
    </row>
    <row r="360" spans="1:5" x14ac:dyDescent="0.35">
      <c r="A360" t="s">
        <v>648</v>
      </c>
      <c r="B360" t="s">
        <v>649</v>
      </c>
      <c r="C360" s="9" t="s">
        <v>1542</v>
      </c>
      <c r="D36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273.02747114530433</v>
      </c>
      <c r="E360" t="str">
        <f>Table1[[#This Row],[Color Code]] &amp; " - " &amp;Table1[[#This Row],[Color Name]]</f>
        <v>4P0119 - CLEARLY COOL</v>
      </c>
    </row>
    <row r="361" spans="1:5" x14ac:dyDescent="0.35">
      <c r="A361" t="s">
        <v>1913</v>
      </c>
      <c r="B361" t="s">
        <v>1912</v>
      </c>
      <c r="C361" s="9" t="s">
        <v>1914</v>
      </c>
      <c r="D36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273.08789793764203</v>
      </c>
      <c r="E361" t="str">
        <f>Table1[[#This Row],[Color Code]] &amp; " - " &amp;Table1[[#This Row],[Color Name]]</f>
        <v>7P1945 - HAVE FAITH</v>
      </c>
    </row>
    <row r="362" spans="1:5" x14ac:dyDescent="0.35">
      <c r="A362" t="s">
        <v>1071</v>
      </c>
      <c r="B362" t="s">
        <v>1070</v>
      </c>
      <c r="C362" s="9" t="s">
        <v>1753</v>
      </c>
      <c r="D36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273.09705234586477</v>
      </c>
      <c r="E362" t="str">
        <f>Table1[[#This Row],[Color Code]] &amp; " - " &amp;Table1[[#This Row],[Color Name]]</f>
        <v>6P1354 - CHERUB CHOIR</v>
      </c>
    </row>
    <row r="363" spans="1:5" x14ac:dyDescent="0.35">
      <c r="A363" t="s">
        <v>518</v>
      </c>
      <c r="B363" t="s">
        <v>519</v>
      </c>
      <c r="C363" s="9" t="s">
        <v>1477</v>
      </c>
      <c r="D36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273.17393726342198</v>
      </c>
      <c r="E363" t="str">
        <f>Table1[[#This Row],[Color Code]] &amp; " - " &amp;Table1[[#This Row],[Color Name]]</f>
        <v>3T0764 - SUNSWEPT</v>
      </c>
    </row>
    <row r="364" spans="1:5" x14ac:dyDescent="0.35">
      <c r="A364" t="s">
        <v>620</v>
      </c>
      <c r="B364" t="s">
        <v>621</v>
      </c>
      <c r="C364" s="9" t="s">
        <v>1528</v>
      </c>
      <c r="D36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273.18308878845335</v>
      </c>
      <c r="E364" t="str">
        <f>Table1[[#This Row],[Color Code]] &amp; " - " &amp;Table1[[#This Row],[Color Name]]</f>
        <v>4P0103 - PORCELAIN</v>
      </c>
    </row>
    <row r="365" spans="1:5" x14ac:dyDescent="0.35">
      <c r="A365" t="s">
        <v>799</v>
      </c>
      <c r="B365" t="s">
        <v>798</v>
      </c>
      <c r="C365" s="9" t="s">
        <v>1617</v>
      </c>
      <c r="D36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273.19040978775223</v>
      </c>
      <c r="E365" t="str">
        <f>Table1[[#This Row],[Color Code]] &amp; " - " &amp;Table1[[#This Row],[Color Name]]</f>
        <v>4P2217 - GARDEN WALL</v>
      </c>
    </row>
    <row r="366" spans="1:5" x14ac:dyDescent="0.35">
      <c r="A366" t="s">
        <v>1001</v>
      </c>
      <c r="B366" t="s">
        <v>1000</v>
      </c>
      <c r="C366" s="9" t="s">
        <v>1718</v>
      </c>
      <c r="D36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273.21420168065936</v>
      </c>
      <c r="E366" t="str">
        <f>Table1[[#This Row],[Color Code]] &amp; " - " &amp;Table1[[#This Row],[Color Name]]</f>
        <v>6P0176 - CHENILLE PINK</v>
      </c>
    </row>
    <row r="367" spans="1:5" x14ac:dyDescent="0.35">
      <c r="A367" t="s">
        <v>1019</v>
      </c>
      <c r="B367" t="s">
        <v>1018</v>
      </c>
      <c r="C367" s="9" t="s">
        <v>1727</v>
      </c>
      <c r="D36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273.25628995505298</v>
      </c>
      <c r="E367" t="str">
        <f>Table1[[#This Row],[Color Code]] &amp; " - " &amp;Table1[[#This Row],[Color Name]]</f>
        <v>6P1234 - DUSTY LILAC</v>
      </c>
    </row>
    <row r="368" spans="1:5" x14ac:dyDescent="0.35">
      <c r="A368" t="s">
        <v>1055</v>
      </c>
      <c r="B368" t="s">
        <v>1054</v>
      </c>
      <c r="C368" s="9" t="s">
        <v>1745</v>
      </c>
      <c r="D36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273.27641683833605</v>
      </c>
      <c r="E368" t="str">
        <f>Table1[[#This Row],[Color Code]] &amp; " - " &amp;Table1[[#This Row],[Color Name]]</f>
        <v>6P1306 - HAPPY EASTER</v>
      </c>
    </row>
    <row r="369" spans="1:5" x14ac:dyDescent="0.35">
      <c r="A369" t="s">
        <v>1117</v>
      </c>
      <c r="B369" t="s">
        <v>1116</v>
      </c>
      <c r="C369" s="9" t="s">
        <v>1776</v>
      </c>
      <c r="D36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273.29471271870591</v>
      </c>
      <c r="E369" t="str">
        <f>Table1[[#This Row],[Color Code]] &amp; " - " &amp;Table1[[#This Row],[Color Name]]</f>
        <v>6P1895 - LOVELY HORIZON</v>
      </c>
    </row>
    <row r="370" spans="1:5" x14ac:dyDescent="0.35">
      <c r="A370" t="s">
        <v>66</v>
      </c>
      <c r="B370" t="s">
        <v>67</v>
      </c>
      <c r="C370" s="9" t="s">
        <v>180</v>
      </c>
      <c r="D37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273.41177736154674</v>
      </c>
      <c r="E370" t="str">
        <f>Table1[[#This Row],[Color Code]] &amp; " - " &amp;Table1[[#This Row],[Color Name]]</f>
        <v>1P0007 - WINSOME</v>
      </c>
    </row>
    <row r="371" spans="1:5" x14ac:dyDescent="0.35">
      <c r="A371" t="s">
        <v>120</v>
      </c>
      <c r="B371" t="s">
        <v>121</v>
      </c>
      <c r="C371" s="9" t="s">
        <v>207</v>
      </c>
      <c r="D37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273.42640691783959</v>
      </c>
      <c r="E371" t="str">
        <f>Table1[[#This Row],[Color Code]] &amp; " - " &amp;Table1[[#This Row],[Color Name]]</f>
        <v>1P0434 - PINKEST PINK</v>
      </c>
    </row>
    <row r="372" spans="1:5" x14ac:dyDescent="0.35">
      <c r="A372" t="s">
        <v>1023</v>
      </c>
      <c r="B372" t="s">
        <v>1022</v>
      </c>
      <c r="C372" s="9" t="s">
        <v>1729</v>
      </c>
      <c r="D37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273.49954296122689</v>
      </c>
      <c r="E372" t="str">
        <f>Table1[[#This Row],[Color Code]] &amp; " - " &amp;Table1[[#This Row],[Color Name]]</f>
        <v>6P1242 - PEONY PLACE</v>
      </c>
    </row>
    <row r="373" spans="1:5" x14ac:dyDescent="0.35">
      <c r="A373" t="s">
        <v>146</v>
      </c>
      <c r="B373" t="s">
        <v>147</v>
      </c>
      <c r="C373" s="9" t="s">
        <v>220</v>
      </c>
      <c r="D37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273.54158733179861</v>
      </c>
      <c r="E373" t="str">
        <f>Table1[[#This Row],[Color Code]] &amp; " - " &amp;Table1[[#This Row],[Color Name]]</f>
        <v>1P0498 - PLEASANT PINK</v>
      </c>
    </row>
    <row r="374" spans="1:5" x14ac:dyDescent="0.35">
      <c r="A374" t="s">
        <v>482</v>
      </c>
      <c r="B374" t="s">
        <v>483</v>
      </c>
      <c r="C374" s="9" t="s">
        <v>1459</v>
      </c>
      <c r="D37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273.56900409220339</v>
      </c>
      <c r="E374" t="str">
        <f>Table1[[#This Row],[Color Code]] &amp; " - " &amp;Table1[[#This Row],[Color Name]]</f>
        <v>3P2069 - COCONUT CREAM</v>
      </c>
    </row>
    <row r="375" spans="1:5" x14ac:dyDescent="0.35">
      <c r="A375" t="s">
        <v>132</v>
      </c>
      <c r="B375" t="s">
        <v>133</v>
      </c>
      <c r="C375" s="9" t="s">
        <v>213</v>
      </c>
      <c r="D37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273.76997644007645</v>
      </c>
      <c r="E375" t="str">
        <f>Table1[[#This Row],[Color Code]] &amp; " - " &amp;Table1[[#This Row],[Color Name]]</f>
        <v>1P0466 - AZALEA BLOSSOM</v>
      </c>
    </row>
    <row r="376" spans="1:5" x14ac:dyDescent="0.35">
      <c r="A376" t="s">
        <v>282</v>
      </c>
      <c r="B376" t="s">
        <v>283</v>
      </c>
      <c r="C376" s="9" t="s">
        <v>1360</v>
      </c>
      <c r="D37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273.79006556118867</v>
      </c>
      <c r="E376" t="str">
        <f>Table1[[#This Row],[Color Code]] &amp; " - " &amp;Table1[[#This Row],[Color Name]]</f>
        <v>2P0674 - SANDS OF TIME</v>
      </c>
    </row>
    <row r="377" spans="1:5" x14ac:dyDescent="0.35">
      <c r="A377" t="s">
        <v>2041</v>
      </c>
      <c r="B377" t="s">
        <v>2040</v>
      </c>
      <c r="C377" s="9" t="s">
        <v>2042</v>
      </c>
      <c r="D37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273.8722329846529</v>
      </c>
      <c r="E377" t="str">
        <f>Table1[[#This Row],[Color Code]] &amp; " - " &amp;Table1[[#This Row],[Color Name]]</f>
        <v>8P0196 - SWEET SULTANA</v>
      </c>
    </row>
    <row r="378" spans="1:5" x14ac:dyDescent="0.35">
      <c r="A378" t="s">
        <v>2221</v>
      </c>
      <c r="B378" t="s">
        <v>2220</v>
      </c>
      <c r="C378" s="9" t="s">
        <v>2042</v>
      </c>
      <c r="D37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273.8722329846529</v>
      </c>
      <c r="E378" t="str">
        <f>Table1[[#This Row],[Color Code]] &amp; " - " &amp;Table1[[#This Row],[Color Name]]</f>
        <v>8P1959 - FLYING SEAGULL</v>
      </c>
    </row>
    <row r="379" spans="1:5" x14ac:dyDescent="0.35">
      <c r="A379" t="s">
        <v>1035</v>
      </c>
      <c r="B379" t="s">
        <v>1034</v>
      </c>
      <c r="C379" s="9" t="s">
        <v>1735</v>
      </c>
      <c r="D37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273.943424816147</v>
      </c>
      <c r="E379" t="str">
        <f>Table1[[#This Row],[Color Code]] &amp; " - " &amp;Table1[[#This Row],[Color Name]]</f>
        <v>6P1266 - VANISHING VIOLET</v>
      </c>
    </row>
    <row r="380" spans="1:5" x14ac:dyDescent="0.35">
      <c r="A380" t="s">
        <v>1243</v>
      </c>
      <c r="B380" t="s">
        <v>1242</v>
      </c>
      <c r="C380" s="9" t="s">
        <v>1839</v>
      </c>
      <c r="D38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273.95072549639286</v>
      </c>
      <c r="E380" t="str">
        <f>Table1[[#This Row],[Color Code]] &amp; " - " &amp;Table1[[#This Row],[Color Name]]</f>
        <v>7P1465 - GREEN FILLER</v>
      </c>
    </row>
    <row r="381" spans="1:5" x14ac:dyDescent="0.35">
      <c r="A381" t="s">
        <v>702</v>
      </c>
      <c r="B381" t="s">
        <v>703</v>
      </c>
      <c r="C381" s="9" t="s">
        <v>1569</v>
      </c>
      <c r="D38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273.95255063605447</v>
      </c>
      <c r="E381" t="str">
        <f>Table1[[#This Row],[Color Code]] &amp; " - " &amp;Table1[[#This Row],[Color Name]]</f>
        <v>4P1017 - SPRING BOUNTY</v>
      </c>
    </row>
    <row r="382" spans="1:5" x14ac:dyDescent="0.35">
      <c r="A382" t="s">
        <v>963</v>
      </c>
      <c r="B382" t="s">
        <v>962</v>
      </c>
      <c r="C382" s="9" t="s">
        <v>1699</v>
      </c>
      <c r="D38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274.0912256895503</v>
      </c>
      <c r="E382" t="str">
        <f>Table1[[#This Row],[Color Code]] &amp; " - " &amp;Table1[[#This Row],[Color Name]]</f>
        <v>6P0157 - PALE PHLOX</v>
      </c>
    </row>
    <row r="383" spans="1:5" x14ac:dyDescent="0.35">
      <c r="A383" t="s">
        <v>1237</v>
      </c>
      <c r="B383" t="s">
        <v>1236</v>
      </c>
      <c r="C383" s="9" t="s">
        <v>1836</v>
      </c>
      <c r="D38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274.09487408559835</v>
      </c>
      <c r="E383" t="str">
        <f>Table1[[#This Row],[Color Code]] &amp; " - " &amp;Table1[[#This Row],[Color Name]]</f>
        <v>7P1449 - SPRING BANQUET</v>
      </c>
    </row>
    <row r="384" spans="1:5" x14ac:dyDescent="0.35">
      <c r="A384" t="s">
        <v>1141</v>
      </c>
      <c r="B384" t="s">
        <v>1140</v>
      </c>
      <c r="C384" s="9" t="s">
        <v>1788</v>
      </c>
      <c r="D38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274.11129126688672</v>
      </c>
      <c r="E384" t="str">
        <f>Table1[[#This Row],[Color Code]] &amp; " - " &amp;Table1[[#This Row],[Color Name]]</f>
        <v>6P2326 - VIOLET RAYS</v>
      </c>
    </row>
    <row r="385" spans="1:5" x14ac:dyDescent="0.35">
      <c r="A385" t="s">
        <v>1323</v>
      </c>
      <c r="B385" t="s">
        <v>1322</v>
      </c>
      <c r="C385" s="9" t="s">
        <v>1878</v>
      </c>
      <c r="D38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274.20065645435642</v>
      </c>
      <c r="E385" t="str">
        <f>Table1[[#This Row],[Color Code]] &amp; " - " &amp;Table1[[#This Row],[Color Name]]</f>
        <v>7P1641 - PRETTIEST PALE</v>
      </c>
    </row>
    <row r="386" spans="1:5" x14ac:dyDescent="0.35">
      <c r="A386" t="s">
        <v>468</v>
      </c>
      <c r="B386" t="s">
        <v>469</v>
      </c>
      <c r="C386" s="9" t="s">
        <v>1452</v>
      </c>
      <c r="D38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274.20430339438514</v>
      </c>
      <c r="E386" t="str">
        <f>Table1[[#This Row],[Color Code]] &amp; " - " &amp;Table1[[#This Row],[Color Name]]</f>
        <v>3P1875 - FRESHEN UP</v>
      </c>
    </row>
    <row r="387" spans="1:5" x14ac:dyDescent="0.35">
      <c r="A387" t="s">
        <v>2241</v>
      </c>
      <c r="B387" t="s">
        <v>2240</v>
      </c>
      <c r="C387" s="9" t="s">
        <v>2242</v>
      </c>
      <c r="D38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274.29363827839683</v>
      </c>
      <c r="E387" t="str">
        <f>Table1[[#This Row],[Color Code]] &amp; " - " &amp;Table1[[#This Row],[Color Name]]</f>
        <v>8P2536 - ANGELIC</v>
      </c>
    </row>
    <row r="388" spans="1:5" x14ac:dyDescent="0.35">
      <c r="A388" t="s">
        <v>2247</v>
      </c>
      <c r="B388" t="s">
        <v>2246</v>
      </c>
      <c r="C388" s="9" t="s">
        <v>2248</v>
      </c>
      <c r="D38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274.33738352619753</v>
      </c>
      <c r="E388" t="str">
        <f>Table1[[#This Row],[Color Code]] &amp; " - " &amp;Table1[[#This Row],[Color Name]]</f>
        <v>8P2542 - AURA</v>
      </c>
    </row>
    <row r="389" spans="1:5" x14ac:dyDescent="0.35">
      <c r="A389" t="s">
        <v>488</v>
      </c>
      <c r="B389" t="s">
        <v>489</v>
      </c>
      <c r="C389" s="9" t="s">
        <v>1462</v>
      </c>
      <c r="D38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274.36107595648474</v>
      </c>
      <c r="E389" t="str">
        <f>Table1[[#This Row],[Color Code]] &amp; " - " &amp;Table1[[#This Row],[Color Name]]</f>
        <v>3P2083 - AMAZING GRACE</v>
      </c>
    </row>
    <row r="390" spans="1:5" x14ac:dyDescent="0.35">
      <c r="A390" t="s">
        <v>1103</v>
      </c>
      <c r="B390" t="s">
        <v>1102</v>
      </c>
      <c r="C390" s="9" t="s">
        <v>1769</v>
      </c>
      <c r="D39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274.62519913511215</v>
      </c>
      <c r="E390" t="str">
        <f>Table1[[#This Row],[Color Code]] &amp; " - " &amp;Table1[[#This Row],[Color Name]]</f>
        <v>6P1425 - PINK PALE</v>
      </c>
    </row>
    <row r="391" spans="1:5" x14ac:dyDescent="0.35">
      <c r="A391" t="s">
        <v>905</v>
      </c>
      <c r="B391" t="s">
        <v>904</v>
      </c>
      <c r="C391" s="9" t="s">
        <v>1670</v>
      </c>
      <c r="D39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274.6889149565377</v>
      </c>
      <c r="E391" t="str">
        <f>Table1[[#This Row],[Color Code]] &amp; " - " &amp;Table1[[#This Row],[Color Name]]</f>
        <v>5P1033 - SOUTH BAY</v>
      </c>
    </row>
    <row r="392" spans="1:5" x14ac:dyDescent="0.35">
      <c r="A392" t="s">
        <v>913</v>
      </c>
      <c r="B392" t="s">
        <v>912</v>
      </c>
      <c r="C392" s="9" t="s">
        <v>1674</v>
      </c>
      <c r="D39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274.73077730753067</v>
      </c>
      <c r="E392" t="str">
        <f>Table1[[#This Row],[Color Code]] &amp; " - " &amp;Table1[[#This Row],[Color Name]]</f>
        <v>5P1057 - SOFT SPUN CLOUD</v>
      </c>
    </row>
    <row r="393" spans="1:5" x14ac:dyDescent="0.35">
      <c r="A393" t="s">
        <v>368</v>
      </c>
      <c r="B393" t="s">
        <v>369</v>
      </c>
      <c r="C393" s="9" t="s">
        <v>1403</v>
      </c>
      <c r="D39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274.80538568230429</v>
      </c>
      <c r="E393" t="str">
        <f>Table1[[#This Row],[Color Code]] &amp; " - " &amp;Table1[[#This Row],[Color Name]]</f>
        <v>3P0061 - PETTICOAT</v>
      </c>
    </row>
    <row r="394" spans="1:5" x14ac:dyDescent="0.35">
      <c r="A394" t="s">
        <v>1211</v>
      </c>
      <c r="B394" t="s">
        <v>1210</v>
      </c>
      <c r="C394" s="9" t="s">
        <v>1823</v>
      </c>
      <c r="D39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274.81994105231882</v>
      </c>
      <c r="E394" t="str">
        <f>Table1[[#This Row],[Color Code]] &amp; " - " &amp;Table1[[#This Row],[Color Name]]</f>
        <v>7P0186 - ROCK SALT</v>
      </c>
    </row>
    <row r="395" spans="1:5" x14ac:dyDescent="0.35">
      <c r="A395" t="s">
        <v>1051</v>
      </c>
      <c r="B395" t="s">
        <v>1050</v>
      </c>
      <c r="C395" s="9" t="s">
        <v>1743</v>
      </c>
      <c r="D39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274.91998836024999</v>
      </c>
      <c r="E395" t="str">
        <f>Table1[[#This Row],[Color Code]] &amp; " - " &amp;Table1[[#This Row],[Color Name]]</f>
        <v>6P1298 - LILAC LIGHT</v>
      </c>
    </row>
    <row r="396" spans="1:5" x14ac:dyDescent="0.35">
      <c r="A396" t="s">
        <v>2336</v>
      </c>
      <c r="B396" t="s">
        <v>2335</v>
      </c>
      <c r="C396" s="9" t="s">
        <v>2337</v>
      </c>
      <c r="D39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274.95090470845884</v>
      </c>
      <c r="E396" t="str">
        <f>Table1[[#This Row],[Color Code]] &amp; " - " &amp;Table1[[#This Row],[Color Name]]</f>
        <v>8P2687 - SNOW FORT</v>
      </c>
    </row>
    <row r="397" spans="1:5" x14ac:dyDescent="0.35">
      <c r="A397" t="s">
        <v>2197</v>
      </c>
      <c r="B397" t="s">
        <v>2196</v>
      </c>
      <c r="C397" s="9" t="s">
        <v>2198</v>
      </c>
      <c r="D39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274.97454427637479</v>
      </c>
      <c r="E397" t="str">
        <f>Table1[[#This Row],[Color Code]] &amp; " - " &amp;Table1[[#This Row],[Color Name]]</f>
        <v>8P1817 - MOUNTAIN SPRINGS</v>
      </c>
    </row>
    <row r="398" spans="1:5" x14ac:dyDescent="0.35">
      <c r="A398" t="s">
        <v>1063</v>
      </c>
      <c r="B398" t="s">
        <v>1062</v>
      </c>
      <c r="C398" s="9" t="s">
        <v>1749</v>
      </c>
      <c r="D39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275.33615817759932</v>
      </c>
      <c r="E398" t="str">
        <f>Table1[[#This Row],[Color Code]] &amp; " - " &amp;Table1[[#This Row],[Color Name]]</f>
        <v>6P1330 - INFINITE GRACE</v>
      </c>
    </row>
    <row r="399" spans="1:5" x14ac:dyDescent="0.35">
      <c r="A399" t="s">
        <v>945</v>
      </c>
      <c r="B399" t="s">
        <v>944</v>
      </c>
      <c r="C399" s="9" t="s">
        <v>1690</v>
      </c>
      <c r="D39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275.48684179103725</v>
      </c>
      <c r="E399" t="str">
        <f>Table1[[#This Row],[Color Code]] &amp; " - " &amp;Table1[[#This Row],[Color Name]]</f>
        <v>5P1145 - SMOOTH SAILING</v>
      </c>
    </row>
    <row r="400" spans="1:5" x14ac:dyDescent="0.35">
      <c r="A400" t="s">
        <v>979</v>
      </c>
      <c r="B400" t="s">
        <v>978</v>
      </c>
      <c r="C400" s="9" t="s">
        <v>1707</v>
      </c>
      <c r="D40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275.555801971216</v>
      </c>
      <c r="E400" t="str">
        <f>Table1[[#This Row],[Color Code]] &amp; " - " &amp;Table1[[#This Row],[Color Name]]</f>
        <v>6P0165 - BIT OF LILAC</v>
      </c>
    </row>
    <row r="401" spans="1:5" x14ac:dyDescent="0.35">
      <c r="A401" t="s">
        <v>927</v>
      </c>
      <c r="B401" t="s">
        <v>926</v>
      </c>
      <c r="C401" s="9" t="s">
        <v>1681</v>
      </c>
      <c r="D40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275.63381505178205</v>
      </c>
      <c r="E401" t="str">
        <f>Table1[[#This Row],[Color Code]] &amp; " - " &amp;Table1[[#This Row],[Color Name]]</f>
        <v>5P1105 - PRECIOUS DEW DROP</v>
      </c>
    </row>
    <row r="402" spans="1:5" x14ac:dyDescent="0.35">
      <c r="A402" t="s">
        <v>2176</v>
      </c>
      <c r="B402" t="s">
        <v>2175</v>
      </c>
      <c r="C402" s="9" t="s">
        <v>2177</v>
      </c>
      <c r="D40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275.90034432744011</v>
      </c>
      <c r="E402" t="str">
        <f>Table1[[#This Row],[Color Code]] &amp; " - " &amp;Table1[[#This Row],[Color Name]]</f>
        <v>8P1785 - GENTLY RAINING</v>
      </c>
    </row>
    <row r="403" spans="1:5" x14ac:dyDescent="0.35">
      <c r="A403" t="s">
        <v>118</v>
      </c>
      <c r="B403" t="s">
        <v>119</v>
      </c>
      <c r="C403" s="9" t="s">
        <v>206</v>
      </c>
      <c r="D40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275.96557756357947</v>
      </c>
      <c r="E403" t="str">
        <f>Table1[[#This Row],[Color Code]] &amp; " - " &amp;Table1[[#This Row],[Color Name]]</f>
        <v>1P0433 - SUNRISE PINK</v>
      </c>
    </row>
    <row r="404" spans="1:5" x14ac:dyDescent="0.35">
      <c r="A404" t="s">
        <v>2047</v>
      </c>
      <c r="B404" t="s">
        <v>2046</v>
      </c>
      <c r="C404" s="9" t="s">
        <v>2048</v>
      </c>
      <c r="D40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276.00724628168734</v>
      </c>
      <c r="E404" t="str">
        <f>Table1[[#This Row],[Color Code]] &amp; " - " &amp;Table1[[#This Row],[Color Name]]</f>
        <v>8P0198 - SILK PALACE</v>
      </c>
    </row>
    <row r="405" spans="1:5" x14ac:dyDescent="0.35">
      <c r="A405" t="s">
        <v>272</v>
      </c>
      <c r="B405" t="s">
        <v>273</v>
      </c>
      <c r="C405" s="9" t="s">
        <v>1355</v>
      </c>
      <c r="D40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276.01449237313608</v>
      </c>
      <c r="E405" t="str">
        <f>Table1[[#This Row],[Color Code]] &amp; " - " &amp;Table1[[#This Row],[Color Name]]</f>
        <v>2P0602 - BAJA BEIGE</v>
      </c>
    </row>
    <row r="406" spans="1:5" x14ac:dyDescent="0.35">
      <c r="A406" t="s">
        <v>1079</v>
      </c>
      <c r="B406" t="s">
        <v>1078</v>
      </c>
      <c r="C406" s="9" t="s">
        <v>1757</v>
      </c>
      <c r="D40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276.05977613553193</v>
      </c>
      <c r="E406" t="str">
        <f>Table1[[#This Row],[Color Code]] &amp; " - " &amp;Table1[[#This Row],[Color Name]]</f>
        <v>6P1370 - FROSTY LILAC</v>
      </c>
    </row>
    <row r="407" spans="1:5" x14ac:dyDescent="0.35">
      <c r="A407" t="s">
        <v>140</v>
      </c>
      <c r="B407" t="s">
        <v>141</v>
      </c>
      <c r="C407" s="9" t="s">
        <v>217</v>
      </c>
      <c r="D40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276.06158733152284</v>
      </c>
      <c r="E407" t="str">
        <f>Table1[[#This Row],[Color Code]] &amp; " - " &amp;Table1[[#This Row],[Color Name]]</f>
        <v>1P0482 - WHISPER OF ROSE</v>
      </c>
    </row>
    <row r="408" spans="1:5" x14ac:dyDescent="0.35">
      <c r="A408" t="s">
        <v>1999</v>
      </c>
      <c r="B408" t="s">
        <v>1998</v>
      </c>
      <c r="C408" s="9" t="s">
        <v>2000</v>
      </c>
      <c r="D40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276.10867425707579</v>
      </c>
      <c r="E408" t="str">
        <f>Table1[[#This Row],[Color Code]] &amp; " - " &amp;Table1[[#This Row],[Color Name]]</f>
        <v>7P2471 - GENTEELE</v>
      </c>
    </row>
    <row r="409" spans="1:5" x14ac:dyDescent="0.35">
      <c r="A409" t="s">
        <v>953</v>
      </c>
      <c r="B409" t="s">
        <v>952</v>
      </c>
      <c r="C409" s="9" t="s">
        <v>1694</v>
      </c>
      <c r="D40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276.27160548995982</v>
      </c>
      <c r="E409" t="str">
        <f>Table1[[#This Row],[Color Code]] &amp; " - " &amp;Table1[[#This Row],[Color Name]]</f>
        <v>5P1169 - HEATHER HEIGHTS</v>
      </c>
    </row>
    <row r="410" spans="1:5" x14ac:dyDescent="0.35">
      <c r="A410" t="s">
        <v>490</v>
      </c>
      <c r="B410" t="s">
        <v>491</v>
      </c>
      <c r="C410" s="9" t="s">
        <v>1463</v>
      </c>
      <c r="D41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276.29151271799861</v>
      </c>
      <c r="E410" t="str">
        <f>Table1[[#This Row],[Color Code]] &amp; " - " &amp;Table1[[#This Row],[Color Name]]</f>
        <v>3P2095 - MORNING STROLL</v>
      </c>
    </row>
    <row r="411" spans="1:5" x14ac:dyDescent="0.35">
      <c r="A411" t="s">
        <v>941</v>
      </c>
      <c r="B411" t="s">
        <v>940</v>
      </c>
      <c r="C411" s="9" t="s">
        <v>1688</v>
      </c>
      <c r="D41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276.34398853602733</v>
      </c>
      <c r="E411" t="str">
        <f>Table1[[#This Row],[Color Code]] &amp; " - " &amp;Table1[[#This Row],[Color Name]]</f>
        <v>5P1137 - LAKE OF SWANS</v>
      </c>
    </row>
    <row r="412" spans="1:5" x14ac:dyDescent="0.35">
      <c r="A412" t="s">
        <v>668</v>
      </c>
      <c r="B412" t="s">
        <v>669</v>
      </c>
      <c r="C412" s="9" t="s">
        <v>1552</v>
      </c>
      <c r="D41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276.35122579789652</v>
      </c>
      <c r="E412" t="str">
        <f>Table1[[#This Row],[Color Code]] &amp; " - " &amp;Table1[[#This Row],[Color Name]]</f>
        <v>4P0906 - GREENBLUSHED OASIS</v>
      </c>
    </row>
    <row r="413" spans="1:5" x14ac:dyDescent="0.35">
      <c r="A413" t="s">
        <v>1097</v>
      </c>
      <c r="B413" t="s">
        <v>1096</v>
      </c>
      <c r="C413" s="9" t="s">
        <v>1766</v>
      </c>
      <c r="D41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276.36750894415934</v>
      </c>
      <c r="E413" t="str">
        <f>Table1[[#This Row],[Color Code]] &amp; " - " &amp;Table1[[#This Row],[Color Name]]</f>
        <v>6P1410 - MYRTLE MIST</v>
      </c>
    </row>
    <row r="414" spans="1:5" x14ac:dyDescent="0.35">
      <c r="A414" t="s">
        <v>746</v>
      </c>
      <c r="B414" t="s">
        <v>747</v>
      </c>
      <c r="C414" s="9" t="s">
        <v>1591</v>
      </c>
      <c r="D41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276.40730815229904</v>
      </c>
      <c r="E414" t="str">
        <f>Table1[[#This Row],[Color Code]] &amp; " - " &amp;Table1[[#This Row],[Color Name]]</f>
        <v>4P2112 - MINTED</v>
      </c>
    </row>
    <row r="415" spans="1:5" x14ac:dyDescent="0.35">
      <c r="A415" t="s">
        <v>1327</v>
      </c>
      <c r="B415" t="s">
        <v>1326</v>
      </c>
      <c r="C415" s="9" t="s">
        <v>1880</v>
      </c>
      <c r="D41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276.42358799494662</v>
      </c>
      <c r="E415" t="str">
        <f>Table1[[#This Row],[Color Code]] &amp; " - " &amp;Table1[[#This Row],[Color Name]]</f>
        <v>7P1649 - PALE STARLET</v>
      </c>
    </row>
    <row r="416" spans="1:5" x14ac:dyDescent="0.35">
      <c r="A416" t="s">
        <v>666</v>
      </c>
      <c r="B416" t="s">
        <v>667</v>
      </c>
      <c r="C416" s="9" t="s">
        <v>1551</v>
      </c>
      <c r="D41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276.50316453885296</v>
      </c>
      <c r="E416" t="str">
        <f>Table1[[#This Row],[Color Code]] &amp; " - " &amp;Table1[[#This Row],[Color Name]]</f>
        <v>4P0882 - GREEN TWIG</v>
      </c>
    </row>
    <row r="417" spans="1:5" x14ac:dyDescent="0.35">
      <c r="A417" t="s">
        <v>965</v>
      </c>
      <c r="B417" t="s">
        <v>964</v>
      </c>
      <c r="C417" s="9" t="s">
        <v>1700</v>
      </c>
      <c r="D41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276.530287672074</v>
      </c>
      <c r="E417" t="str">
        <f>Table1[[#This Row],[Color Code]] &amp; " - " &amp;Table1[[#This Row],[Color Name]]</f>
        <v>6P0158 - NOSTOLGIC LILAC</v>
      </c>
    </row>
    <row r="418" spans="1:5" x14ac:dyDescent="0.35">
      <c r="A418" t="s">
        <v>266</v>
      </c>
      <c r="B418" t="s">
        <v>267</v>
      </c>
      <c r="C418" s="9" t="s">
        <v>1352</v>
      </c>
      <c r="D41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276.570063455899</v>
      </c>
      <c r="E418" t="str">
        <f>Table1[[#This Row],[Color Code]] &amp; " - " &amp;Table1[[#This Row],[Color Name]]</f>
        <v>2P0586 - WALK ON THE BEACH</v>
      </c>
    </row>
    <row r="419" spans="1:5" x14ac:dyDescent="0.35">
      <c r="A419" t="s">
        <v>500</v>
      </c>
      <c r="B419" t="s">
        <v>501</v>
      </c>
      <c r="C419" s="9" t="s">
        <v>1468</v>
      </c>
      <c r="D41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276.58091040417088</v>
      </c>
      <c r="E419" t="str">
        <f>Table1[[#This Row],[Color Code]] &amp; " - " &amp;Table1[[#This Row],[Color Name]]</f>
        <v>3T0731 - SWEET HONEY</v>
      </c>
    </row>
    <row r="420" spans="1:5" x14ac:dyDescent="0.35">
      <c r="A420" t="s">
        <v>1201</v>
      </c>
      <c r="B420" t="s">
        <v>1200</v>
      </c>
      <c r="C420" s="9" t="s">
        <v>1818</v>
      </c>
      <c r="D42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276.60983352006849</v>
      </c>
      <c r="E420" t="str">
        <f>Table1[[#This Row],[Color Code]] &amp; " - " &amp;Table1[[#This Row],[Color Name]]</f>
        <v>7P0180 - DRIFTING DUNE</v>
      </c>
    </row>
    <row r="421" spans="1:5" x14ac:dyDescent="0.35">
      <c r="A421" t="s">
        <v>997</v>
      </c>
      <c r="B421" t="s">
        <v>996</v>
      </c>
      <c r="C421" s="9" t="s">
        <v>1716</v>
      </c>
      <c r="D42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276.63875361199848</v>
      </c>
      <c r="E421" t="str">
        <f>Table1[[#This Row],[Color Code]] &amp; " - " &amp;Table1[[#This Row],[Color Name]]</f>
        <v>6P0174 - TOUCH OF BLUSH</v>
      </c>
    </row>
    <row r="422" spans="1:5" x14ac:dyDescent="0.35">
      <c r="A422" t="s">
        <v>1319</v>
      </c>
      <c r="B422" t="s">
        <v>1318</v>
      </c>
      <c r="C422" s="9" t="s">
        <v>1876</v>
      </c>
      <c r="D42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276.64779052072691</v>
      </c>
      <c r="E422" t="str">
        <f>Table1[[#This Row],[Color Code]] &amp; " - " &amp;Table1[[#This Row],[Color Name]]</f>
        <v>7P1633 - BEIGE BLUSH</v>
      </c>
    </row>
    <row r="423" spans="1:5" x14ac:dyDescent="0.35">
      <c r="A423" t="s">
        <v>630</v>
      </c>
      <c r="B423" t="s">
        <v>631</v>
      </c>
      <c r="C423" s="9" t="s">
        <v>1533</v>
      </c>
      <c r="D42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276.78511520672492</v>
      </c>
      <c r="E423" t="str">
        <f>Table1[[#This Row],[Color Code]] &amp; " - " &amp;Table1[[#This Row],[Color Name]]</f>
        <v>4P0110 - LAZY LAKE</v>
      </c>
    </row>
    <row r="424" spans="1:5" x14ac:dyDescent="0.35">
      <c r="A424" t="s">
        <v>783</v>
      </c>
      <c r="B424" t="s">
        <v>782</v>
      </c>
      <c r="C424" s="9" t="s">
        <v>1609</v>
      </c>
      <c r="D42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276.84110966400925</v>
      </c>
      <c r="E424" t="str">
        <f>Table1[[#This Row],[Color Code]] &amp; " - " &amp;Table1[[#This Row],[Color Name]]</f>
        <v>4P2185 - BUBBLE BATH</v>
      </c>
    </row>
    <row r="425" spans="1:5" x14ac:dyDescent="0.35">
      <c r="A425" t="s">
        <v>598</v>
      </c>
      <c r="B425" t="s">
        <v>599</v>
      </c>
      <c r="C425" s="9" t="s">
        <v>1517</v>
      </c>
      <c r="D42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276.87722911066555</v>
      </c>
      <c r="E425" t="str">
        <f>Table1[[#This Row],[Color Code]] &amp; " - " &amp;Table1[[#This Row],[Color Name]]</f>
        <v>4P0092 - MISTY VALE</v>
      </c>
    </row>
    <row r="426" spans="1:5" x14ac:dyDescent="0.35">
      <c r="A426" t="s">
        <v>2209</v>
      </c>
      <c r="B426" t="s">
        <v>2208</v>
      </c>
      <c r="C426" s="9" t="s">
        <v>2210</v>
      </c>
      <c r="D42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276.91695506053799</v>
      </c>
      <c r="E426" t="str">
        <f>Table1[[#This Row],[Color Code]] &amp; " - " &amp;Table1[[#This Row],[Color Name]]</f>
        <v>8P1833 - WISPS OF CLOUDS</v>
      </c>
    </row>
    <row r="427" spans="1:5" x14ac:dyDescent="0.35">
      <c r="A427" t="s">
        <v>610</v>
      </c>
      <c r="B427" t="s">
        <v>611</v>
      </c>
      <c r="C427" s="9" t="s">
        <v>1523</v>
      </c>
      <c r="D42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276.92056622793478</v>
      </c>
      <c r="E427" t="str">
        <f>Table1[[#This Row],[Color Code]] &amp; " - " &amp;Table1[[#This Row],[Color Name]]</f>
        <v>4P0098 - MINT FRAPPE</v>
      </c>
    </row>
    <row r="428" spans="1:5" x14ac:dyDescent="0.35">
      <c r="A428" t="s">
        <v>839</v>
      </c>
      <c r="B428" t="s">
        <v>838</v>
      </c>
      <c r="C428" s="9" t="s">
        <v>1637</v>
      </c>
      <c r="D42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276.99097458220547</v>
      </c>
      <c r="E428" t="str">
        <f>Table1[[#This Row],[Color Code]] &amp; " - " &amp;Table1[[#This Row],[Color Name]]</f>
        <v>5P0125 - AQUA ICE</v>
      </c>
    </row>
    <row r="429" spans="1:5" x14ac:dyDescent="0.35">
      <c r="A429" t="s">
        <v>522</v>
      </c>
      <c r="B429" t="s">
        <v>523</v>
      </c>
      <c r="C429" s="9" t="s">
        <v>1479</v>
      </c>
      <c r="D42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277.09384691833196</v>
      </c>
      <c r="E429" t="str">
        <f>Table1[[#This Row],[Color Code]] &amp; " - " &amp;Table1[[#This Row],[Color Name]]</f>
        <v>3T0772 - SUN AND FUN</v>
      </c>
    </row>
    <row r="430" spans="1:5" x14ac:dyDescent="0.35">
      <c r="A430" t="s">
        <v>148</v>
      </c>
      <c r="B430" t="s">
        <v>149</v>
      </c>
      <c r="C430" s="9" t="s">
        <v>221</v>
      </c>
      <c r="D43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277.20209234419571</v>
      </c>
      <c r="E430" t="str">
        <f>Table1[[#This Row],[Color Code]] &amp; " - " &amp;Table1[[#This Row],[Color Name]]</f>
        <v>1P0505 - SWEET SUNRISE</v>
      </c>
    </row>
    <row r="431" spans="1:5" x14ac:dyDescent="0.35">
      <c r="A431" t="s">
        <v>2253</v>
      </c>
      <c r="B431" t="s">
        <v>2252</v>
      </c>
      <c r="C431" s="9" t="s">
        <v>2254</v>
      </c>
      <c r="D43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277.20389607651623</v>
      </c>
      <c r="E431" t="str">
        <f>Table1[[#This Row],[Color Code]] &amp; " - " &amp;Table1[[#This Row],[Color Name]]</f>
        <v>8P2549 - HUSH HUSH</v>
      </c>
    </row>
    <row r="432" spans="1:5" x14ac:dyDescent="0.35">
      <c r="A432" t="s">
        <v>2023</v>
      </c>
      <c r="B432" t="s">
        <v>2022</v>
      </c>
      <c r="C432" s="9" t="s">
        <v>2024</v>
      </c>
      <c r="D43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277.22553994897368</v>
      </c>
      <c r="E432" t="str">
        <f>Table1[[#This Row],[Color Code]] &amp; " - " &amp;Table1[[#This Row],[Color Name]]</f>
        <v>7P2500 - SIERA'S QUILT</v>
      </c>
    </row>
    <row r="433" spans="1:5" x14ac:dyDescent="0.35">
      <c r="A433" t="s">
        <v>1197</v>
      </c>
      <c r="B433" t="s">
        <v>1196</v>
      </c>
      <c r="C433" s="9" t="s">
        <v>1816</v>
      </c>
      <c r="D43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277.26160931510157</v>
      </c>
      <c r="E433" t="str">
        <f>Table1[[#This Row],[Color Code]] &amp; " - " &amp;Table1[[#This Row],[Color Name]]</f>
        <v>7P0178 - HAZEL CREAM</v>
      </c>
    </row>
    <row r="434" spans="1:5" x14ac:dyDescent="0.35">
      <c r="A434" t="s">
        <v>1305</v>
      </c>
      <c r="B434" t="s">
        <v>1304</v>
      </c>
      <c r="C434" s="9" t="s">
        <v>1869</v>
      </c>
      <c r="D43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277.47972898934438</v>
      </c>
      <c r="E434" t="str">
        <f>Table1[[#This Row],[Color Code]] &amp; " - " &amp;Table1[[#This Row],[Color Name]]</f>
        <v>7P1602 - BEACH PARTY</v>
      </c>
    </row>
    <row r="435" spans="1:5" x14ac:dyDescent="0.35">
      <c r="A435" t="s">
        <v>1975</v>
      </c>
      <c r="B435" t="s">
        <v>1974</v>
      </c>
      <c r="C435" s="9" t="s">
        <v>1976</v>
      </c>
      <c r="D43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277.49954954918394</v>
      </c>
      <c r="E435" t="str">
        <f>Table1[[#This Row],[Color Code]] &amp; " - " &amp;Table1[[#This Row],[Color Name]]</f>
        <v>7P2426 - MOONSHINE</v>
      </c>
    </row>
    <row r="436" spans="1:5" x14ac:dyDescent="0.35">
      <c r="A436" t="s">
        <v>318</v>
      </c>
      <c r="B436" t="s">
        <v>319</v>
      </c>
      <c r="C436" s="9" t="s">
        <v>1378</v>
      </c>
      <c r="D43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277.53378172755833</v>
      </c>
      <c r="E436" t="str">
        <f>Table1[[#This Row],[Color Code]] &amp; " - " &amp;Table1[[#This Row],[Color Name]]</f>
        <v>2P2027 - PEACH SODA</v>
      </c>
    </row>
    <row r="437" spans="1:5" x14ac:dyDescent="0.35">
      <c r="A437" t="s">
        <v>1059</v>
      </c>
      <c r="B437" t="s">
        <v>1058</v>
      </c>
      <c r="C437" s="9" t="s">
        <v>1747</v>
      </c>
      <c r="D43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277.57701633960977</v>
      </c>
      <c r="E437" t="str">
        <f>Table1[[#This Row],[Color Code]] &amp; " - " &amp;Table1[[#This Row],[Color Name]]</f>
        <v>6P1322 - MORE LILAC</v>
      </c>
    </row>
    <row r="438" spans="1:5" x14ac:dyDescent="0.35">
      <c r="A438" t="s">
        <v>1922</v>
      </c>
      <c r="B438" t="s">
        <v>1921</v>
      </c>
      <c r="C438" s="9" t="s">
        <v>1923</v>
      </c>
      <c r="D43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277.71028068834613</v>
      </c>
      <c r="E438" t="str">
        <f>Table1[[#This Row],[Color Code]] &amp; " - " &amp;Table1[[#This Row],[Color Name]]</f>
        <v>7P1948 - FLOATING LANTERN</v>
      </c>
    </row>
    <row r="439" spans="1:5" x14ac:dyDescent="0.35">
      <c r="A439" t="s">
        <v>1928</v>
      </c>
      <c r="B439" t="s">
        <v>1927</v>
      </c>
      <c r="C439" s="9" t="s">
        <v>1923</v>
      </c>
      <c r="D43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277.71028068834613</v>
      </c>
      <c r="E439" t="str">
        <f>Table1[[#This Row],[Color Code]] &amp; " - " &amp;Table1[[#This Row],[Color Name]]</f>
        <v>7P1950 - MIRAGE</v>
      </c>
    </row>
    <row r="440" spans="1:5" x14ac:dyDescent="0.35">
      <c r="A440" t="s">
        <v>2122</v>
      </c>
      <c r="B440" t="s">
        <v>2121</v>
      </c>
      <c r="C440" s="9" t="s">
        <v>2123</v>
      </c>
      <c r="D44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277.72108310317384</v>
      </c>
      <c r="E440" t="str">
        <f>Table1[[#This Row],[Color Code]] &amp; " - " &amp;Table1[[#This Row],[Color Name]]</f>
        <v>8P1713 - SUMMER WHITE</v>
      </c>
    </row>
    <row r="441" spans="1:5" x14ac:dyDescent="0.35">
      <c r="A441" t="s">
        <v>758</v>
      </c>
      <c r="B441" t="s">
        <v>759</v>
      </c>
      <c r="C441" s="9" t="s">
        <v>1597</v>
      </c>
      <c r="D44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277.73728593762849</v>
      </c>
      <c r="E441" t="str">
        <f>Table1[[#This Row],[Color Code]] &amp; " - " &amp;Table1[[#This Row],[Color Name]]</f>
        <v>4P2138 - FLOURISH</v>
      </c>
    </row>
    <row r="442" spans="1:5" x14ac:dyDescent="0.35">
      <c r="A442" t="s">
        <v>2134</v>
      </c>
      <c r="B442" t="s">
        <v>2133</v>
      </c>
      <c r="C442" s="9" t="s">
        <v>2135</v>
      </c>
      <c r="D44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277.75708811837728</v>
      </c>
      <c r="E442" t="str">
        <f>Table1[[#This Row],[Color Code]] &amp; " - " &amp;Table1[[#This Row],[Color Name]]</f>
        <v>8P1729 - PEARLY WHITE</v>
      </c>
    </row>
    <row r="443" spans="1:5" x14ac:dyDescent="0.35">
      <c r="A443" t="s">
        <v>1007</v>
      </c>
      <c r="B443" t="s">
        <v>1006</v>
      </c>
      <c r="C443" s="9" t="s">
        <v>1721</v>
      </c>
      <c r="D44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277.78768871208098</v>
      </c>
      <c r="E443" t="str">
        <f>Table1[[#This Row],[Color Code]] &amp; " - " &amp;Table1[[#This Row],[Color Name]]</f>
        <v>6P1201 - NEW BLUE DAWN</v>
      </c>
    </row>
    <row r="444" spans="1:5" x14ac:dyDescent="0.35">
      <c r="A444" t="s">
        <v>2113</v>
      </c>
      <c r="B444" t="s">
        <v>2112</v>
      </c>
      <c r="C444" s="9" t="s">
        <v>2114</v>
      </c>
      <c r="D44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277.81468643684047</v>
      </c>
      <c r="E444" t="str">
        <f>Table1[[#This Row],[Color Code]] &amp; " - " &amp;Table1[[#This Row],[Color Name]]</f>
        <v>8P1697 - MILK MOUSTACHE</v>
      </c>
    </row>
    <row r="445" spans="1:5" x14ac:dyDescent="0.35">
      <c r="A445" t="s">
        <v>1227</v>
      </c>
      <c r="B445" t="s">
        <v>1226</v>
      </c>
      <c r="C445" s="9" t="s">
        <v>1831</v>
      </c>
      <c r="D44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277.82908415066987</v>
      </c>
      <c r="E445" t="str">
        <f>Table1[[#This Row],[Color Code]] &amp; " - " &amp;Table1[[#This Row],[Color Name]]</f>
        <v>7P0337 - CREAM SWIRLS</v>
      </c>
    </row>
    <row r="446" spans="1:5" x14ac:dyDescent="0.35">
      <c r="A446" t="s">
        <v>883</v>
      </c>
      <c r="B446" t="s">
        <v>882</v>
      </c>
      <c r="C446" s="9" t="s">
        <v>1659</v>
      </c>
      <c r="D44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277.83988194641893</v>
      </c>
      <c r="E446" t="str">
        <f>Table1[[#This Row],[Color Code]] &amp; " - " &amp;Table1[[#This Row],[Color Name]]</f>
        <v>5P0148 - GREAT WHITE</v>
      </c>
    </row>
    <row r="447" spans="1:5" x14ac:dyDescent="0.35">
      <c r="A447" t="s">
        <v>2107</v>
      </c>
      <c r="B447" t="s">
        <v>2106</v>
      </c>
      <c r="C447" s="9" t="s">
        <v>2108</v>
      </c>
      <c r="D44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277.85787734019709</v>
      </c>
      <c r="E447" t="str">
        <f>Table1[[#This Row],[Color Code]] &amp; " - " &amp;Table1[[#This Row],[Color Name]]</f>
        <v>8P1689 - SOUTHERN PLANTATION</v>
      </c>
    </row>
    <row r="448" spans="1:5" x14ac:dyDescent="0.35">
      <c r="A448" t="s">
        <v>2280</v>
      </c>
      <c r="B448" t="s">
        <v>2279</v>
      </c>
      <c r="C448" s="9" t="s">
        <v>2281</v>
      </c>
      <c r="D44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277.87227281612678</v>
      </c>
      <c r="E448" t="str">
        <f>Table1[[#This Row],[Color Code]] &amp; " - " &amp;Table1[[#This Row],[Color Name]]</f>
        <v>8P2589 - GIVEN GRACE</v>
      </c>
    </row>
    <row r="449" spans="1:5" x14ac:dyDescent="0.35">
      <c r="A449" t="s">
        <v>1095</v>
      </c>
      <c r="B449" t="s">
        <v>1094</v>
      </c>
      <c r="C449" s="9" t="s">
        <v>1765</v>
      </c>
      <c r="D44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277.87767092733452</v>
      </c>
      <c r="E449" t="str">
        <f>Table1[[#This Row],[Color Code]] &amp; " - " &amp;Table1[[#This Row],[Color Name]]</f>
        <v>6P1402 - AMETHYST ROSEBUD</v>
      </c>
    </row>
    <row r="450" spans="1:5" x14ac:dyDescent="0.35">
      <c r="A450" t="s">
        <v>1331</v>
      </c>
      <c r="B450" t="s">
        <v>1330</v>
      </c>
      <c r="C450" s="9" t="s">
        <v>1882</v>
      </c>
      <c r="D45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277.98021512330695</v>
      </c>
      <c r="E450" t="str">
        <f>Table1[[#This Row],[Color Code]] &amp; " - " &amp;Table1[[#This Row],[Color Name]]</f>
        <v>7P1657 - ROSE PORCELAIN</v>
      </c>
    </row>
    <row r="451" spans="1:5" x14ac:dyDescent="0.35">
      <c r="A451" t="s">
        <v>1255</v>
      </c>
      <c r="B451" t="s">
        <v>1254</v>
      </c>
      <c r="C451" s="9" t="s">
        <v>1845</v>
      </c>
      <c r="D45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278.05215338133962</v>
      </c>
      <c r="E451" t="str">
        <f>Table1[[#This Row],[Color Code]] &amp; " - " &amp;Table1[[#This Row],[Color Name]]</f>
        <v>7P1489 - CHIC SPROUT</v>
      </c>
    </row>
    <row r="452" spans="1:5" x14ac:dyDescent="0.35">
      <c r="A452" t="s">
        <v>849</v>
      </c>
      <c r="B452" t="s">
        <v>848</v>
      </c>
      <c r="C452" s="9" t="s">
        <v>1642</v>
      </c>
      <c r="D45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278.07373122968664</v>
      </c>
      <c r="E452" t="str">
        <f>Table1[[#This Row],[Color Code]] &amp; " - " &amp;Table1[[#This Row],[Color Name]]</f>
        <v>5P0130 - BABY POOL</v>
      </c>
    </row>
    <row r="453" spans="1:5" x14ac:dyDescent="0.35">
      <c r="A453" t="s">
        <v>344</v>
      </c>
      <c r="B453" t="s">
        <v>345</v>
      </c>
      <c r="C453" s="9" t="s">
        <v>1391</v>
      </c>
      <c r="D45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278.11688190399371</v>
      </c>
      <c r="E453" t="str">
        <f>Table1[[#This Row],[Color Code]] &amp; " - " &amp;Table1[[#This Row],[Color Name]]</f>
        <v>2P2061 - TWIRLING RIBBON</v>
      </c>
    </row>
    <row r="454" spans="1:5" x14ac:dyDescent="0.35">
      <c r="A454" t="s">
        <v>466</v>
      </c>
      <c r="B454" t="s">
        <v>467</v>
      </c>
      <c r="C454" s="9" t="s">
        <v>1451</v>
      </c>
      <c r="D45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278.13845473073297</v>
      </c>
      <c r="E454" t="str">
        <f>Table1[[#This Row],[Color Code]] &amp; " - " &amp;Table1[[#This Row],[Color Name]]</f>
        <v>3P1873 - SHINING STAR</v>
      </c>
    </row>
    <row r="455" spans="1:5" x14ac:dyDescent="0.35">
      <c r="A455" t="s">
        <v>885</v>
      </c>
      <c r="B455" t="s">
        <v>884</v>
      </c>
      <c r="C455" s="9" t="s">
        <v>1660</v>
      </c>
      <c r="D45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278.25348155953054</v>
      </c>
      <c r="E455" t="str">
        <f>Table1[[#This Row],[Color Code]] &amp; " - " &amp;Table1[[#This Row],[Color Name]]</f>
        <v>5P0149 - LOBELIA</v>
      </c>
    </row>
    <row r="456" spans="1:5" x14ac:dyDescent="0.35">
      <c r="A456" t="s">
        <v>1267</v>
      </c>
      <c r="B456" t="s">
        <v>1266</v>
      </c>
      <c r="C456" s="9" t="s">
        <v>1851</v>
      </c>
      <c r="D45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278.39181022436708</v>
      </c>
      <c r="E456" t="str">
        <f>Table1[[#This Row],[Color Code]] &amp; " - " &amp;Table1[[#This Row],[Color Name]]</f>
        <v>7P1513 - SPINNEY MOUNTAIN</v>
      </c>
    </row>
    <row r="457" spans="1:5" x14ac:dyDescent="0.35">
      <c r="A457" t="s">
        <v>2229</v>
      </c>
      <c r="B457" t="s">
        <v>2228</v>
      </c>
      <c r="C457" s="9" t="s">
        <v>2230</v>
      </c>
      <c r="D45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278.46005099475218</v>
      </c>
      <c r="E457" t="str">
        <f>Table1[[#This Row],[Color Code]] &amp; " - " &amp;Table1[[#This Row],[Color Name]]</f>
        <v>8P1962 - WINTER MORNING</v>
      </c>
    </row>
    <row r="458" spans="1:5" x14ac:dyDescent="0.35">
      <c r="A458" t="s">
        <v>354</v>
      </c>
      <c r="B458" t="s">
        <v>355</v>
      </c>
      <c r="C458" s="9" t="s">
        <v>1396</v>
      </c>
      <c r="D45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278.46364215099965</v>
      </c>
      <c r="E458" t="str">
        <f>Table1[[#This Row],[Color Code]] &amp; " - " &amp;Table1[[#This Row],[Color Name]]</f>
        <v>3P0049 - WHITE BLISS</v>
      </c>
    </row>
    <row r="459" spans="1:5" x14ac:dyDescent="0.35">
      <c r="A459" t="s">
        <v>1101</v>
      </c>
      <c r="B459" t="s">
        <v>1100</v>
      </c>
      <c r="C459" s="9" t="s">
        <v>1768</v>
      </c>
      <c r="D45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278.46902879853621</v>
      </c>
      <c r="E459" t="str">
        <f>Table1[[#This Row],[Color Code]] &amp; " - " &amp;Table1[[#This Row],[Color Name]]</f>
        <v>6P1418 - CROWN PRINCESS</v>
      </c>
    </row>
    <row r="460" spans="1:5" x14ac:dyDescent="0.35">
      <c r="A460" t="s">
        <v>2164</v>
      </c>
      <c r="B460" t="s">
        <v>2163</v>
      </c>
      <c r="C460" s="9" t="s">
        <v>2165</v>
      </c>
      <c r="D46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278.49236973389412</v>
      </c>
      <c r="E460" t="str">
        <f>Table1[[#This Row],[Color Code]] &amp; " - " &amp;Table1[[#This Row],[Color Name]]</f>
        <v>8P1769 - ICE CREAM SOCIAL</v>
      </c>
    </row>
    <row r="461" spans="1:5" x14ac:dyDescent="0.35">
      <c r="A461" t="s">
        <v>791</v>
      </c>
      <c r="B461" t="s">
        <v>790</v>
      </c>
      <c r="C461" s="9" t="s">
        <v>1613</v>
      </c>
      <c r="D46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278.6000717874997</v>
      </c>
      <c r="E461" t="str">
        <f>Table1[[#This Row],[Color Code]] &amp; " - " &amp;Table1[[#This Row],[Color Name]]</f>
        <v>4P2202 - RIVER MIST</v>
      </c>
    </row>
    <row r="462" spans="1:5" x14ac:dyDescent="0.35">
      <c r="A462" t="s">
        <v>612</v>
      </c>
      <c r="B462" t="s">
        <v>613</v>
      </c>
      <c r="C462" s="9" t="s">
        <v>1524</v>
      </c>
      <c r="D46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278.67185003153799</v>
      </c>
      <c r="E462" t="str">
        <f>Table1[[#This Row],[Color Code]] &amp; " - " &amp;Table1[[#This Row],[Color Name]]</f>
        <v>4P0099 - MINT PASSION</v>
      </c>
    </row>
    <row r="463" spans="1:5" x14ac:dyDescent="0.35">
      <c r="A463" t="s">
        <v>1003</v>
      </c>
      <c r="B463" t="s">
        <v>1002</v>
      </c>
      <c r="C463" s="9" t="s">
        <v>1719</v>
      </c>
      <c r="D46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278.68440932352138</v>
      </c>
      <c r="E463" t="str">
        <f>Table1[[#This Row],[Color Code]] &amp; " - " &amp;Table1[[#This Row],[Color Name]]</f>
        <v>6P1193 - GULF BREEZE</v>
      </c>
    </row>
    <row r="464" spans="1:5" x14ac:dyDescent="0.35">
      <c r="A464" t="s">
        <v>2080</v>
      </c>
      <c r="B464" t="s">
        <v>2079</v>
      </c>
      <c r="C464" s="9" t="s">
        <v>2081</v>
      </c>
      <c r="D46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278.93547640986793</v>
      </c>
      <c r="E464" t="str">
        <f>Table1[[#This Row],[Color Code]] &amp; " - " &amp;Table1[[#This Row],[Color Name]]</f>
        <v>8P0210 - PALM BEACH SAND</v>
      </c>
    </row>
    <row r="465" spans="1:5" x14ac:dyDescent="0.35">
      <c r="A465" t="s">
        <v>2203</v>
      </c>
      <c r="B465" t="s">
        <v>2202</v>
      </c>
      <c r="C465" s="9" t="s">
        <v>2204</v>
      </c>
      <c r="D46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278.95160870659987</v>
      </c>
      <c r="E465" t="str">
        <f>Table1[[#This Row],[Color Code]] &amp; " - " &amp;Table1[[#This Row],[Color Name]]</f>
        <v>8P1825 - MOON DANCE</v>
      </c>
    </row>
    <row r="466" spans="1:5" x14ac:dyDescent="0.35">
      <c r="A466" t="s">
        <v>935</v>
      </c>
      <c r="B466" t="s">
        <v>934</v>
      </c>
      <c r="C466" s="9" t="s">
        <v>1685</v>
      </c>
      <c r="D46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278.97311698441484</v>
      </c>
      <c r="E466" t="str">
        <f>Table1[[#This Row],[Color Code]] &amp; " - " &amp;Table1[[#This Row],[Color Name]]</f>
        <v>5P1121 - BARELY BLUE</v>
      </c>
    </row>
    <row r="467" spans="1:5" x14ac:dyDescent="0.35">
      <c r="A467" t="s">
        <v>294</v>
      </c>
      <c r="B467" t="s">
        <v>295</v>
      </c>
      <c r="C467" s="9" t="s">
        <v>1366</v>
      </c>
      <c r="D46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278.98924710461512</v>
      </c>
      <c r="E467" t="str">
        <f>Table1[[#This Row],[Color Code]] &amp; " - " &amp;Table1[[#This Row],[Color Name]]</f>
        <v>2P1856 - ESSENCE</v>
      </c>
    </row>
    <row r="468" spans="1:5" x14ac:dyDescent="0.35">
      <c r="A468" t="s">
        <v>1335</v>
      </c>
      <c r="B468" t="s">
        <v>1334</v>
      </c>
      <c r="C468" s="9" t="s">
        <v>1884</v>
      </c>
      <c r="D46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279.10034037958462</v>
      </c>
      <c r="E468" t="str">
        <f>Table1[[#This Row],[Color Code]] &amp; " - " &amp;Table1[[#This Row],[Color Name]]</f>
        <v>7P1665 - SPRING PETALS</v>
      </c>
    </row>
    <row r="469" spans="1:5" x14ac:dyDescent="0.35">
      <c r="A469" t="s">
        <v>682</v>
      </c>
      <c r="B469" t="s">
        <v>683</v>
      </c>
      <c r="C469" s="9" t="s">
        <v>1559</v>
      </c>
      <c r="D46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279.11646314755421</v>
      </c>
      <c r="E469" t="str">
        <f>Table1[[#This Row],[Color Code]] &amp; " - " &amp;Table1[[#This Row],[Color Name]]</f>
        <v>4P0969 - SEA SWIRL</v>
      </c>
    </row>
    <row r="470" spans="1:5" x14ac:dyDescent="0.35">
      <c r="A470" t="s">
        <v>1987</v>
      </c>
      <c r="B470" t="s">
        <v>1986</v>
      </c>
      <c r="C470" s="9" t="s">
        <v>1988</v>
      </c>
      <c r="D47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279.12183719659055</v>
      </c>
      <c r="E470" t="str">
        <f>Table1[[#This Row],[Color Code]] &amp; " - " &amp;Table1[[#This Row],[Color Name]]</f>
        <v>7P2446 - SIAMESE CAT</v>
      </c>
    </row>
    <row r="471" spans="1:5" x14ac:dyDescent="0.35">
      <c r="A471" t="s">
        <v>698</v>
      </c>
      <c r="B471" t="s">
        <v>699</v>
      </c>
      <c r="C471" s="9" t="s">
        <v>1567</v>
      </c>
      <c r="D47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279.13795872292252</v>
      </c>
      <c r="E471" t="str">
        <f>Table1[[#This Row],[Color Code]] &amp; " - " &amp;Table1[[#This Row],[Color Name]]</f>
        <v>4P1009 - FORGOTTEN SECRET</v>
      </c>
    </row>
    <row r="472" spans="1:5" x14ac:dyDescent="0.35">
      <c r="A472" t="s">
        <v>789</v>
      </c>
      <c r="B472" t="s">
        <v>788</v>
      </c>
      <c r="C472" s="9" t="s">
        <v>1612</v>
      </c>
      <c r="D47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279.14691472412875</v>
      </c>
      <c r="E472" t="str">
        <f>Table1[[#This Row],[Color Code]] &amp; " - " &amp;Table1[[#This Row],[Color Name]]</f>
        <v>4P2197 - POOL DIP</v>
      </c>
    </row>
    <row r="473" spans="1:5" x14ac:dyDescent="0.35">
      <c r="A473" t="s">
        <v>764</v>
      </c>
      <c r="B473" t="s">
        <v>765</v>
      </c>
      <c r="C473" s="9" t="s">
        <v>1600</v>
      </c>
      <c r="D47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279.25257384668811</v>
      </c>
      <c r="E473" t="str">
        <f>Table1[[#This Row],[Color Code]] &amp; " - " &amp;Table1[[#This Row],[Color Name]]</f>
        <v>4P2152 - FALLING FOR GREEN</v>
      </c>
    </row>
    <row r="474" spans="1:5" x14ac:dyDescent="0.35">
      <c r="A474" t="s">
        <v>1315</v>
      </c>
      <c r="B474" t="s">
        <v>1314</v>
      </c>
      <c r="C474" s="9" t="s">
        <v>1874</v>
      </c>
      <c r="D47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279.50849718747372</v>
      </c>
      <c r="E474" t="str">
        <f>Table1[[#This Row],[Color Code]] &amp; " - " &amp;Table1[[#This Row],[Color Name]]</f>
        <v>7P1625 - CRYSTAL BEACH</v>
      </c>
    </row>
    <row r="475" spans="1:5" x14ac:dyDescent="0.35">
      <c r="A475" t="s">
        <v>1011</v>
      </c>
      <c r="B475" t="s">
        <v>1010</v>
      </c>
      <c r="C475" s="9" t="s">
        <v>1723</v>
      </c>
      <c r="D47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279.51744131627993</v>
      </c>
      <c r="E475" t="str">
        <f>Table1[[#This Row],[Color Code]] &amp; " - " &amp;Table1[[#This Row],[Color Name]]</f>
        <v>6P1217 - CLARITY</v>
      </c>
    </row>
    <row r="476" spans="1:5" x14ac:dyDescent="0.35">
      <c r="A476" t="s">
        <v>528</v>
      </c>
      <c r="B476" t="s">
        <v>529</v>
      </c>
      <c r="C476" s="9" t="s">
        <v>1482</v>
      </c>
      <c r="D47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279.58004220616323</v>
      </c>
      <c r="E476" t="str">
        <f>Table1[[#This Row],[Color Code]] &amp; " - " &amp;Table1[[#This Row],[Color Name]]</f>
        <v>3T0819 - LEMON LIGHT</v>
      </c>
    </row>
    <row r="477" spans="1:5" x14ac:dyDescent="0.35">
      <c r="A477" t="s">
        <v>1087</v>
      </c>
      <c r="B477" t="s">
        <v>1086</v>
      </c>
      <c r="C477" s="9" t="s">
        <v>1761</v>
      </c>
      <c r="D47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279.63726504169648</v>
      </c>
      <c r="E477" t="str">
        <f>Table1[[#This Row],[Color Code]] &amp; " - " &amp;Table1[[#This Row],[Color Name]]</f>
        <v>6P1386 - VERY LAVENDER</v>
      </c>
    </row>
    <row r="478" spans="1:5" x14ac:dyDescent="0.35">
      <c r="A478" t="s">
        <v>1990</v>
      </c>
      <c r="B478" t="s">
        <v>1989</v>
      </c>
      <c r="C478" s="9" t="s">
        <v>1991</v>
      </c>
      <c r="D47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279.66765991083059</v>
      </c>
      <c r="E478" t="str">
        <f>Table1[[#This Row],[Color Code]] &amp; " - " &amp;Table1[[#This Row],[Color Name]]</f>
        <v>7P2452 - LILY BUD</v>
      </c>
    </row>
    <row r="479" spans="1:5" x14ac:dyDescent="0.35">
      <c r="A479" t="s">
        <v>744</v>
      </c>
      <c r="B479" t="s">
        <v>745</v>
      </c>
      <c r="C479" s="9" t="s">
        <v>1590</v>
      </c>
      <c r="D47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279.6801744850714</v>
      </c>
      <c r="E479" t="str">
        <f>Table1[[#This Row],[Color Code]] &amp; " - " &amp;Table1[[#This Row],[Color Name]]</f>
        <v>4P2105 - SPRING IS HERE</v>
      </c>
    </row>
    <row r="480" spans="1:5" x14ac:dyDescent="0.35">
      <c r="A480" t="s">
        <v>726</v>
      </c>
      <c r="B480" t="s">
        <v>727</v>
      </c>
      <c r="C480" s="9" t="s">
        <v>1581</v>
      </c>
      <c r="D48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279.75703744499441</v>
      </c>
      <c r="E480" t="str">
        <f>Table1[[#This Row],[Color Code]] &amp; " - " &amp;Table1[[#This Row],[Color Name]]</f>
        <v>4P1881 - CELESTIAL TEA</v>
      </c>
    </row>
    <row r="481" spans="1:5" x14ac:dyDescent="0.35">
      <c r="A481" t="s">
        <v>462</v>
      </c>
      <c r="B481" t="s">
        <v>463</v>
      </c>
      <c r="C481" s="9" t="s">
        <v>1449</v>
      </c>
      <c r="D48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279.86782594646354</v>
      </c>
      <c r="E481" t="str">
        <f>Table1[[#This Row],[Color Code]] &amp; " - " &amp;Table1[[#This Row],[Color Name]]</f>
        <v>3P1871 - POISE</v>
      </c>
    </row>
    <row r="482" spans="1:5" x14ac:dyDescent="0.35">
      <c r="A482" t="s">
        <v>662</v>
      </c>
      <c r="B482" t="s">
        <v>663</v>
      </c>
      <c r="C482" s="9" t="s">
        <v>1549</v>
      </c>
      <c r="D48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279.92856231545932</v>
      </c>
      <c r="E482" t="str">
        <f>Table1[[#This Row],[Color Code]] &amp; " - " &amp;Table1[[#This Row],[Color Name]]</f>
        <v>4P0273 - DIVA MINT</v>
      </c>
    </row>
    <row r="483" spans="1:5" x14ac:dyDescent="0.35">
      <c r="A483" t="s">
        <v>628</v>
      </c>
      <c r="B483" t="s">
        <v>629</v>
      </c>
      <c r="C483" s="9" t="s">
        <v>1532</v>
      </c>
      <c r="D48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279.94999553491692</v>
      </c>
      <c r="E483" t="str">
        <f>Table1[[#This Row],[Color Code]] &amp; " - " &amp;Table1[[#This Row],[Color Name]]</f>
        <v>4P0109 - TWINKLE GLOW</v>
      </c>
    </row>
    <row r="484" spans="1:5" x14ac:dyDescent="0.35">
      <c r="A484" t="s">
        <v>2083</v>
      </c>
      <c r="B484" t="s">
        <v>2082</v>
      </c>
      <c r="C484" s="9" t="s">
        <v>2084</v>
      </c>
      <c r="D48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280.04285386347567</v>
      </c>
      <c r="E484" t="str">
        <f>Table1[[#This Row],[Color Code]] &amp; " - " &amp;Table1[[#This Row],[Color Name]]</f>
        <v>8P0211 - HILL GRAY</v>
      </c>
    </row>
    <row r="485" spans="1:5" x14ac:dyDescent="0.35">
      <c r="A485" t="s">
        <v>2223</v>
      </c>
      <c r="B485" t="s">
        <v>2222</v>
      </c>
      <c r="C485" s="9" t="s">
        <v>2224</v>
      </c>
      <c r="D48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280.14460551650819</v>
      </c>
      <c r="E485" t="str">
        <f>Table1[[#This Row],[Color Code]] &amp; " - " &amp;Table1[[#This Row],[Color Name]]</f>
        <v>8P1960 - SECRETS</v>
      </c>
    </row>
    <row r="486" spans="1:5" x14ac:dyDescent="0.35">
      <c r="A486" t="s">
        <v>1297</v>
      </c>
      <c r="B486" t="s">
        <v>1296</v>
      </c>
      <c r="C486" s="9" t="s">
        <v>1865</v>
      </c>
      <c r="D48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280.15709878566349</v>
      </c>
      <c r="E486" t="str">
        <f>Table1[[#This Row],[Color Code]] &amp; " - " &amp;Table1[[#This Row],[Color Name]]</f>
        <v>7P1586 - SAND DOLLAR BEACH</v>
      </c>
    </row>
    <row r="487" spans="1:5" x14ac:dyDescent="0.35">
      <c r="A487" t="s">
        <v>999</v>
      </c>
      <c r="B487" t="s">
        <v>998</v>
      </c>
      <c r="C487" s="9" t="s">
        <v>1717</v>
      </c>
      <c r="D48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280.30162325609177</v>
      </c>
      <c r="E487" t="str">
        <f>Table1[[#This Row],[Color Code]] &amp; " - " &amp;Table1[[#This Row],[Color Name]]</f>
        <v>6P0175 - SWEET NOTHINGS</v>
      </c>
    </row>
    <row r="488" spans="1:5" x14ac:dyDescent="0.35">
      <c r="A488" t="s">
        <v>1251</v>
      </c>
      <c r="B488" t="s">
        <v>1250</v>
      </c>
      <c r="C488" s="9" t="s">
        <v>1843</v>
      </c>
      <c r="D48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280.38009915113446</v>
      </c>
      <c r="E488" t="str">
        <f>Table1[[#This Row],[Color Code]] &amp; " - " &amp;Table1[[#This Row],[Color Name]]</f>
        <v>7P1481 - GLIMPSE OF GREEN</v>
      </c>
    </row>
    <row r="489" spans="1:5" x14ac:dyDescent="0.35">
      <c r="A489" t="s">
        <v>1057</v>
      </c>
      <c r="B489" t="s">
        <v>1056</v>
      </c>
      <c r="C489" s="9" t="s">
        <v>1746</v>
      </c>
      <c r="D48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280.50490191795222</v>
      </c>
      <c r="E489" t="str">
        <f>Table1[[#This Row],[Color Code]] &amp; " - " &amp;Table1[[#This Row],[Color Name]]</f>
        <v>6P1314 - MELODY OF MAY</v>
      </c>
    </row>
    <row r="490" spans="1:5" x14ac:dyDescent="0.35">
      <c r="A490" t="s">
        <v>1907</v>
      </c>
      <c r="B490" t="s">
        <v>1906</v>
      </c>
      <c r="C490" s="9" t="s">
        <v>1908</v>
      </c>
      <c r="D49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280.59579469407589</v>
      </c>
      <c r="E490" t="str">
        <f>Table1[[#This Row],[Color Code]] &amp; " - " &amp;Table1[[#This Row],[Color Name]]</f>
        <v>7P1943 - BEING DISCREET</v>
      </c>
    </row>
    <row r="491" spans="1:5" x14ac:dyDescent="0.35">
      <c r="A491" t="s">
        <v>981</v>
      </c>
      <c r="B491" t="s">
        <v>980</v>
      </c>
      <c r="C491" s="9" t="s">
        <v>1708</v>
      </c>
      <c r="D49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280.61361335473373</v>
      </c>
      <c r="E491" t="str">
        <f>Table1[[#This Row],[Color Code]] &amp; " - " &amp;Table1[[#This Row],[Color Name]]</f>
        <v>6P0166 - BELLADONNA</v>
      </c>
    </row>
    <row r="492" spans="1:5" x14ac:dyDescent="0.35">
      <c r="A492" t="s">
        <v>1954</v>
      </c>
      <c r="B492" t="s">
        <v>1953</v>
      </c>
      <c r="C492" s="9" t="s">
        <v>1955</v>
      </c>
      <c r="D49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280.68131394875576</v>
      </c>
      <c r="E492" t="str">
        <f>Table1[[#This Row],[Color Code]] &amp; " - " &amp;Table1[[#This Row],[Color Name]]</f>
        <v>7P2399 - LILY IN A POND</v>
      </c>
    </row>
    <row r="493" spans="1:5" x14ac:dyDescent="0.35">
      <c r="A493" t="s">
        <v>1065</v>
      </c>
      <c r="B493" t="s">
        <v>1064</v>
      </c>
      <c r="C493" s="9" t="s">
        <v>1750</v>
      </c>
      <c r="D49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280.70090844170778</v>
      </c>
      <c r="E493" t="str">
        <f>Table1[[#This Row],[Color Code]] &amp; " - " &amp;Table1[[#This Row],[Color Name]]</f>
        <v>6P1338 - PURPUREA</v>
      </c>
    </row>
    <row r="494" spans="1:5" x14ac:dyDescent="0.35">
      <c r="A494" t="s">
        <v>2218</v>
      </c>
      <c r="B494" t="s">
        <v>2217</v>
      </c>
      <c r="C494" s="9" t="s">
        <v>2219</v>
      </c>
      <c r="D49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280.73118814980285</v>
      </c>
      <c r="E494" t="str">
        <f>Table1[[#This Row],[Color Code]] &amp; " - " &amp;Table1[[#This Row],[Color Name]]</f>
        <v>8P1958 - WOVEN SCARF</v>
      </c>
    </row>
    <row r="495" spans="1:5" x14ac:dyDescent="0.35">
      <c r="A495" t="s">
        <v>400</v>
      </c>
      <c r="B495" t="s">
        <v>401</v>
      </c>
      <c r="C495" s="9" t="s">
        <v>1419</v>
      </c>
      <c r="D49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280.79529910595011</v>
      </c>
      <c r="E495" t="str">
        <f>Table1[[#This Row],[Color Code]] &amp; " - " &amp;Table1[[#This Row],[Color Name]]</f>
        <v>3P0086 - INTRICATE</v>
      </c>
    </row>
    <row r="496" spans="1:5" x14ac:dyDescent="0.35">
      <c r="A496" t="s">
        <v>364</v>
      </c>
      <c r="B496" t="s">
        <v>365</v>
      </c>
      <c r="C496" s="9" t="s">
        <v>1401</v>
      </c>
      <c r="D49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280.88431782497219</v>
      </c>
      <c r="E496" t="str">
        <f>Table1[[#This Row],[Color Code]] &amp; " - " &amp;Table1[[#This Row],[Color Name]]</f>
        <v>3P0059 - WILD SILK</v>
      </c>
    </row>
    <row r="497" spans="1:5" x14ac:dyDescent="0.35">
      <c r="A497" t="s">
        <v>512</v>
      </c>
      <c r="B497" t="s">
        <v>513</v>
      </c>
      <c r="C497" s="9" t="s">
        <v>1474</v>
      </c>
      <c r="D49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281.02135150198109</v>
      </c>
      <c r="E497" t="str">
        <f>Table1[[#This Row],[Color Code]] &amp; " - " &amp;Table1[[#This Row],[Color Name]]</f>
        <v>3T0747 - SILKY CORN</v>
      </c>
    </row>
    <row r="498" spans="1:5" x14ac:dyDescent="0.35">
      <c r="A498" t="s">
        <v>78</v>
      </c>
      <c r="B498" t="s">
        <v>79</v>
      </c>
      <c r="C498" s="9" t="s">
        <v>186</v>
      </c>
      <c r="D49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281.30232846530083</v>
      </c>
      <c r="E498" t="str">
        <f>Table1[[#This Row],[Color Code]] &amp; " - " &amp;Table1[[#This Row],[Color Name]]</f>
        <v>1P0019 - PINK TINT</v>
      </c>
    </row>
    <row r="499" spans="1:5" x14ac:dyDescent="0.35">
      <c r="A499" t="s">
        <v>1091</v>
      </c>
      <c r="B499" t="s">
        <v>1090</v>
      </c>
      <c r="C499" s="9" t="s">
        <v>1763</v>
      </c>
      <c r="D49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281.30766075597728</v>
      </c>
      <c r="E499" t="str">
        <f>Table1[[#This Row],[Color Code]] &amp; " - " &amp;Table1[[#This Row],[Color Name]]</f>
        <v>6P1394 - ANGEL KISS</v>
      </c>
    </row>
    <row r="500" spans="1:5" x14ac:dyDescent="0.35">
      <c r="A500" t="s">
        <v>104</v>
      </c>
      <c r="B500" t="s">
        <v>105</v>
      </c>
      <c r="C500" s="9" t="s">
        <v>199</v>
      </c>
      <c r="D50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281.44093518889537</v>
      </c>
      <c r="E500" t="str">
        <f>Table1[[#This Row],[Color Code]] &amp; " - " &amp;Table1[[#This Row],[Color Name]]</f>
        <v>1P0217 - ADORABLE BLUSH</v>
      </c>
    </row>
    <row r="501" spans="1:5" x14ac:dyDescent="0.35">
      <c r="A501" t="s">
        <v>1073</v>
      </c>
      <c r="B501" t="s">
        <v>1072</v>
      </c>
      <c r="C501" s="9" t="s">
        <v>1754</v>
      </c>
      <c r="D50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281.44093518889537</v>
      </c>
      <c r="E501" t="str">
        <f>Table1[[#This Row],[Color Code]] &amp; " - " &amp;Table1[[#This Row],[Color Name]]</f>
        <v>6P1361 - MORNING MIST</v>
      </c>
    </row>
    <row r="502" spans="1:5" x14ac:dyDescent="0.35">
      <c r="A502" t="s">
        <v>288</v>
      </c>
      <c r="B502" t="s">
        <v>289</v>
      </c>
      <c r="C502" s="9" t="s">
        <v>1363</v>
      </c>
      <c r="D50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281.46935890075139</v>
      </c>
      <c r="E502" t="str">
        <f>Table1[[#This Row],[Color Code]] &amp; " - " &amp;Table1[[#This Row],[Color Name]]</f>
        <v>2P0714 - HONEY CREAM</v>
      </c>
    </row>
    <row r="503" spans="1:5" x14ac:dyDescent="0.35">
      <c r="A503" t="s">
        <v>995</v>
      </c>
      <c r="B503" t="s">
        <v>994</v>
      </c>
      <c r="C503" s="9" t="s">
        <v>1715</v>
      </c>
      <c r="D50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281.47113528743938</v>
      </c>
      <c r="E503" t="str">
        <f>Table1[[#This Row],[Color Code]] &amp; " - " &amp;Table1[[#This Row],[Color Name]]</f>
        <v>6P0173 - SWEET SHOP</v>
      </c>
    </row>
    <row r="504" spans="1:5" x14ac:dyDescent="0.35">
      <c r="A504" t="s">
        <v>166</v>
      </c>
      <c r="B504" t="s">
        <v>167</v>
      </c>
      <c r="C504" s="9" t="s">
        <v>230</v>
      </c>
      <c r="D50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281.71084466168497</v>
      </c>
      <c r="E504" t="str">
        <f>Table1[[#This Row],[Color Code]] &amp; " - " &amp;Table1[[#This Row],[Color Name]]</f>
        <v>1P0561 - JUST BARELY</v>
      </c>
    </row>
    <row r="505" spans="1:5" x14ac:dyDescent="0.35">
      <c r="A505" t="s">
        <v>486</v>
      </c>
      <c r="B505" t="s">
        <v>487</v>
      </c>
      <c r="C505" s="9" t="s">
        <v>1461</v>
      </c>
      <c r="D50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281.71616922001476</v>
      </c>
      <c r="E505" t="str">
        <f>Table1[[#This Row],[Color Code]] &amp; " - " &amp;Table1[[#This Row],[Color Name]]</f>
        <v>3P2082 - SCENIC SPOT</v>
      </c>
    </row>
    <row r="506" spans="1:5" x14ac:dyDescent="0.35">
      <c r="A506" t="s">
        <v>624</v>
      </c>
      <c r="B506" t="s">
        <v>625</v>
      </c>
      <c r="C506" s="9" t="s">
        <v>1530</v>
      </c>
      <c r="D50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281.76940926935271</v>
      </c>
      <c r="E506" t="str">
        <f>Table1[[#This Row],[Color Code]] &amp; " - " &amp;Table1[[#This Row],[Color Name]]</f>
        <v>4P0107 - SPRITE FLOWER</v>
      </c>
    </row>
    <row r="507" spans="1:5" x14ac:dyDescent="0.35">
      <c r="A507" t="s">
        <v>756</v>
      </c>
      <c r="B507" t="s">
        <v>757</v>
      </c>
      <c r="C507" s="9" t="s">
        <v>1596</v>
      </c>
      <c r="D50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281.78892810044897</v>
      </c>
      <c r="E507" t="str">
        <f>Table1[[#This Row],[Color Code]] &amp; " - " &amp;Table1[[#This Row],[Color Name]]</f>
        <v>4P2135 - YOUTHFUL</v>
      </c>
    </row>
    <row r="508" spans="1:5" x14ac:dyDescent="0.35">
      <c r="A508" t="s">
        <v>422</v>
      </c>
      <c r="B508" t="s">
        <v>423</v>
      </c>
      <c r="C508" s="9" t="s">
        <v>1430</v>
      </c>
      <c r="D50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281.82441342083905</v>
      </c>
      <c r="E508" t="str">
        <f>Table1[[#This Row],[Color Code]] &amp; " - " &amp;Table1[[#This Row],[Color Name]]</f>
        <v>3P0858 - TIME FOR FUN</v>
      </c>
    </row>
    <row r="509" spans="1:5" x14ac:dyDescent="0.35">
      <c r="A509" t="s">
        <v>152</v>
      </c>
      <c r="B509" t="s">
        <v>153</v>
      </c>
      <c r="C509" s="9" t="s">
        <v>223</v>
      </c>
      <c r="D50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281.83150994876354</v>
      </c>
      <c r="E509" t="str">
        <f>Table1[[#This Row],[Color Code]] &amp; " - " &amp;Table1[[#This Row],[Color Name]]</f>
        <v>1P0529 - CAMEO KISS</v>
      </c>
    </row>
    <row r="510" spans="1:5" x14ac:dyDescent="0.35">
      <c r="A510" t="s">
        <v>2330</v>
      </c>
      <c r="B510" t="s">
        <v>2329</v>
      </c>
      <c r="C510" s="9" t="s">
        <v>2331</v>
      </c>
      <c r="D51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281.87585920046433</v>
      </c>
      <c r="E510" t="str">
        <f>Table1[[#This Row],[Color Code]] &amp; " - " &amp;Table1[[#This Row],[Color Name]]</f>
        <v>8P2679 - WHITE SPHERE</v>
      </c>
    </row>
    <row r="511" spans="1:5" x14ac:dyDescent="0.35">
      <c r="A511" t="s">
        <v>264</v>
      </c>
      <c r="B511" t="s">
        <v>265</v>
      </c>
      <c r="C511" s="9" t="s">
        <v>1351</v>
      </c>
      <c r="D51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282.03723158476788</v>
      </c>
      <c r="E511" t="str">
        <f>Table1[[#This Row],[Color Code]] &amp; " - " &amp;Table1[[#This Row],[Color Name]]</f>
        <v>2P0585 - TAFFY PULL</v>
      </c>
    </row>
    <row r="512" spans="1:5" x14ac:dyDescent="0.35">
      <c r="A512" t="s">
        <v>1293</v>
      </c>
      <c r="B512" t="s">
        <v>1292</v>
      </c>
      <c r="C512" s="9" t="s">
        <v>1863</v>
      </c>
      <c r="D51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282.03900439478224</v>
      </c>
      <c r="E512" t="str">
        <f>Table1[[#This Row],[Color Code]] &amp; " - " &amp;Table1[[#This Row],[Color Name]]</f>
        <v>7P1570 - ARTISTOS</v>
      </c>
    </row>
    <row r="513" spans="1:5" x14ac:dyDescent="0.35">
      <c r="A513" t="s">
        <v>320</v>
      </c>
      <c r="B513" t="s">
        <v>321</v>
      </c>
      <c r="C513" s="9" t="s">
        <v>1379</v>
      </c>
      <c r="D51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282.07977594999608</v>
      </c>
      <c r="E513" t="str">
        <f>Table1[[#This Row],[Color Code]] &amp; " - " &amp;Table1[[#This Row],[Color Name]]</f>
        <v>2P2030 - CLOUDY APPLE</v>
      </c>
    </row>
    <row r="514" spans="1:5" x14ac:dyDescent="0.35">
      <c r="A514" t="s">
        <v>1083</v>
      </c>
      <c r="B514" t="s">
        <v>1082</v>
      </c>
      <c r="C514" s="9" t="s">
        <v>1759</v>
      </c>
      <c r="D51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282.23040233114506</v>
      </c>
      <c r="E514" t="str">
        <f>Table1[[#This Row],[Color Code]] &amp; " - " &amp;Table1[[#This Row],[Color Name]]</f>
        <v>6P1378 - APRIL ANTHEM</v>
      </c>
    </row>
    <row r="515" spans="1:5" x14ac:dyDescent="0.35">
      <c r="A515" t="s">
        <v>2259</v>
      </c>
      <c r="B515" t="s">
        <v>2258</v>
      </c>
      <c r="C515" s="9" t="s">
        <v>2260</v>
      </c>
      <c r="D51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282.35615806991001</v>
      </c>
      <c r="E515" t="str">
        <f>Table1[[#This Row],[Color Code]] &amp; " - " &amp;Table1[[#This Row],[Color Name]]</f>
        <v>8P2556 - LACED UP</v>
      </c>
    </row>
    <row r="516" spans="1:5" x14ac:dyDescent="0.35">
      <c r="A516" t="s">
        <v>246</v>
      </c>
      <c r="B516" t="s">
        <v>247</v>
      </c>
      <c r="C516" s="9" t="s">
        <v>1342</v>
      </c>
      <c r="D51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282.39334269773428</v>
      </c>
      <c r="E516" t="str">
        <f>Table1[[#This Row],[Color Code]] &amp; " - " &amp;Table1[[#This Row],[Color Name]]</f>
        <v>2P0042 - ADONIS CREAM</v>
      </c>
    </row>
    <row r="517" spans="1:5" x14ac:dyDescent="0.35">
      <c r="A517" t="s">
        <v>308</v>
      </c>
      <c r="B517" t="s">
        <v>309</v>
      </c>
      <c r="C517" s="9" t="s">
        <v>1373</v>
      </c>
      <c r="D51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282.39865438772898</v>
      </c>
      <c r="E517" t="str">
        <f>Table1[[#This Row],[Color Code]] &amp; " - " &amp;Table1[[#This Row],[Color Name]]</f>
        <v>2P1908 - ROSELLINI</v>
      </c>
    </row>
    <row r="518" spans="1:5" x14ac:dyDescent="0.35">
      <c r="A518" t="s">
        <v>1247</v>
      </c>
      <c r="B518" t="s">
        <v>1246</v>
      </c>
      <c r="C518" s="9" t="s">
        <v>1841</v>
      </c>
      <c r="D51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282.4004249288588</v>
      </c>
      <c r="E518" t="str">
        <f>Table1[[#This Row],[Color Code]] &amp; " - " &amp;Table1[[#This Row],[Color Name]]</f>
        <v>7P1473 - SPRING INSPIRATION</v>
      </c>
    </row>
    <row r="519" spans="1:5" x14ac:dyDescent="0.35">
      <c r="A519" t="s">
        <v>1045</v>
      </c>
      <c r="B519" t="s">
        <v>1044</v>
      </c>
      <c r="C519" s="9" t="s">
        <v>1740</v>
      </c>
      <c r="D51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282.40396597781694</v>
      </c>
      <c r="E519" t="str">
        <f>Table1[[#This Row],[Color Code]] &amp; " - " &amp;Table1[[#This Row],[Color Name]]</f>
        <v>6P1289 - SOFT LAVENDER</v>
      </c>
    </row>
    <row r="520" spans="1:5" x14ac:dyDescent="0.35">
      <c r="A520" t="s">
        <v>1275</v>
      </c>
      <c r="B520" t="s">
        <v>1274</v>
      </c>
      <c r="C520" s="9" t="s">
        <v>1855</v>
      </c>
      <c r="D52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282.412818405964</v>
      </c>
      <c r="E520" t="str">
        <f>Table1[[#This Row],[Color Code]] &amp; " - " &amp;Table1[[#This Row],[Color Name]]</f>
        <v>7P1529 - SPRING MELODY</v>
      </c>
    </row>
    <row r="521" spans="1:5" x14ac:dyDescent="0.35">
      <c r="A521" t="s">
        <v>931</v>
      </c>
      <c r="B521" t="s">
        <v>930</v>
      </c>
      <c r="C521" s="9" t="s">
        <v>1683</v>
      </c>
      <c r="D52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282.45176579373691</v>
      </c>
      <c r="E521" t="str">
        <f>Table1[[#This Row],[Color Code]] &amp; " - " &amp;Table1[[#This Row],[Color Name]]</f>
        <v>5P1113 - JUNE BREEZE</v>
      </c>
    </row>
    <row r="522" spans="1:5" x14ac:dyDescent="0.35">
      <c r="A522" t="s">
        <v>1029</v>
      </c>
      <c r="B522" t="s">
        <v>1028</v>
      </c>
      <c r="C522" s="9" t="s">
        <v>1732</v>
      </c>
      <c r="D52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282.52787473097231</v>
      </c>
      <c r="E522" t="str">
        <f>Table1[[#This Row],[Color Code]] &amp; " - " &amp;Table1[[#This Row],[Color Name]]</f>
        <v>6P1257 - PRELUDE TO PURPLE</v>
      </c>
    </row>
    <row r="523" spans="1:5" x14ac:dyDescent="0.35">
      <c r="A523" t="s">
        <v>514</v>
      </c>
      <c r="B523" t="s">
        <v>515</v>
      </c>
      <c r="C523" s="9" t="s">
        <v>1475</v>
      </c>
      <c r="D52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282.58980873343609</v>
      </c>
      <c r="E523" t="str">
        <f>Table1[[#This Row],[Color Code]] &amp; " - " &amp;Table1[[#This Row],[Color Name]]</f>
        <v>3T0755 - SUN RAY</v>
      </c>
    </row>
    <row r="524" spans="1:5" x14ac:dyDescent="0.35">
      <c r="A524" t="s">
        <v>750</v>
      </c>
      <c r="B524" t="s">
        <v>751</v>
      </c>
      <c r="C524" s="9" t="s">
        <v>1593</v>
      </c>
      <c r="D52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282.60396317107796</v>
      </c>
      <c r="E524" t="str">
        <f>Table1[[#This Row],[Color Code]] &amp; " - " &amp;Table1[[#This Row],[Color Name]]</f>
        <v>4P2123 - YOUNG BUD</v>
      </c>
    </row>
    <row r="525" spans="1:5" x14ac:dyDescent="0.35">
      <c r="A525" t="s">
        <v>847</v>
      </c>
      <c r="B525" t="s">
        <v>846</v>
      </c>
      <c r="C525" s="9" t="s">
        <v>1641</v>
      </c>
      <c r="D52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282.79144258622819</v>
      </c>
      <c r="E525" t="str">
        <f>Table1[[#This Row],[Color Code]] &amp; " - " &amp;Table1[[#This Row],[Color Name]]</f>
        <v>5P0129 - MISTY MIRAGE</v>
      </c>
    </row>
    <row r="526" spans="1:5" x14ac:dyDescent="0.35">
      <c r="A526" t="s">
        <v>158</v>
      </c>
      <c r="B526" t="s">
        <v>159</v>
      </c>
      <c r="C526" s="9" t="s">
        <v>226</v>
      </c>
      <c r="D52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282.87629805270006</v>
      </c>
      <c r="E526" t="str">
        <f>Table1[[#This Row],[Color Code]] &amp; " - " &amp;Table1[[#This Row],[Color Name]]</f>
        <v>1P0545 - ADANNA AIRE</v>
      </c>
    </row>
    <row r="527" spans="1:5" x14ac:dyDescent="0.35">
      <c r="A527" t="s">
        <v>1910</v>
      </c>
      <c r="B527" t="s">
        <v>1909</v>
      </c>
      <c r="C527" s="9" t="s">
        <v>1911</v>
      </c>
      <c r="D52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282.91694894438547</v>
      </c>
      <c r="E527" t="str">
        <f>Table1[[#This Row],[Color Code]] &amp; " - " &amp;Table1[[#This Row],[Color Name]]</f>
        <v>7P1944 - SCOTCH DROPS</v>
      </c>
    </row>
    <row r="528" spans="1:5" x14ac:dyDescent="0.35">
      <c r="A528" t="s">
        <v>1283</v>
      </c>
      <c r="B528" t="s">
        <v>1282</v>
      </c>
      <c r="C528" s="9" t="s">
        <v>1859</v>
      </c>
      <c r="D52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283.05829788225606</v>
      </c>
      <c r="E528" t="str">
        <f>Table1[[#This Row],[Color Code]] &amp; " - " &amp;Table1[[#This Row],[Color Name]]</f>
        <v>7P1553 - POWDERHORN</v>
      </c>
    </row>
    <row r="529" spans="1:5" x14ac:dyDescent="0.35">
      <c r="A529" t="s">
        <v>748</v>
      </c>
      <c r="B529" t="s">
        <v>749</v>
      </c>
      <c r="C529" s="9" t="s">
        <v>1592</v>
      </c>
      <c r="D52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283.0653634763533</v>
      </c>
      <c r="E529" t="str">
        <f>Table1[[#This Row],[Color Code]] &amp; " - " &amp;Table1[[#This Row],[Color Name]]</f>
        <v>4P2117 - TINGE OF SPRING</v>
      </c>
    </row>
    <row r="530" spans="1:5" x14ac:dyDescent="0.35">
      <c r="A530" t="s">
        <v>1259</v>
      </c>
      <c r="B530" t="s">
        <v>1258</v>
      </c>
      <c r="C530" s="9" t="s">
        <v>1847</v>
      </c>
      <c r="D53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283.1077533378413</v>
      </c>
      <c r="E530" t="str">
        <f>Table1[[#This Row],[Color Code]] &amp; " - " &amp;Table1[[#This Row],[Color Name]]</f>
        <v>7P1497 - SUMMER SMILE</v>
      </c>
    </row>
    <row r="531" spans="1:5" x14ac:dyDescent="0.35">
      <c r="A531" t="s">
        <v>961</v>
      </c>
      <c r="B531" t="s">
        <v>960</v>
      </c>
      <c r="C531" s="9" t="s">
        <v>1698</v>
      </c>
      <c r="D53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283.19781072600119</v>
      </c>
      <c r="E531" t="str">
        <f>Table1[[#This Row],[Color Code]] &amp; " - " &amp;Table1[[#This Row],[Color Name]]</f>
        <v>6P0156 - SIMPLE SWEET</v>
      </c>
    </row>
    <row r="532" spans="1:5" x14ac:dyDescent="0.35">
      <c r="A532" t="s">
        <v>1936</v>
      </c>
      <c r="B532" t="s">
        <v>1935</v>
      </c>
      <c r="C532" s="9" t="s">
        <v>1937</v>
      </c>
      <c r="D53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283.48015803579619</v>
      </c>
      <c r="E532" t="str">
        <f>Table1[[#This Row],[Color Code]] &amp; " - " &amp;Table1[[#This Row],[Color Name]]</f>
        <v>7P1953 - OPAL STONE</v>
      </c>
    </row>
    <row r="533" spans="1:5" x14ac:dyDescent="0.35">
      <c r="A533" t="s">
        <v>1916</v>
      </c>
      <c r="B533" t="s">
        <v>1915</v>
      </c>
      <c r="C533" s="9" t="s">
        <v>1917</v>
      </c>
      <c r="D53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283.51190451196226</v>
      </c>
      <c r="E533" t="str">
        <f>Table1[[#This Row],[Color Code]] &amp; " - " &amp;Table1[[#This Row],[Color Name]]</f>
        <v>7P1946 - PINE SEED</v>
      </c>
    </row>
    <row r="534" spans="1:5" x14ac:dyDescent="0.35">
      <c r="A534" t="s">
        <v>1129</v>
      </c>
      <c r="B534" t="s">
        <v>1128</v>
      </c>
      <c r="C534" s="9" t="s">
        <v>1782</v>
      </c>
      <c r="D53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283.5277764170558</v>
      </c>
      <c r="E534" t="str">
        <f>Table1[[#This Row],[Color Code]] &amp; " - " &amp;Table1[[#This Row],[Color Name]]</f>
        <v>6P2298 - FEELING SPECIAL</v>
      </c>
    </row>
    <row r="535" spans="1:5" x14ac:dyDescent="0.35">
      <c r="A535" t="s">
        <v>766</v>
      </c>
      <c r="B535" t="s">
        <v>767</v>
      </c>
      <c r="C535" s="9" t="s">
        <v>1601</v>
      </c>
      <c r="D53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283.60712261859715</v>
      </c>
      <c r="E535" t="str">
        <f>Table1[[#This Row],[Color Code]] &amp; " - " &amp;Table1[[#This Row],[Color Name]]</f>
        <v>4P2158 - WALKING DAY</v>
      </c>
    </row>
    <row r="536" spans="1:5" x14ac:dyDescent="0.35">
      <c r="A536" t="s">
        <v>304</v>
      </c>
      <c r="B536" t="s">
        <v>305</v>
      </c>
      <c r="C536" s="9" t="s">
        <v>1371</v>
      </c>
      <c r="D53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283.60888561538405</v>
      </c>
      <c r="E536" t="str">
        <f>Table1[[#This Row],[Color Code]] &amp; " - " &amp;Table1[[#This Row],[Color Name]]</f>
        <v>2P1874 - SPARKLING WINE</v>
      </c>
    </row>
    <row r="537" spans="1:5" x14ac:dyDescent="0.35">
      <c r="A537" t="s">
        <v>1295</v>
      </c>
      <c r="B537" t="s">
        <v>1294</v>
      </c>
      <c r="C537" s="9" t="s">
        <v>1864</v>
      </c>
      <c r="D53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283.71464537453824</v>
      </c>
      <c r="E537" t="str">
        <f>Table1[[#This Row],[Color Code]] &amp; " - " &amp;Table1[[#This Row],[Color Name]]</f>
        <v>7P1578 - ANTIQUE ALMOND</v>
      </c>
    </row>
    <row r="538" spans="1:5" x14ac:dyDescent="0.35">
      <c r="A538" t="s">
        <v>993</v>
      </c>
      <c r="B538" t="s">
        <v>992</v>
      </c>
      <c r="C538" s="9" t="s">
        <v>1714</v>
      </c>
      <c r="D53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283.79922480514284</v>
      </c>
      <c r="E538" t="str">
        <f>Table1[[#This Row],[Color Code]] &amp; " - " &amp;Table1[[#This Row],[Color Name]]</f>
        <v>6P0172 - TEABERRY BUDS</v>
      </c>
    </row>
    <row r="539" spans="1:5" x14ac:dyDescent="0.35">
      <c r="A539" t="s">
        <v>977</v>
      </c>
      <c r="B539" t="s">
        <v>976</v>
      </c>
      <c r="C539" s="9" t="s">
        <v>1706</v>
      </c>
      <c r="D53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283.86264283980728</v>
      </c>
      <c r="E539" t="str">
        <f>Table1[[#This Row],[Color Code]] &amp; " - " &amp;Table1[[#This Row],[Color Name]]</f>
        <v>6P0164 - JUST DEMURE</v>
      </c>
    </row>
    <row r="540" spans="1:5" x14ac:dyDescent="0.35">
      <c r="A540" t="s">
        <v>58</v>
      </c>
      <c r="B540" t="s">
        <v>59</v>
      </c>
      <c r="C540" s="9" t="s">
        <v>176</v>
      </c>
      <c r="D54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283.90667480705696</v>
      </c>
      <c r="E540" t="str">
        <f>Table1[[#This Row],[Color Code]] &amp; " - " &amp;Table1[[#This Row],[Color Name]]</f>
        <v>1P0003 - PINK ESCAPE</v>
      </c>
    </row>
    <row r="541" spans="1:5" x14ac:dyDescent="0.35">
      <c r="A541" t="s">
        <v>2303</v>
      </c>
      <c r="B541" t="s">
        <v>2302</v>
      </c>
      <c r="C541" s="9" t="s">
        <v>2304</v>
      </c>
      <c r="D54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283.99119704666901</v>
      </c>
      <c r="E541" t="str">
        <f>Table1[[#This Row],[Color Code]] &amp; " - " &amp;Table1[[#This Row],[Color Name]]</f>
        <v>8P2634 - DEW IN THE MORN</v>
      </c>
    </row>
    <row r="542" spans="1:5" x14ac:dyDescent="0.35">
      <c r="A542" t="s">
        <v>793</v>
      </c>
      <c r="B542" t="s">
        <v>792</v>
      </c>
      <c r="C542" s="9" t="s">
        <v>1614</v>
      </c>
      <c r="D54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284.01584462842914</v>
      </c>
      <c r="E542" t="str">
        <f>Table1[[#This Row],[Color Code]] &amp; " - " &amp;Table1[[#This Row],[Color Name]]</f>
        <v>4P2209 - REFRESH</v>
      </c>
    </row>
    <row r="543" spans="1:5" x14ac:dyDescent="0.35">
      <c r="A543" t="s">
        <v>1945</v>
      </c>
      <c r="B543" t="s">
        <v>1944</v>
      </c>
      <c r="C543" s="9" t="s">
        <v>1946</v>
      </c>
      <c r="D54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284.08097437174496</v>
      </c>
      <c r="E543" t="str">
        <f>Table1[[#This Row],[Color Code]] &amp; " - " &amp;Table1[[#This Row],[Color Name]]</f>
        <v>7P1956 - STARRY WHITE</v>
      </c>
    </row>
    <row r="544" spans="1:5" x14ac:dyDescent="0.35">
      <c r="A544" t="s">
        <v>1271</v>
      </c>
      <c r="B544" t="s">
        <v>1270</v>
      </c>
      <c r="C544" s="9" t="s">
        <v>1853</v>
      </c>
      <c r="D54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284.10209432526187</v>
      </c>
      <c r="E544" t="str">
        <f>Table1[[#This Row],[Color Code]] &amp; " - " &amp;Table1[[#This Row],[Color Name]]</f>
        <v>7P1521 - BRIDAL WREATH</v>
      </c>
    </row>
    <row r="545" spans="1:5" x14ac:dyDescent="0.35">
      <c r="A545" t="s">
        <v>322</v>
      </c>
      <c r="B545" t="s">
        <v>323</v>
      </c>
      <c r="C545" s="9" t="s">
        <v>1380</v>
      </c>
      <c r="D54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284.12145290350747</v>
      </c>
      <c r="E545" t="str">
        <f>Table1[[#This Row],[Color Code]] &amp; " - " &amp;Table1[[#This Row],[Color Name]]</f>
        <v>2P2031 - PASSING THOUGHT</v>
      </c>
    </row>
    <row r="546" spans="1:5" x14ac:dyDescent="0.35">
      <c r="A546" t="s">
        <v>774</v>
      </c>
      <c r="B546" t="s">
        <v>775</v>
      </c>
      <c r="C546" s="9" t="s">
        <v>1605</v>
      </c>
      <c r="D54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284.21646679951533</v>
      </c>
      <c r="E546" t="str">
        <f>Table1[[#This Row],[Color Code]] &amp; " - " &amp;Table1[[#This Row],[Color Name]]</f>
        <v>4P2168 - SOFT PEAK</v>
      </c>
    </row>
    <row r="547" spans="1:5" x14ac:dyDescent="0.35">
      <c r="A547" t="s">
        <v>262</v>
      </c>
      <c r="B547" t="s">
        <v>263</v>
      </c>
      <c r="C547" s="9" t="s">
        <v>1350</v>
      </c>
      <c r="D54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284.31320757221249</v>
      </c>
      <c r="E547" t="str">
        <f>Table1[[#This Row],[Color Code]] &amp; " - " &amp;Table1[[#This Row],[Color Name]]</f>
        <v>2P0229 - CALMING TOUCH</v>
      </c>
    </row>
    <row r="548" spans="1:5" x14ac:dyDescent="0.35">
      <c r="A548" t="s">
        <v>268</v>
      </c>
      <c r="B548" t="s">
        <v>269</v>
      </c>
      <c r="C548" s="9" t="s">
        <v>1353</v>
      </c>
      <c r="D54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284.40815740762429</v>
      </c>
      <c r="E548" t="str">
        <f>Table1[[#This Row],[Color Code]] &amp; " - " &amp;Table1[[#This Row],[Color Name]]</f>
        <v>2P0593 - FRESH IVORY</v>
      </c>
    </row>
    <row r="549" spans="1:5" x14ac:dyDescent="0.35">
      <c r="A549" t="s">
        <v>460</v>
      </c>
      <c r="B549" t="s">
        <v>461</v>
      </c>
      <c r="C549" s="9" t="s">
        <v>1448</v>
      </c>
      <c r="D54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284.43980030930976</v>
      </c>
      <c r="E549" t="str">
        <f>Table1[[#This Row],[Color Code]] &amp; " - " &amp;Table1[[#This Row],[Color Name]]</f>
        <v>3P1870 - SOUL SENSATION</v>
      </c>
    </row>
    <row r="550" spans="1:5" x14ac:dyDescent="0.35">
      <c r="A550" t="s">
        <v>1049</v>
      </c>
      <c r="B550" t="s">
        <v>1048</v>
      </c>
      <c r="C550" s="9" t="s">
        <v>1742</v>
      </c>
      <c r="D55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284.43980030930976</v>
      </c>
      <c r="E550" t="str">
        <f>Table1[[#This Row],[Color Code]] &amp; " - " &amp;Table1[[#This Row],[Color Name]]</f>
        <v>6P1297 - PURPLE PASTEL</v>
      </c>
    </row>
    <row r="551" spans="1:5" x14ac:dyDescent="0.35">
      <c r="A551" t="s">
        <v>1041</v>
      </c>
      <c r="B551" t="s">
        <v>1040</v>
      </c>
      <c r="C551" s="9" t="s">
        <v>1738</v>
      </c>
      <c r="D55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284.45034716097643</v>
      </c>
      <c r="E551" t="str">
        <f>Table1[[#This Row],[Color Code]] &amp; " - " &amp;Table1[[#This Row],[Color Name]]</f>
        <v>6P1281 - HAPPY HEATHER</v>
      </c>
    </row>
    <row r="552" spans="1:5" x14ac:dyDescent="0.35">
      <c r="A552" t="s">
        <v>957</v>
      </c>
      <c r="B552" t="s">
        <v>956</v>
      </c>
      <c r="C552" s="9" t="s">
        <v>1696</v>
      </c>
      <c r="D55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284.49780315496287</v>
      </c>
      <c r="E552" t="str">
        <f>Table1[[#This Row],[Color Code]] &amp; " - " &amp;Table1[[#This Row],[Color Name]]</f>
        <v>6P0154 - GLISTENING GLAZE</v>
      </c>
    </row>
    <row r="553" spans="1:5" x14ac:dyDescent="0.35">
      <c r="A553" t="s">
        <v>835</v>
      </c>
      <c r="B553" t="s">
        <v>834</v>
      </c>
      <c r="C553" s="9" t="s">
        <v>1635</v>
      </c>
      <c r="D55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284.50834785643815</v>
      </c>
      <c r="E553" t="str">
        <f>Table1[[#This Row],[Color Code]] &amp; " - " &amp;Table1[[#This Row],[Color Name]]</f>
        <v>5P0123 - FROSTED ICE</v>
      </c>
    </row>
    <row r="554" spans="1:5" x14ac:dyDescent="0.35">
      <c r="A554" t="s">
        <v>781</v>
      </c>
      <c r="B554" t="s">
        <v>780</v>
      </c>
      <c r="C554" s="9" t="s">
        <v>1608</v>
      </c>
      <c r="D55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284.57687889215458</v>
      </c>
      <c r="E554" t="str">
        <f>Table1[[#This Row],[Color Code]] &amp; " - " &amp;Table1[[#This Row],[Color Name]]</f>
        <v>4P2184 - QUIET CORNER</v>
      </c>
    </row>
    <row r="555" spans="1:5" x14ac:dyDescent="0.35">
      <c r="A555" t="s">
        <v>1133</v>
      </c>
      <c r="B555" t="s">
        <v>1132</v>
      </c>
      <c r="C555" s="9" t="s">
        <v>1784</v>
      </c>
      <c r="D55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284.60498941515414</v>
      </c>
      <c r="E555" t="str">
        <f>Table1[[#This Row],[Color Code]] &amp; " - " &amp;Table1[[#This Row],[Color Name]]</f>
        <v>6P2309 - GRAPE SCENT</v>
      </c>
    </row>
    <row r="556" spans="1:5" x14ac:dyDescent="0.35">
      <c r="A556" t="s">
        <v>2032</v>
      </c>
      <c r="B556" t="s">
        <v>2031</v>
      </c>
      <c r="C556" s="9" t="s">
        <v>2033</v>
      </c>
      <c r="D55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284.64188026360421</v>
      </c>
      <c r="E556" t="str">
        <f>Table1[[#This Row],[Color Code]] &amp; " - " &amp;Table1[[#This Row],[Color Name]]</f>
        <v>8P0193 - SWEET GARDENIA</v>
      </c>
    </row>
    <row r="557" spans="1:5" x14ac:dyDescent="0.35">
      <c r="A557" t="s">
        <v>2215</v>
      </c>
      <c r="B557" t="s">
        <v>2214</v>
      </c>
      <c r="C557" s="9" t="s">
        <v>2216</v>
      </c>
      <c r="D55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284.66998436786412</v>
      </c>
      <c r="E557" t="str">
        <f>Table1[[#This Row],[Color Code]] &amp; " - " &amp;Table1[[#This Row],[Color Name]]</f>
        <v>8P1957 - WISHING WELL</v>
      </c>
    </row>
    <row r="558" spans="1:5" x14ac:dyDescent="0.35">
      <c r="A558" t="s">
        <v>270</v>
      </c>
      <c r="B558" t="s">
        <v>271</v>
      </c>
      <c r="C558" s="9" t="s">
        <v>1354</v>
      </c>
      <c r="D55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284.72091598616356</v>
      </c>
      <c r="E558" t="str">
        <f>Table1[[#This Row],[Color Code]] &amp; " - " &amp;Table1[[#This Row],[Color Name]]</f>
        <v>2P0601 - BEIGEFUL</v>
      </c>
    </row>
    <row r="559" spans="1:5" x14ac:dyDescent="0.35">
      <c r="A559" t="s">
        <v>690</v>
      </c>
      <c r="B559" t="s">
        <v>691</v>
      </c>
      <c r="C559" s="9" t="s">
        <v>1563</v>
      </c>
      <c r="D55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284.75603593251537</v>
      </c>
      <c r="E559" t="str">
        <f>Table1[[#This Row],[Color Code]] &amp; " - " &amp;Table1[[#This Row],[Color Name]]</f>
        <v>4P0985 - TENDER TOUCH</v>
      </c>
    </row>
    <row r="560" spans="1:5" x14ac:dyDescent="0.35">
      <c r="A560" t="s">
        <v>752</v>
      </c>
      <c r="B560" t="s">
        <v>753</v>
      </c>
      <c r="C560" s="9" t="s">
        <v>1594</v>
      </c>
      <c r="D56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284.91577702893181</v>
      </c>
      <c r="E560" t="str">
        <f>Table1[[#This Row],[Color Code]] &amp; " - " &amp;Table1[[#This Row],[Color Name]]</f>
        <v>4P2127 - PEAR TEA</v>
      </c>
    </row>
    <row r="561" spans="1:5" x14ac:dyDescent="0.35">
      <c r="A561" t="s">
        <v>863</v>
      </c>
      <c r="B561" t="s">
        <v>862</v>
      </c>
      <c r="C561" s="9" t="s">
        <v>1649</v>
      </c>
      <c r="D56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284.95789162611379</v>
      </c>
      <c r="E561" t="str">
        <f>Table1[[#This Row],[Color Code]] &amp; " - " &amp;Table1[[#This Row],[Color Name]]</f>
        <v>5P0138 - WHISP OF BLUE</v>
      </c>
    </row>
    <row r="562" spans="1:5" x14ac:dyDescent="0.35">
      <c r="A562" t="s">
        <v>2101</v>
      </c>
      <c r="B562" t="s">
        <v>2100</v>
      </c>
      <c r="C562" s="9" t="s">
        <v>2102</v>
      </c>
      <c r="D56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285.06315089818258</v>
      </c>
      <c r="E562" t="str">
        <f>Table1[[#This Row],[Color Code]] &amp; " - " &amp;Table1[[#This Row],[Color Name]]</f>
        <v>8P0345 - DISTANT HAZE</v>
      </c>
    </row>
    <row r="563" spans="1:5" x14ac:dyDescent="0.35">
      <c r="A563" t="s">
        <v>1033</v>
      </c>
      <c r="B563" t="s">
        <v>1032</v>
      </c>
      <c r="C563" s="9" t="s">
        <v>1734</v>
      </c>
      <c r="D56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285.07016680108774</v>
      </c>
      <c r="E563" t="str">
        <f>Table1[[#This Row],[Color Code]] &amp; " - " &amp;Table1[[#This Row],[Color Name]]</f>
        <v>6P1265 - PROUD PRUDENCE</v>
      </c>
    </row>
    <row r="564" spans="1:5" x14ac:dyDescent="0.35">
      <c r="A564" t="s">
        <v>1898</v>
      </c>
      <c r="B564" t="s">
        <v>1897</v>
      </c>
      <c r="C564" s="9" t="s">
        <v>1899</v>
      </c>
      <c r="D56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285.22973197056439</v>
      </c>
      <c r="E564" t="str">
        <f>Table1[[#This Row],[Color Code]] &amp; " - " &amp;Table1[[#This Row],[Color Name]]</f>
        <v>7P1940 - TIP OF ICEBERG</v>
      </c>
    </row>
    <row r="565" spans="1:5" x14ac:dyDescent="0.35">
      <c r="A565" t="s">
        <v>2381</v>
      </c>
      <c r="B565" t="s">
        <v>2380</v>
      </c>
      <c r="C565" s="9" t="s">
        <v>2382</v>
      </c>
      <c r="D56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285.24726116125987</v>
      </c>
      <c r="E565" t="str">
        <f>Table1[[#This Row],[Color Code]] &amp; " - " &amp;Table1[[#This Row],[Color Name]]</f>
        <v>8P2749 - SANDY WHITE</v>
      </c>
    </row>
    <row r="566" spans="1:5" x14ac:dyDescent="0.35">
      <c r="A566" t="s">
        <v>2035</v>
      </c>
      <c r="B566" t="s">
        <v>2034</v>
      </c>
      <c r="C566" s="9" t="s">
        <v>2036</v>
      </c>
      <c r="D56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285.2542725359254</v>
      </c>
      <c r="E566" t="str">
        <f>Table1[[#This Row],[Color Code]] &amp; " - " &amp;Table1[[#This Row],[Color Name]]</f>
        <v>8P0194 - SUNWASHED</v>
      </c>
    </row>
    <row r="567" spans="1:5" x14ac:dyDescent="0.35">
      <c r="A567" t="s">
        <v>1195</v>
      </c>
      <c r="B567" t="s">
        <v>1194</v>
      </c>
      <c r="C567" s="9" t="s">
        <v>1815</v>
      </c>
      <c r="D56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285.31736715454247</v>
      </c>
      <c r="E567" t="str">
        <f>Table1[[#This Row],[Color Code]] &amp; " - " &amp;Table1[[#This Row],[Color Name]]</f>
        <v>7P0177 - INNOCENT CREAM</v>
      </c>
    </row>
    <row r="568" spans="1:5" x14ac:dyDescent="0.35">
      <c r="A568" t="s">
        <v>837</v>
      </c>
      <c r="B568" t="s">
        <v>836</v>
      </c>
      <c r="C568" s="9" t="s">
        <v>1636</v>
      </c>
      <c r="D56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285.32262440963211</v>
      </c>
      <c r="E568" t="str">
        <f>Table1[[#This Row],[Color Code]] &amp; " - " &amp;Table1[[#This Row],[Color Name]]</f>
        <v>5P0124 - CRISP MORNING</v>
      </c>
    </row>
    <row r="569" spans="1:5" x14ac:dyDescent="0.35">
      <c r="A569" t="s">
        <v>480</v>
      </c>
      <c r="B569" t="s">
        <v>481</v>
      </c>
      <c r="C569" s="9" t="s">
        <v>1458</v>
      </c>
      <c r="D56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285.40672732085346</v>
      </c>
      <c r="E569" t="str">
        <f>Table1[[#This Row],[Color Code]] &amp; " - " &amp;Table1[[#This Row],[Color Name]]</f>
        <v>3P2068 - SOFT HANDS</v>
      </c>
    </row>
    <row r="570" spans="1:5" x14ac:dyDescent="0.35">
      <c r="A570" t="s">
        <v>1978</v>
      </c>
      <c r="B570" t="s">
        <v>1977</v>
      </c>
      <c r="C570" s="9" t="s">
        <v>1979</v>
      </c>
      <c r="D57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285.59061609233589</v>
      </c>
      <c r="E570" t="str">
        <f>Table1[[#This Row],[Color Code]] &amp; " - " &amp;Table1[[#This Row],[Color Name]]</f>
        <v>7P2431 - LIGHT SPRINKLE</v>
      </c>
    </row>
    <row r="571" spans="1:5" x14ac:dyDescent="0.35">
      <c r="A571" t="s">
        <v>366</v>
      </c>
      <c r="B571" t="s">
        <v>367</v>
      </c>
      <c r="C571" s="9" t="s">
        <v>1402</v>
      </c>
      <c r="D57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285.66588875817848</v>
      </c>
      <c r="E571" t="str">
        <f>Table1[[#This Row],[Color Code]] &amp; " - " &amp;Table1[[#This Row],[Color Name]]</f>
        <v>3P0060 - STARCHED LINEN</v>
      </c>
    </row>
    <row r="572" spans="1:5" x14ac:dyDescent="0.35">
      <c r="A572" t="s">
        <v>2185</v>
      </c>
      <c r="B572" t="s">
        <v>2184</v>
      </c>
      <c r="C572" s="9" t="s">
        <v>2186</v>
      </c>
      <c r="D57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285.75863941445408</v>
      </c>
      <c r="E572" t="str">
        <f>Table1[[#This Row],[Color Code]] &amp; " - " &amp;Table1[[#This Row],[Color Name]]</f>
        <v>8P1801 - EASTER LILY</v>
      </c>
    </row>
    <row r="573" spans="1:5" x14ac:dyDescent="0.35">
      <c r="A573" t="s">
        <v>1925</v>
      </c>
      <c r="B573" t="s">
        <v>1924</v>
      </c>
      <c r="C573" s="9" t="s">
        <v>1926</v>
      </c>
      <c r="D57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285.81287584711782</v>
      </c>
      <c r="E573" t="str">
        <f>Table1[[#This Row],[Color Code]] &amp; " - " &amp;Table1[[#This Row],[Color Name]]</f>
        <v>7P1949 - LIGHT DESSERT</v>
      </c>
    </row>
    <row r="574" spans="1:5" x14ac:dyDescent="0.35">
      <c r="A574" t="s">
        <v>1948</v>
      </c>
      <c r="B574" t="s">
        <v>1947</v>
      </c>
      <c r="C574" s="9" t="s">
        <v>1949</v>
      </c>
      <c r="D57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285.84436324685504</v>
      </c>
      <c r="E574" t="str">
        <f>Table1[[#This Row],[Color Code]] &amp; " - " &amp;Table1[[#This Row],[Color Name]]</f>
        <v>7P2391 - GROWING PLANT</v>
      </c>
    </row>
    <row r="575" spans="1:5" x14ac:dyDescent="0.35">
      <c r="A575" t="s">
        <v>1263</v>
      </c>
      <c r="B575" t="s">
        <v>1262</v>
      </c>
      <c r="C575" s="9" t="s">
        <v>1849</v>
      </c>
      <c r="D57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285.86185474805831</v>
      </c>
      <c r="E575" t="str">
        <f>Table1[[#This Row],[Color Code]] &amp; " - " &amp;Table1[[#This Row],[Color Name]]</f>
        <v>7P1505 - SPRING BREAK</v>
      </c>
    </row>
    <row r="576" spans="1:5" x14ac:dyDescent="0.35">
      <c r="A576" t="s">
        <v>614</v>
      </c>
      <c r="B576" t="s">
        <v>615</v>
      </c>
      <c r="C576" s="9" t="s">
        <v>1525</v>
      </c>
      <c r="D57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285.86360383931355</v>
      </c>
      <c r="E576" t="str">
        <f>Table1[[#This Row],[Color Code]] &amp; " - " &amp;Table1[[#This Row],[Color Name]]</f>
        <v>4P0100 - MISTY AVALON</v>
      </c>
    </row>
    <row r="577" spans="1:5" x14ac:dyDescent="0.35">
      <c r="A577" t="s">
        <v>734</v>
      </c>
      <c r="B577" t="s">
        <v>735</v>
      </c>
      <c r="C577" s="9" t="s">
        <v>1585</v>
      </c>
      <c r="D57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285.97027817589714</v>
      </c>
      <c r="E577" t="str">
        <f>Table1[[#This Row],[Color Code]] &amp; " - " &amp;Table1[[#This Row],[Color Name]]</f>
        <v>4P1885 - FROZEN LAKE</v>
      </c>
    </row>
    <row r="578" spans="1:5" x14ac:dyDescent="0.35">
      <c r="A578" t="s">
        <v>1061</v>
      </c>
      <c r="B578" t="s">
        <v>1060</v>
      </c>
      <c r="C578" s="9" t="s">
        <v>1748</v>
      </c>
      <c r="D57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286.02272636977642</v>
      </c>
      <c r="E578" t="str">
        <f>Table1[[#This Row],[Color Code]] &amp; " - " &amp;Table1[[#This Row],[Color Name]]</f>
        <v>6P1329 - MISS AMERICA</v>
      </c>
    </row>
    <row r="579" spans="1:5" x14ac:dyDescent="0.35">
      <c r="A579" t="s">
        <v>600</v>
      </c>
      <c r="B579" t="s">
        <v>601</v>
      </c>
      <c r="C579" s="9" t="s">
        <v>1518</v>
      </c>
      <c r="D57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286.11186623417075</v>
      </c>
      <c r="E579" t="str">
        <f>Table1[[#This Row],[Color Code]] &amp; " - " &amp;Table1[[#This Row],[Color Name]]</f>
        <v>4P0093 - ELEMINT</v>
      </c>
    </row>
    <row r="580" spans="1:5" x14ac:dyDescent="0.35">
      <c r="A580" t="s">
        <v>1037</v>
      </c>
      <c r="B580" t="s">
        <v>1036</v>
      </c>
      <c r="C580" s="9" t="s">
        <v>1736</v>
      </c>
      <c r="D58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286.16603572052361</v>
      </c>
      <c r="E580" t="str">
        <f>Table1[[#This Row],[Color Code]] &amp; " - " &amp;Table1[[#This Row],[Color Name]]</f>
        <v>6P1273 - ROYAL TOUCH</v>
      </c>
    </row>
    <row r="581" spans="1:5" x14ac:dyDescent="0.35">
      <c r="A581" t="s">
        <v>2294</v>
      </c>
      <c r="B581" t="s">
        <v>2293</v>
      </c>
      <c r="C581" s="9" t="s">
        <v>2295</v>
      </c>
      <c r="D58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286.17651895290084</v>
      </c>
      <c r="E581" t="str">
        <f>Table1[[#This Row],[Color Code]] &amp; " - " &amp;Table1[[#This Row],[Color Name]]</f>
        <v>8P2615 - SKY SHIMMER</v>
      </c>
    </row>
    <row r="582" spans="1:5" x14ac:dyDescent="0.35">
      <c r="A582" t="s">
        <v>740</v>
      </c>
      <c r="B582" t="s">
        <v>741</v>
      </c>
      <c r="C582" s="9" t="s">
        <v>1588</v>
      </c>
      <c r="D58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286.19748426567276</v>
      </c>
      <c r="E582" t="str">
        <f>Table1[[#This Row],[Color Code]] &amp; " - " &amp;Table1[[#This Row],[Color Name]]</f>
        <v>4P2097 - SOBA</v>
      </c>
    </row>
    <row r="583" spans="1:5" x14ac:dyDescent="0.35">
      <c r="A583" t="s">
        <v>1303</v>
      </c>
      <c r="B583" t="s">
        <v>1302</v>
      </c>
      <c r="C583" s="9" t="s">
        <v>1868</v>
      </c>
      <c r="D58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286.21146028766913</v>
      </c>
      <c r="E583" t="str">
        <f>Table1[[#This Row],[Color Code]] &amp; " - " &amp;Table1[[#This Row],[Color Name]]</f>
        <v>7P1601 - ALMONDINE</v>
      </c>
    </row>
    <row r="584" spans="1:5" x14ac:dyDescent="0.35">
      <c r="A584" t="s">
        <v>1093</v>
      </c>
      <c r="B584" t="s">
        <v>1092</v>
      </c>
      <c r="C584" s="9" t="s">
        <v>1764</v>
      </c>
      <c r="D58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286.29180917378687</v>
      </c>
      <c r="E584" t="str">
        <f>Table1[[#This Row],[Color Code]] &amp; " - " &amp;Table1[[#This Row],[Color Name]]</f>
        <v>6P1401 - SWEET BEGINNINGS</v>
      </c>
    </row>
    <row r="585" spans="1:5" x14ac:dyDescent="0.35">
      <c r="A585" t="s">
        <v>278</v>
      </c>
      <c r="B585" t="s">
        <v>279</v>
      </c>
      <c r="C585" s="9" t="s">
        <v>1358</v>
      </c>
      <c r="D58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286.31800502238764</v>
      </c>
      <c r="E585" t="str">
        <f>Table1[[#This Row],[Color Code]] &amp; " - " &amp;Table1[[#This Row],[Color Name]]</f>
        <v>2P0634 - APRICOT BLUSH</v>
      </c>
    </row>
    <row r="586" spans="1:5" x14ac:dyDescent="0.35">
      <c r="A586" t="s">
        <v>274</v>
      </c>
      <c r="B586" t="s">
        <v>275</v>
      </c>
      <c r="C586" s="9" t="s">
        <v>1356</v>
      </c>
      <c r="D58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286.42101878179261</v>
      </c>
      <c r="E586" t="str">
        <f>Table1[[#This Row],[Color Code]] &amp; " - " &amp;Table1[[#This Row],[Color Name]]</f>
        <v>2P0609 - SALTWATER TAFFY</v>
      </c>
    </row>
    <row r="587" spans="1:5" x14ac:dyDescent="0.35">
      <c r="A587" t="s">
        <v>484</v>
      </c>
      <c r="B587" t="s">
        <v>485</v>
      </c>
      <c r="C587" s="9" t="s">
        <v>1460</v>
      </c>
      <c r="D58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286.46291208461872</v>
      </c>
      <c r="E587" t="str">
        <f>Table1[[#This Row],[Color Code]] &amp; " - " &amp;Table1[[#This Row],[Color Name]]</f>
        <v>3P2081 - BATH FOAM</v>
      </c>
    </row>
    <row r="588" spans="1:5" x14ac:dyDescent="0.35">
      <c r="A588" t="s">
        <v>516</v>
      </c>
      <c r="B588" t="s">
        <v>517</v>
      </c>
      <c r="C588" s="9" t="s">
        <v>1476</v>
      </c>
      <c r="D58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286.51003472827961</v>
      </c>
      <c r="E588" t="str">
        <f>Table1[[#This Row],[Color Code]] &amp; " - " &amp;Table1[[#This Row],[Color Name]]</f>
        <v>3T0763 - CELEBRATION SUN</v>
      </c>
    </row>
    <row r="589" spans="1:5" x14ac:dyDescent="0.35">
      <c r="A589" t="s">
        <v>881</v>
      </c>
      <c r="B589" t="s">
        <v>880</v>
      </c>
      <c r="C589" s="9" t="s">
        <v>1658</v>
      </c>
      <c r="D58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286.69321582486043</v>
      </c>
      <c r="E589" t="str">
        <f>Table1[[#This Row],[Color Code]] &amp; " - " &amp;Table1[[#This Row],[Color Name]]</f>
        <v>5P0147 - GOSSAMER</v>
      </c>
    </row>
    <row r="590" spans="1:5" x14ac:dyDescent="0.35">
      <c r="A590" t="s">
        <v>1233</v>
      </c>
      <c r="B590" t="s">
        <v>1232</v>
      </c>
      <c r="C590" s="9" t="s">
        <v>1834</v>
      </c>
      <c r="D59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286.70193581488076</v>
      </c>
      <c r="E590" t="str">
        <f>Table1[[#This Row],[Color Code]] &amp; " - " &amp;Table1[[#This Row],[Color Name]]</f>
        <v>7P1441 - AQUA APPEAL</v>
      </c>
    </row>
    <row r="591" spans="1:5" x14ac:dyDescent="0.35">
      <c r="A591" t="s">
        <v>1081</v>
      </c>
      <c r="B591" t="s">
        <v>1080</v>
      </c>
      <c r="C591" s="9" t="s">
        <v>1758</v>
      </c>
      <c r="D59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286.75076285861911</v>
      </c>
      <c r="E591" t="str">
        <f>Table1[[#This Row],[Color Code]] &amp; " - " &amp;Table1[[#This Row],[Color Name]]</f>
        <v>6P1377 - SUNRISE SURPRISE</v>
      </c>
    </row>
    <row r="592" spans="1:5" x14ac:dyDescent="0.35">
      <c r="A592" t="s">
        <v>760</v>
      </c>
      <c r="B592" t="s">
        <v>761</v>
      </c>
      <c r="C592" s="9" t="s">
        <v>1598</v>
      </c>
      <c r="D59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286.76471191553537</v>
      </c>
      <c r="E592" t="str">
        <f>Table1[[#This Row],[Color Code]] &amp; " - " &amp;Table1[[#This Row],[Color Name]]</f>
        <v>4P2145 - QUIET MORNING</v>
      </c>
    </row>
    <row r="593" spans="1:5" x14ac:dyDescent="0.35">
      <c r="A593" t="s">
        <v>94</v>
      </c>
      <c r="B593" t="s">
        <v>95</v>
      </c>
      <c r="C593" s="9" t="s">
        <v>194</v>
      </c>
      <c r="D59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286.79958158965297</v>
      </c>
      <c r="E593" t="str">
        <f>Table1[[#This Row],[Color Code]] &amp; " - " &amp;Table1[[#This Row],[Color Name]]</f>
        <v>1P0028 - EARNEST PINK</v>
      </c>
    </row>
    <row r="594" spans="1:5" x14ac:dyDescent="0.35">
      <c r="A594" t="s">
        <v>1139</v>
      </c>
      <c r="B594" t="s">
        <v>1138</v>
      </c>
      <c r="C594" s="9" t="s">
        <v>1787</v>
      </c>
      <c r="D59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287.00871066920598</v>
      </c>
      <c r="E594" t="str">
        <f>Table1[[#This Row],[Color Code]] &amp; " - " &amp;Table1[[#This Row],[Color Name]]</f>
        <v>6P2325 - HINT OF VIOLET</v>
      </c>
    </row>
    <row r="595" spans="1:5" x14ac:dyDescent="0.35">
      <c r="A595" t="s">
        <v>376</v>
      </c>
      <c r="B595" t="s">
        <v>377</v>
      </c>
      <c r="C595" s="9" t="s">
        <v>1407</v>
      </c>
      <c r="D59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287.03484109076373</v>
      </c>
      <c r="E595" t="str">
        <f>Table1[[#This Row],[Color Code]] &amp; " - " &amp;Table1[[#This Row],[Color Name]]</f>
        <v>3P0066 - PALE SATEEN</v>
      </c>
    </row>
    <row r="596" spans="1:5" x14ac:dyDescent="0.35">
      <c r="A596" t="s">
        <v>1017</v>
      </c>
      <c r="B596" t="s">
        <v>1016</v>
      </c>
      <c r="C596" s="9" t="s">
        <v>1726</v>
      </c>
      <c r="D59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287.07838650793622</v>
      </c>
      <c r="E596" t="str">
        <f>Table1[[#This Row],[Color Code]] &amp; " - " &amp;Table1[[#This Row],[Color Name]]</f>
        <v>6P1233 - LAVENDER MIST</v>
      </c>
    </row>
    <row r="597" spans="1:5" x14ac:dyDescent="0.35">
      <c r="A597" t="s">
        <v>332</v>
      </c>
      <c r="B597" t="s">
        <v>333</v>
      </c>
      <c r="C597" s="9" t="s">
        <v>1385</v>
      </c>
      <c r="D59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287.1062521088665</v>
      </c>
      <c r="E597" t="str">
        <f>Table1[[#This Row],[Color Code]] &amp; " - " &amp;Table1[[#This Row],[Color Name]]</f>
        <v>2P2045 - BREAK OF DAY</v>
      </c>
    </row>
    <row r="598" spans="1:5" x14ac:dyDescent="0.35">
      <c r="A598" t="s">
        <v>724</v>
      </c>
      <c r="B598" t="s">
        <v>725</v>
      </c>
      <c r="C598" s="9" t="s">
        <v>1580</v>
      </c>
      <c r="D59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287.1393389976372</v>
      </c>
      <c r="E598" t="str">
        <f>Table1[[#This Row],[Color Code]] &amp; " - " &amp;Table1[[#This Row],[Color Name]]</f>
        <v>4P1880 - CUCUMBERINI</v>
      </c>
    </row>
    <row r="599" spans="1:5" x14ac:dyDescent="0.35">
      <c r="A599" t="s">
        <v>1307</v>
      </c>
      <c r="B599" t="s">
        <v>1306</v>
      </c>
      <c r="C599" s="9" t="s">
        <v>1870</v>
      </c>
      <c r="D59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287.16719868397229</v>
      </c>
      <c r="E599" t="str">
        <f>Table1[[#This Row],[Color Code]] &amp; " - " &amp;Table1[[#This Row],[Color Name]]</f>
        <v>7P1609 - SOFT SAND</v>
      </c>
    </row>
    <row r="600" spans="1:5" x14ac:dyDescent="0.35">
      <c r="A600" t="s">
        <v>608</v>
      </c>
      <c r="B600" t="s">
        <v>609</v>
      </c>
      <c r="C600" s="9" t="s">
        <v>1522</v>
      </c>
      <c r="D60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287.24031750435034</v>
      </c>
      <c r="E600" t="str">
        <f>Table1[[#This Row],[Color Code]] &amp; " - " &amp;Table1[[#This Row],[Color Name]]</f>
        <v>4P0097 - WHITE CLOVER</v>
      </c>
    </row>
    <row r="601" spans="1:5" x14ac:dyDescent="0.35">
      <c r="A601" t="s">
        <v>336</v>
      </c>
      <c r="B601" t="s">
        <v>337</v>
      </c>
      <c r="C601" s="9" t="s">
        <v>1387</v>
      </c>
      <c r="D60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287.25424278850954</v>
      </c>
      <c r="E601" t="str">
        <f>Table1[[#This Row],[Color Code]] &amp; " - " &amp;Table1[[#This Row],[Color Name]]</f>
        <v>2P2053 - SOFT TOUCH</v>
      </c>
    </row>
    <row r="602" spans="1:5" x14ac:dyDescent="0.35">
      <c r="A602" t="s">
        <v>768</v>
      </c>
      <c r="B602" t="s">
        <v>769</v>
      </c>
      <c r="C602" s="9" t="s">
        <v>1602</v>
      </c>
      <c r="D60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287.34648075102643</v>
      </c>
      <c r="E602" t="str">
        <f>Table1[[#This Row],[Color Code]] &amp; " - " &amp;Table1[[#This Row],[Color Name]]</f>
        <v>4P2159 - PICNIC DAY</v>
      </c>
    </row>
    <row r="603" spans="1:5" x14ac:dyDescent="0.35">
      <c r="A603" t="s">
        <v>797</v>
      </c>
      <c r="B603" t="s">
        <v>796</v>
      </c>
      <c r="C603" s="9" t="s">
        <v>1616</v>
      </c>
      <c r="D60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287.53608469199133</v>
      </c>
      <c r="E603" t="str">
        <f>Table1[[#This Row],[Color Code]] &amp; " - " &amp;Table1[[#This Row],[Color Name]]</f>
        <v>4P2216 - SMALL TWIG</v>
      </c>
    </row>
    <row r="604" spans="1:5" x14ac:dyDescent="0.35">
      <c r="A604" t="s">
        <v>1021</v>
      </c>
      <c r="B604" t="s">
        <v>1020</v>
      </c>
      <c r="C604" s="9" t="s">
        <v>1728</v>
      </c>
      <c r="D60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287.54999565292991</v>
      </c>
      <c r="E604" t="str">
        <f>Table1[[#This Row],[Color Code]] &amp; " - " &amp;Table1[[#This Row],[Color Name]]</f>
        <v>6P1241 - LAVENDER FREEZE</v>
      </c>
    </row>
    <row r="605" spans="1:5" x14ac:dyDescent="0.35">
      <c r="A605" t="s">
        <v>1963</v>
      </c>
      <c r="B605" t="s">
        <v>1962</v>
      </c>
      <c r="C605" s="9" t="s">
        <v>1964</v>
      </c>
      <c r="D60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287.62823227214676</v>
      </c>
      <c r="E605" t="str">
        <f>Table1[[#This Row],[Color Code]] &amp; " - " &amp;Table1[[#This Row],[Color Name]]</f>
        <v>7P2408 - VANILLIAN</v>
      </c>
    </row>
    <row r="606" spans="1:5" x14ac:dyDescent="0.35">
      <c r="A606" t="s">
        <v>410</v>
      </c>
      <c r="B606" t="s">
        <v>411</v>
      </c>
      <c r="C606" s="9" t="s">
        <v>1424</v>
      </c>
      <c r="D60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287.75857936819193</v>
      </c>
      <c r="E606" t="str">
        <f>Table1[[#This Row],[Color Code]] &amp; " - " &amp;Table1[[#This Row],[Color Name]]</f>
        <v>3P0249 - CANDLE GLOW</v>
      </c>
    </row>
    <row r="607" spans="1:5" x14ac:dyDescent="0.35">
      <c r="A607" t="s">
        <v>284</v>
      </c>
      <c r="B607" t="s">
        <v>285</v>
      </c>
      <c r="C607" s="9" t="s">
        <v>1361</v>
      </c>
      <c r="D60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287.86455148211633</v>
      </c>
      <c r="E607" t="str">
        <f>Table1[[#This Row],[Color Code]] &amp; " - " &amp;Table1[[#This Row],[Color Name]]</f>
        <v>2P0682 - SUMMER TOWN</v>
      </c>
    </row>
    <row r="608" spans="1:5" x14ac:dyDescent="0.35">
      <c r="A608" t="s">
        <v>1089</v>
      </c>
      <c r="B608" t="s">
        <v>1088</v>
      </c>
      <c r="C608" s="9" t="s">
        <v>1762</v>
      </c>
      <c r="D60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287.87844657077056</v>
      </c>
      <c r="E608" t="str">
        <f>Table1[[#This Row],[Color Code]] &amp; " - " &amp;Table1[[#This Row],[Color Name]]</f>
        <v>6P1393 - EASTER MORN</v>
      </c>
    </row>
    <row r="609" spans="1:5" x14ac:dyDescent="0.35">
      <c r="A609" t="s">
        <v>162</v>
      </c>
      <c r="B609" t="s">
        <v>163</v>
      </c>
      <c r="C609" s="9" t="s">
        <v>228</v>
      </c>
      <c r="D60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288.04513535208332</v>
      </c>
      <c r="E609" t="str">
        <f>Table1[[#This Row],[Color Code]] &amp; " - " &amp;Table1[[#This Row],[Color Name]]</f>
        <v>1P0553 - FACE OF INNOCENCE</v>
      </c>
    </row>
    <row r="610" spans="1:5" x14ac:dyDescent="0.35">
      <c r="A610" t="s">
        <v>2366</v>
      </c>
      <c r="B610" t="s">
        <v>2365</v>
      </c>
      <c r="C610" s="9" t="s">
        <v>2367</v>
      </c>
      <c r="D61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288.10588331375669</v>
      </c>
      <c r="E610" t="str">
        <f>Table1[[#This Row],[Color Code]] &amp; " - " &amp;Table1[[#This Row],[Color Name]]</f>
        <v>8P2730 - ARCTIC ALPS</v>
      </c>
    </row>
    <row r="611" spans="1:5" x14ac:dyDescent="0.35">
      <c r="A611" t="s">
        <v>2345</v>
      </c>
      <c r="B611" t="s">
        <v>2344</v>
      </c>
      <c r="C611" s="9" t="s">
        <v>2346</v>
      </c>
      <c r="D61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288.18917398125836</v>
      </c>
      <c r="E611" t="str">
        <f>Table1[[#This Row],[Color Code]] &amp; " - " &amp;Table1[[#This Row],[Color Name]]</f>
        <v>8P2705 - SILVER STREAM</v>
      </c>
    </row>
    <row r="612" spans="1:5" x14ac:dyDescent="0.35">
      <c r="A612" t="s">
        <v>2008</v>
      </c>
      <c r="B612" t="s">
        <v>2007</v>
      </c>
      <c r="C612" s="9" t="s">
        <v>2009</v>
      </c>
      <c r="D61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288.24468772208104</v>
      </c>
      <c r="E612" t="str">
        <f>Table1[[#This Row],[Color Code]] &amp; " - " &amp;Table1[[#This Row],[Color Name]]</f>
        <v>7P2484 - WIFT OF PERFUME</v>
      </c>
    </row>
    <row r="613" spans="1:5" x14ac:dyDescent="0.35">
      <c r="A613" t="s">
        <v>520</v>
      </c>
      <c r="B613" t="s">
        <v>521</v>
      </c>
      <c r="C613" s="9" t="s">
        <v>1478</v>
      </c>
      <c r="D61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288.34181105070422</v>
      </c>
      <c r="E613" t="str">
        <f>Table1[[#This Row],[Color Code]] &amp; " - " &amp;Table1[[#This Row],[Color Name]]</f>
        <v>3T0771 - SUNWASHED YELLOW</v>
      </c>
    </row>
    <row r="614" spans="1:5" x14ac:dyDescent="0.35">
      <c r="A614" t="s">
        <v>877</v>
      </c>
      <c r="B614" t="s">
        <v>876</v>
      </c>
      <c r="C614" s="9" t="s">
        <v>1656</v>
      </c>
      <c r="D61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288.37822386581132</v>
      </c>
      <c r="E614" t="str">
        <f>Table1[[#This Row],[Color Code]] &amp; " - " &amp;Table1[[#This Row],[Color Name]]</f>
        <v>5P0145 - ELFIN MIST</v>
      </c>
    </row>
    <row r="615" spans="1:5" x14ac:dyDescent="0.35">
      <c r="A615" t="s">
        <v>72</v>
      </c>
      <c r="B615" t="s">
        <v>73</v>
      </c>
      <c r="C615" s="9" t="s">
        <v>183</v>
      </c>
      <c r="D61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288.49436736269217</v>
      </c>
      <c r="E615" t="str">
        <f>Table1[[#This Row],[Color Code]] &amp; " - " &amp;Table1[[#This Row],[Color Name]]</f>
        <v>1P0012 - SHEER PINK</v>
      </c>
    </row>
    <row r="616" spans="1:5" x14ac:dyDescent="0.35">
      <c r="A616" t="s">
        <v>2306</v>
      </c>
      <c r="B616" t="s">
        <v>2305</v>
      </c>
      <c r="C616" s="9" t="s">
        <v>2307</v>
      </c>
      <c r="D61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288.53595963068449</v>
      </c>
      <c r="E616" t="str">
        <f>Table1[[#This Row],[Color Code]] &amp; " - " &amp;Table1[[#This Row],[Color Name]]</f>
        <v>8P2642 - FLUTTERING WINGS</v>
      </c>
    </row>
    <row r="617" spans="1:5" x14ac:dyDescent="0.35">
      <c r="A617" t="s">
        <v>1901</v>
      </c>
      <c r="B617" t="s">
        <v>1900</v>
      </c>
      <c r="C617" s="9" t="s">
        <v>1902</v>
      </c>
      <c r="D61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288.67628929304186</v>
      </c>
      <c r="E617" t="str">
        <f>Table1[[#This Row],[Color Code]] &amp; " - " &amp;Table1[[#This Row],[Color Name]]</f>
        <v>7P1941 - FINE WINE</v>
      </c>
    </row>
    <row r="618" spans="1:5" x14ac:dyDescent="0.35">
      <c r="A618" t="s">
        <v>955</v>
      </c>
      <c r="B618" t="s">
        <v>954</v>
      </c>
      <c r="C618" s="9" t="s">
        <v>1695</v>
      </c>
      <c r="D61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288.75768388044673</v>
      </c>
      <c r="E618" t="str">
        <f>Table1[[#This Row],[Color Code]] &amp; " - " &amp;Table1[[#This Row],[Color Name]]</f>
        <v>6P0153 - GENTLE FLOWER</v>
      </c>
    </row>
    <row r="619" spans="1:5" x14ac:dyDescent="0.35">
      <c r="A619" t="s">
        <v>1972</v>
      </c>
      <c r="B619" t="s">
        <v>1971</v>
      </c>
      <c r="C619" s="9" t="s">
        <v>1973</v>
      </c>
      <c r="D61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288.80443209895515</v>
      </c>
      <c r="E619" t="str">
        <f>Table1[[#This Row],[Color Code]] &amp; " - " &amp;Table1[[#This Row],[Color Name]]</f>
        <v>7P2425 - BEIGE WOOL</v>
      </c>
    </row>
    <row r="620" spans="1:5" x14ac:dyDescent="0.35">
      <c r="A620" t="s">
        <v>1311</v>
      </c>
      <c r="B620" t="s">
        <v>1310</v>
      </c>
      <c r="C620" s="9" t="s">
        <v>1872</v>
      </c>
      <c r="D62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288.84597971929605</v>
      </c>
      <c r="E620" t="str">
        <f>Table1[[#This Row],[Color Code]] &amp; " - " &amp;Table1[[#This Row],[Color Name]]</f>
        <v>7P1617 - ANGEL FOOD</v>
      </c>
    </row>
    <row r="621" spans="1:5" x14ac:dyDescent="0.35">
      <c r="A621" t="s">
        <v>2191</v>
      </c>
      <c r="B621" t="s">
        <v>2190</v>
      </c>
      <c r="C621" s="9" t="s">
        <v>2192</v>
      </c>
      <c r="D62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288.93770954999974</v>
      </c>
      <c r="E621" t="str">
        <f>Table1[[#This Row],[Color Code]] &amp; " - " &amp;Table1[[#This Row],[Color Name]]</f>
        <v>8P1809 - SAIL AWAY</v>
      </c>
    </row>
    <row r="622" spans="1:5" x14ac:dyDescent="0.35">
      <c r="A622" t="s">
        <v>640</v>
      </c>
      <c r="B622" t="s">
        <v>641</v>
      </c>
      <c r="C622" s="9" t="s">
        <v>1538</v>
      </c>
      <c r="D62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289.02249047435737</v>
      </c>
      <c r="E622" t="str">
        <f>Table1[[#This Row],[Color Code]] &amp; " - " &amp;Table1[[#This Row],[Color Name]]</f>
        <v>4P0115 - MOUNTAIN MIST</v>
      </c>
    </row>
    <row r="623" spans="1:5" x14ac:dyDescent="0.35">
      <c r="A623" t="s">
        <v>1085</v>
      </c>
      <c r="B623" t="s">
        <v>1084</v>
      </c>
      <c r="C623" s="9" t="s">
        <v>1760</v>
      </c>
      <c r="D62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289.25075626521703</v>
      </c>
      <c r="E623" t="str">
        <f>Table1[[#This Row],[Color Code]] &amp; " - " &amp;Table1[[#This Row],[Color Name]]</f>
        <v>6P1385 - LITTLE LILAC</v>
      </c>
    </row>
    <row r="624" spans="1:5" x14ac:dyDescent="0.35">
      <c r="A624" t="s">
        <v>1966</v>
      </c>
      <c r="B624" t="s">
        <v>1965</v>
      </c>
      <c r="C624" s="9" t="s">
        <v>1967</v>
      </c>
      <c r="D62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289.27668416241221</v>
      </c>
      <c r="E624" t="str">
        <f>Table1[[#This Row],[Color Code]] &amp; " - " &amp;Table1[[#This Row],[Color Name]]</f>
        <v>7P2412 - BLINKING EYES</v>
      </c>
    </row>
    <row r="625" spans="1:5" x14ac:dyDescent="0.35">
      <c r="A625" t="s">
        <v>1199</v>
      </c>
      <c r="B625" t="s">
        <v>1198</v>
      </c>
      <c r="C625" s="9" t="s">
        <v>1817</v>
      </c>
      <c r="D62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289.28359787585606</v>
      </c>
      <c r="E625" t="str">
        <f>Table1[[#This Row],[Color Code]] &amp; " - " &amp;Table1[[#This Row],[Color Name]]</f>
        <v>7P0179 - FOSSIL BEIGE</v>
      </c>
    </row>
    <row r="626" spans="1:5" x14ac:dyDescent="0.35">
      <c r="A626" t="s">
        <v>1984</v>
      </c>
      <c r="B626" t="s">
        <v>1983</v>
      </c>
      <c r="C626" s="9" t="s">
        <v>1985</v>
      </c>
      <c r="D62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289.32507668710639</v>
      </c>
      <c r="E626" t="str">
        <f>Table1[[#This Row],[Color Code]] &amp; " - " &amp;Table1[[#This Row],[Color Name]]</f>
        <v>7P2445 - SOYA</v>
      </c>
    </row>
    <row r="627" spans="1:5" x14ac:dyDescent="0.35">
      <c r="A627" t="s">
        <v>1151</v>
      </c>
      <c r="B627" t="s">
        <v>1150</v>
      </c>
      <c r="C627" s="9" t="s">
        <v>1793</v>
      </c>
      <c r="D62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289.34581386292768</v>
      </c>
      <c r="E627" t="str">
        <f>Table1[[#This Row],[Color Code]] &amp; " - " &amp;Table1[[#This Row],[Color Name]]</f>
        <v>6P2380 - RAE'S RENDITION</v>
      </c>
    </row>
    <row r="628" spans="1:5" x14ac:dyDescent="0.35">
      <c r="A628" t="s">
        <v>975</v>
      </c>
      <c r="B628" t="s">
        <v>974</v>
      </c>
      <c r="C628" s="9" t="s">
        <v>1705</v>
      </c>
      <c r="D62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289.35790986250919</v>
      </c>
      <c r="E628" t="str">
        <f>Table1[[#This Row],[Color Code]] &amp; " - " &amp;Table1[[#This Row],[Color Name]]</f>
        <v>6P0163 - DROPS OF VIOLET</v>
      </c>
    </row>
    <row r="629" spans="1:5" x14ac:dyDescent="0.35">
      <c r="A629" t="s">
        <v>738</v>
      </c>
      <c r="B629" t="s">
        <v>739</v>
      </c>
      <c r="C629" s="9" t="s">
        <v>1587</v>
      </c>
      <c r="D62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289.4840237387894</v>
      </c>
      <c r="E629" t="str">
        <f>Table1[[#This Row],[Color Code]] &amp; " - " &amp;Table1[[#This Row],[Color Name]]</f>
        <v>4P1887 - CLEAR CREEK</v>
      </c>
    </row>
    <row r="630" spans="1:5" x14ac:dyDescent="0.35">
      <c r="A630" t="s">
        <v>342</v>
      </c>
      <c r="B630" t="s">
        <v>343</v>
      </c>
      <c r="C630" s="9" t="s">
        <v>1390</v>
      </c>
      <c r="D63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289.5254738360685</v>
      </c>
      <c r="E630" t="str">
        <f>Table1[[#This Row],[Color Code]] &amp; " - " &amp;Table1[[#This Row],[Color Name]]</f>
        <v>2P2060 - BEAM OF LIGHT</v>
      </c>
    </row>
    <row r="631" spans="1:5" x14ac:dyDescent="0.35">
      <c r="A631" t="s">
        <v>346</v>
      </c>
      <c r="B631" t="s">
        <v>347</v>
      </c>
      <c r="C631" s="9" t="s">
        <v>1392</v>
      </c>
      <c r="D63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289.54274295861745</v>
      </c>
      <c r="E631" t="str">
        <f>Table1[[#This Row],[Color Code]] &amp; " - " &amp;Table1[[#This Row],[Color Name]]</f>
        <v>2P2067 - WARM CROISSANT</v>
      </c>
    </row>
    <row r="632" spans="1:5" x14ac:dyDescent="0.35">
      <c r="A632" t="s">
        <v>420</v>
      </c>
      <c r="B632" t="s">
        <v>421</v>
      </c>
      <c r="C632" s="9" t="s">
        <v>1429</v>
      </c>
      <c r="D63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289.58763785769582</v>
      </c>
      <c r="E632" t="str">
        <f>Table1[[#This Row],[Color Code]] &amp; " - " &amp;Table1[[#This Row],[Color Name]]</f>
        <v>3P0857 - PRAIRIE PATH</v>
      </c>
    </row>
    <row r="633" spans="1:5" x14ac:dyDescent="0.35">
      <c r="A633" t="s">
        <v>1077</v>
      </c>
      <c r="B633" t="s">
        <v>1076</v>
      </c>
      <c r="C633" s="9" t="s">
        <v>1756</v>
      </c>
      <c r="D63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289.58763785769582</v>
      </c>
      <c r="E633" t="str">
        <f>Table1[[#This Row],[Color Code]] &amp; " - " &amp;Table1[[#This Row],[Color Name]]</f>
        <v>6P1369 - LIGHT LILAC</v>
      </c>
    </row>
    <row r="634" spans="1:5" x14ac:dyDescent="0.35">
      <c r="A634" t="s">
        <v>328</v>
      </c>
      <c r="B634" t="s">
        <v>329</v>
      </c>
      <c r="C634" s="9" t="s">
        <v>1383</v>
      </c>
      <c r="D63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289.65669334576063</v>
      </c>
      <c r="E634" t="str">
        <f>Table1[[#This Row],[Color Code]] &amp; " - " &amp;Table1[[#This Row],[Color Name]]</f>
        <v>2P2041 - OLD RELIC</v>
      </c>
    </row>
    <row r="635" spans="1:5" x14ac:dyDescent="0.35">
      <c r="A635" t="s">
        <v>991</v>
      </c>
      <c r="B635" t="s">
        <v>990</v>
      </c>
      <c r="C635" s="9" t="s">
        <v>1713</v>
      </c>
      <c r="D63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289.69811873741946</v>
      </c>
      <c r="E635" t="str">
        <f>Table1[[#This Row],[Color Code]] &amp; " - " &amp;Table1[[#This Row],[Color Name]]</f>
        <v>6P0171 - MARBLE TINT</v>
      </c>
    </row>
    <row r="636" spans="1:5" x14ac:dyDescent="0.35">
      <c r="A636" t="s">
        <v>1147</v>
      </c>
      <c r="B636" t="s">
        <v>1146</v>
      </c>
      <c r="C636" s="9" t="s">
        <v>1791</v>
      </c>
      <c r="D63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289.73263537268286</v>
      </c>
      <c r="E636" t="str">
        <f>Table1[[#This Row],[Color Code]] &amp; " - " &amp;Table1[[#This Row],[Color Name]]</f>
        <v>6P2356 - BELL OF LOVE</v>
      </c>
    </row>
    <row r="637" spans="1:5" x14ac:dyDescent="0.35">
      <c r="A637" t="s">
        <v>406</v>
      </c>
      <c r="B637" t="s">
        <v>407</v>
      </c>
      <c r="C637" s="9" t="s">
        <v>1422</v>
      </c>
      <c r="D63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289.74816651706357</v>
      </c>
      <c r="E637" t="str">
        <f>Table1[[#This Row],[Color Code]] &amp; " - " &amp;Table1[[#This Row],[Color Name]]</f>
        <v>3P0233 - ANGEL WING</v>
      </c>
    </row>
    <row r="638" spans="1:5" x14ac:dyDescent="0.35">
      <c r="A638" t="s">
        <v>326</v>
      </c>
      <c r="B638" t="s">
        <v>327</v>
      </c>
      <c r="C638" s="9" t="s">
        <v>1382</v>
      </c>
      <c r="D63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289.7999309868793</v>
      </c>
      <c r="E638" t="str">
        <f>Table1[[#This Row],[Color Code]] &amp; " - " &amp;Table1[[#This Row],[Color Name]]</f>
        <v>2P2037 - TATE'S TIME</v>
      </c>
    </row>
    <row r="639" spans="1:5" x14ac:dyDescent="0.35">
      <c r="A639" t="s">
        <v>2357</v>
      </c>
      <c r="B639" t="s">
        <v>2356</v>
      </c>
      <c r="C639" s="9" t="s">
        <v>2358</v>
      </c>
      <c r="D63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289.83788572234653</v>
      </c>
      <c r="E639" t="str">
        <f>Table1[[#This Row],[Color Code]] &amp; " - " &amp;Table1[[#This Row],[Color Name]]</f>
        <v>8P2721 - NOSTALGIA</v>
      </c>
    </row>
    <row r="640" spans="1:5" x14ac:dyDescent="0.35">
      <c r="A640" t="s">
        <v>718</v>
      </c>
      <c r="B640" t="s">
        <v>719</v>
      </c>
      <c r="C640" s="9" t="s">
        <v>1577</v>
      </c>
      <c r="D64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289.89998275267283</v>
      </c>
      <c r="E640" t="str">
        <f>Table1[[#This Row],[Color Code]] &amp; " - " &amp;Table1[[#This Row],[Color Name]]</f>
        <v>4P1877 - GREEN APPLE</v>
      </c>
    </row>
    <row r="641" spans="1:5" x14ac:dyDescent="0.35">
      <c r="A641" t="s">
        <v>1025</v>
      </c>
      <c r="B641" t="s">
        <v>1024</v>
      </c>
      <c r="C641" s="9" t="s">
        <v>1730</v>
      </c>
      <c r="D64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289.92930172716245</v>
      </c>
      <c r="E641" t="str">
        <f>Table1[[#This Row],[Color Code]] &amp; " - " &amp;Table1[[#This Row],[Color Name]]</f>
        <v>6P1249 - PURPLE BLUSH</v>
      </c>
    </row>
    <row r="642" spans="1:5" x14ac:dyDescent="0.35">
      <c r="A642" t="s">
        <v>280</v>
      </c>
      <c r="B642" t="s">
        <v>281</v>
      </c>
      <c r="C642" s="9" t="s">
        <v>1359</v>
      </c>
      <c r="D64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290.03792855418067</v>
      </c>
      <c r="E642" t="str">
        <f>Table1[[#This Row],[Color Code]] &amp; " - " &amp;Table1[[#This Row],[Color Name]]</f>
        <v>2P0666 - SUNNY OUTLOOK</v>
      </c>
    </row>
    <row r="643" spans="1:5" x14ac:dyDescent="0.35">
      <c r="A643" t="s">
        <v>656</v>
      </c>
      <c r="B643" t="s">
        <v>657</v>
      </c>
      <c r="C643" s="9" t="s">
        <v>1546</v>
      </c>
      <c r="D64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290.15513092137456</v>
      </c>
      <c r="E643" t="str">
        <f>Table1[[#This Row],[Color Code]] &amp; " - " &amp;Table1[[#This Row],[Color Name]]</f>
        <v>4P0265 - DELICATE GREEN</v>
      </c>
    </row>
    <row r="644" spans="1:5" x14ac:dyDescent="0.35">
      <c r="A644" t="s">
        <v>324</v>
      </c>
      <c r="B644" t="s">
        <v>325</v>
      </c>
      <c r="C644" s="9" t="s">
        <v>1381</v>
      </c>
      <c r="D64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290.17580877805784</v>
      </c>
      <c r="E644" t="str">
        <f>Table1[[#This Row],[Color Code]] &amp; " - " &amp;Table1[[#This Row],[Color Name]]</f>
        <v>2P2036 - PUFFAY</v>
      </c>
    </row>
    <row r="645" spans="1:5" x14ac:dyDescent="0.35">
      <c r="A645" t="s">
        <v>1053</v>
      </c>
      <c r="B645" t="s">
        <v>1052</v>
      </c>
      <c r="C645" s="9" t="s">
        <v>1744</v>
      </c>
      <c r="D64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290.24472432759222</v>
      </c>
      <c r="E645" t="str">
        <f>Table1[[#This Row],[Color Code]] &amp; " - " &amp;Table1[[#This Row],[Color Name]]</f>
        <v>6P1305 - PURPLE PRETENDER</v>
      </c>
    </row>
    <row r="646" spans="1:5" x14ac:dyDescent="0.35">
      <c r="A646" t="s">
        <v>122</v>
      </c>
      <c r="B646" t="s">
        <v>123</v>
      </c>
      <c r="C646" s="9" t="s">
        <v>208</v>
      </c>
      <c r="D64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290.24816967553818</v>
      </c>
      <c r="E646" t="str">
        <f>Table1[[#This Row],[Color Code]] &amp; " - " &amp;Table1[[#This Row],[Color Name]]</f>
        <v>1P0441 - ACACIA AIRE</v>
      </c>
    </row>
    <row r="647" spans="1:5" x14ac:dyDescent="0.35">
      <c r="A647" t="s">
        <v>1113</v>
      </c>
      <c r="B647" t="s">
        <v>1112</v>
      </c>
      <c r="C647" s="9" t="s">
        <v>1774</v>
      </c>
      <c r="D64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290.29984498790213</v>
      </c>
      <c r="E647" t="str">
        <f>Table1[[#This Row],[Color Code]] &amp; " - " &amp;Table1[[#This Row],[Color Name]]</f>
        <v>6P1891 - WINDSWEPT</v>
      </c>
    </row>
    <row r="648" spans="1:5" x14ac:dyDescent="0.35">
      <c r="A648" t="s">
        <v>2014</v>
      </c>
      <c r="B648" t="s">
        <v>2013</v>
      </c>
      <c r="C648" s="9" t="s">
        <v>2015</v>
      </c>
      <c r="D64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290.46342282635175</v>
      </c>
      <c r="E648" t="str">
        <f>Table1[[#This Row],[Color Code]] &amp; " - " &amp;Table1[[#This Row],[Color Name]]</f>
        <v>7P2491 - ALMONDE</v>
      </c>
    </row>
    <row r="649" spans="1:5" x14ac:dyDescent="0.35">
      <c r="A649" t="s">
        <v>720</v>
      </c>
      <c r="B649" t="s">
        <v>721</v>
      </c>
      <c r="C649" s="9" t="s">
        <v>1578</v>
      </c>
      <c r="D64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290.53571209061374</v>
      </c>
      <c r="E649" t="str">
        <f>Table1[[#This Row],[Color Code]] &amp; " - " &amp;Table1[[#This Row],[Color Name]]</f>
        <v>4P1878 - MINT ESSENCE</v>
      </c>
    </row>
    <row r="650" spans="1:5" x14ac:dyDescent="0.35">
      <c r="A650" t="s">
        <v>170</v>
      </c>
      <c r="B650" t="s">
        <v>171</v>
      </c>
      <c r="C650" s="9" t="s">
        <v>232</v>
      </c>
      <c r="D65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290.54603766012713</v>
      </c>
      <c r="E650" t="str">
        <f>Table1[[#This Row],[Color Code]] &amp; " - " &amp;Table1[[#This Row],[Color Name]]</f>
        <v>1P1901 - CUT DIAMOND</v>
      </c>
    </row>
    <row r="651" spans="1:5" x14ac:dyDescent="0.35">
      <c r="A651" t="s">
        <v>2038</v>
      </c>
      <c r="B651" t="s">
        <v>2037</v>
      </c>
      <c r="C651" s="9" t="s">
        <v>2039</v>
      </c>
      <c r="D65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290.57701216717061</v>
      </c>
      <c r="E651" t="str">
        <f>Table1[[#This Row],[Color Code]] &amp; " - " &amp;Table1[[#This Row],[Color Name]]</f>
        <v>8P0195 - TAILWIND</v>
      </c>
    </row>
    <row r="652" spans="1:5" x14ac:dyDescent="0.35">
      <c r="A652" t="s">
        <v>1127</v>
      </c>
      <c r="B652" t="s">
        <v>1126</v>
      </c>
      <c r="C652" s="9" t="s">
        <v>1781</v>
      </c>
      <c r="D65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290.58733626914989</v>
      </c>
      <c r="E652" t="str">
        <f>Table1[[#This Row],[Color Code]] &amp; " - " &amp;Table1[[#This Row],[Color Name]]</f>
        <v>6P1900 - CRYSTAL QUARTZ</v>
      </c>
    </row>
    <row r="653" spans="1:5" x14ac:dyDescent="0.35">
      <c r="A653" t="s">
        <v>787</v>
      </c>
      <c r="B653" t="s">
        <v>786</v>
      </c>
      <c r="C653" s="9" t="s">
        <v>1611</v>
      </c>
      <c r="D65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290.59077755496645</v>
      </c>
      <c r="E653" t="str">
        <f>Table1[[#This Row],[Color Code]] &amp; " - " &amp;Table1[[#This Row],[Color Name]]</f>
        <v>4P2196 - COOL PINNACLE</v>
      </c>
    </row>
    <row r="654" spans="1:5" x14ac:dyDescent="0.35">
      <c r="A654" t="s">
        <v>736</v>
      </c>
      <c r="B654" t="s">
        <v>737</v>
      </c>
      <c r="C654" s="9" t="s">
        <v>1586</v>
      </c>
      <c r="D65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290.69055712217414</v>
      </c>
      <c r="E654" t="str">
        <f>Table1[[#This Row],[Color Code]] &amp; " - " &amp;Table1[[#This Row],[Color Name]]</f>
        <v>4P1886 - BY THE LAKE</v>
      </c>
    </row>
    <row r="655" spans="1:5" x14ac:dyDescent="0.35">
      <c r="A655" t="s">
        <v>414</v>
      </c>
      <c r="B655" t="s">
        <v>415</v>
      </c>
      <c r="C655" s="9" t="s">
        <v>1426</v>
      </c>
      <c r="D65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290.82812793813463</v>
      </c>
      <c r="E655" t="str">
        <f>Table1[[#This Row],[Color Code]] &amp; " - " &amp;Table1[[#This Row],[Color Name]]</f>
        <v>3P0746 - SUNDAY SUNSHINE</v>
      </c>
    </row>
    <row r="656" spans="1:5" x14ac:dyDescent="0.35">
      <c r="A656" t="s">
        <v>138</v>
      </c>
      <c r="B656" t="s">
        <v>139</v>
      </c>
      <c r="C656" s="9" t="s">
        <v>216</v>
      </c>
      <c r="D65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290.90376415577714</v>
      </c>
      <c r="E656" t="str">
        <f>Table1[[#This Row],[Color Code]] &amp; " - " &amp;Table1[[#This Row],[Color Name]]</f>
        <v>1P0481 - BARELY BLUSH</v>
      </c>
    </row>
    <row r="657" spans="1:5" x14ac:dyDescent="0.35">
      <c r="A657" t="s">
        <v>1942</v>
      </c>
      <c r="B657" t="s">
        <v>1941</v>
      </c>
      <c r="C657" s="9" t="s">
        <v>1943</v>
      </c>
      <c r="D65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291.02920815615744</v>
      </c>
      <c r="E657" t="str">
        <f>Table1[[#This Row],[Color Code]] &amp; " - " &amp;Table1[[#This Row],[Color Name]]</f>
        <v>7P1955 - DREAMY DAYS</v>
      </c>
    </row>
    <row r="658" spans="1:5" x14ac:dyDescent="0.35">
      <c r="A658" t="s">
        <v>88</v>
      </c>
      <c r="B658" t="s">
        <v>89</v>
      </c>
      <c r="C658" s="9" t="s">
        <v>191</v>
      </c>
      <c r="D65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291.03951621729993</v>
      </c>
      <c r="E658" t="str">
        <f>Table1[[#This Row],[Color Code]] &amp; " - " &amp;Table1[[#This Row],[Color Name]]</f>
        <v>1P0025 - FRENCH LACE</v>
      </c>
    </row>
    <row r="659" spans="1:5" x14ac:dyDescent="0.35">
      <c r="A659" t="s">
        <v>2318</v>
      </c>
      <c r="B659" t="s">
        <v>2317</v>
      </c>
      <c r="C659" s="9" t="s">
        <v>2319</v>
      </c>
      <c r="D65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291.16318448595109</v>
      </c>
      <c r="E659" t="str">
        <f>Table1[[#This Row],[Color Code]] &amp; " - " &amp;Table1[[#This Row],[Color Name]]</f>
        <v>8P2665 - STEAM BATH</v>
      </c>
    </row>
    <row r="660" spans="1:5" x14ac:dyDescent="0.35">
      <c r="A660" t="s">
        <v>1119</v>
      </c>
      <c r="B660" t="s">
        <v>1118</v>
      </c>
      <c r="C660" s="9" t="s">
        <v>1777</v>
      </c>
      <c r="D66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291.16318448595109</v>
      </c>
      <c r="E660" t="str">
        <f>Table1[[#This Row],[Color Code]] &amp; " - " &amp;Table1[[#This Row],[Color Name]]</f>
        <v>6P1896 - EXQUISITE</v>
      </c>
    </row>
    <row r="661" spans="1:5" x14ac:dyDescent="0.35">
      <c r="A661" t="s">
        <v>76</v>
      </c>
      <c r="B661" t="s">
        <v>77</v>
      </c>
      <c r="C661" s="9" t="s">
        <v>185</v>
      </c>
      <c r="D66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291.21469743129381</v>
      </c>
      <c r="E661" t="str">
        <f>Table1[[#This Row],[Color Code]] &amp; " - " &amp;Table1[[#This Row],[Color Name]]</f>
        <v>1P0018 - PINK BEIGE</v>
      </c>
    </row>
    <row r="662" spans="1:5" x14ac:dyDescent="0.35">
      <c r="A662" t="s">
        <v>92</v>
      </c>
      <c r="B662" t="s">
        <v>93</v>
      </c>
      <c r="C662" s="9" t="s">
        <v>193</v>
      </c>
      <c r="D66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291.24560082514552</v>
      </c>
      <c r="E662" t="str">
        <f>Table1[[#This Row],[Color Code]] &amp; " - " &amp;Table1[[#This Row],[Color Name]]</f>
        <v>1P0027 - EXQUISITE PEARL</v>
      </c>
    </row>
    <row r="663" spans="1:5" x14ac:dyDescent="0.35">
      <c r="A663" t="s">
        <v>2077</v>
      </c>
      <c r="B663" t="s">
        <v>2076</v>
      </c>
      <c r="C663" s="9" t="s">
        <v>2078</v>
      </c>
      <c r="D66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291.2970991959927</v>
      </c>
      <c r="E663" t="str">
        <f>Table1[[#This Row],[Color Code]] &amp; " - " &amp;Table1[[#This Row],[Color Name]]</f>
        <v>8P0209 - MOON FLOWER</v>
      </c>
    </row>
    <row r="664" spans="1:5" x14ac:dyDescent="0.35">
      <c r="A664" t="s">
        <v>1067</v>
      </c>
      <c r="B664" t="s">
        <v>1066</v>
      </c>
      <c r="C664" s="9" t="s">
        <v>1751</v>
      </c>
      <c r="D66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291.3176959952828</v>
      </c>
      <c r="E664" t="str">
        <f>Table1[[#This Row],[Color Code]] &amp; " - " &amp;Table1[[#This Row],[Color Name]]</f>
        <v>6P1345 - WHISPERING WISTERIA</v>
      </c>
    </row>
    <row r="665" spans="1:5" x14ac:dyDescent="0.35">
      <c r="A665" t="s">
        <v>1895</v>
      </c>
      <c r="B665" t="s">
        <v>1894</v>
      </c>
      <c r="C665" s="9" t="s">
        <v>1896</v>
      </c>
      <c r="D66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291.566458976337</v>
      </c>
      <c r="E665" t="str">
        <f>Table1[[#This Row],[Color Code]] &amp; " - " &amp;Table1[[#This Row],[Color Name]]</f>
        <v>7P1928 - PICTURESQUE</v>
      </c>
    </row>
    <row r="666" spans="1:5" x14ac:dyDescent="0.35">
      <c r="A666" t="s">
        <v>1919</v>
      </c>
      <c r="B666" t="s">
        <v>1918</v>
      </c>
      <c r="C666" s="9" t="s">
        <v>1920</v>
      </c>
      <c r="D66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291.566458976337</v>
      </c>
      <c r="E666" t="str">
        <f>Table1[[#This Row],[Color Code]] &amp; " - " &amp;Table1[[#This Row],[Color Name]]</f>
        <v>7P1947 - HOPE</v>
      </c>
    </row>
    <row r="667" spans="1:5" x14ac:dyDescent="0.35">
      <c r="A667" t="s">
        <v>1279</v>
      </c>
      <c r="B667" t="s">
        <v>1278</v>
      </c>
      <c r="C667" s="9" t="s">
        <v>1857</v>
      </c>
      <c r="D66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291.56988870594989</v>
      </c>
      <c r="E667" t="str">
        <f>Table1[[#This Row],[Color Code]] &amp; " - " &amp;Table1[[#This Row],[Color Name]]</f>
        <v>7P1545 - STEAMED MILK</v>
      </c>
    </row>
    <row r="668" spans="1:5" x14ac:dyDescent="0.35">
      <c r="A668" t="s">
        <v>450</v>
      </c>
      <c r="B668" t="s">
        <v>451</v>
      </c>
      <c r="C668" s="9" t="s">
        <v>1444</v>
      </c>
      <c r="D66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291.64876135516158</v>
      </c>
      <c r="E668" t="str">
        <f>Table1[[#This Row],[Color Code]] &amp; " - " &amp;Table1[[#This Row],[Color Name]]</f>
        <v>3P1863 - BEACHFRONT</v>
      </c>
    </row>
    <row r="669" spans="1:5" x14ac:dyDescent="0.35">
      <c r="A669" t="s">
        <v>1291</v>
      </c>
      <c r="B669" t="s">
        <v>1290</v>
      </c>
      <c r="C669" s="9" t="s">
        <v>1444</v>
      </c>
      <c r="D66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291.64876135516158</v>
      </c>
      <c r="E669" t="str">
        <f>Table1[[#This Row],[Color Code]] &amp; " - " &amp;Table1[[#This Row],[Color Name]]</f>
        <v>7P1569 - VILLA FLORENCE</v>
      </c>
    </row>
    <row r="670" spans="1:5" x14ac:dyDescent="0.35">
      <c r="A670" t="s">
        <v>971</v>
      </c>
      <c r="B670" t="s">
        <v>970</v>
      </c>
      <c r="C670" s="9" t="s">
        <v>1703</v>
      </c>
      <c r="D67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291.66761904606415</v>
      </c>
      <c r="E670" t="str">
        <f>Table1[[#This Row],[Color Code]] &amp; " - " &amp;Table1[[#This Row],[Color Name]]</f>
        <v>6P0161 - EXOTIC FLORA</v>
      </c>
    </row>
    <row r="671" spans="1:5" x14ac:dyDescent="0.35">
      <c r="A671" t="s">
        <v>340</v>
      </c>
      <c r="B671" t="s">
        <v>341</v>
      </c>
      <c r="C671" s="9" t="s">
        <v>1389</v>
      </c>
      <c r="D67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291.79958875913445</v>
      </c>
      <c r="E671" t="str">
        <f>Table1[[#This Row],[Color Code]] &amp; " - " &amp;Table1[[#This Row],[Color Name]]</f>
        <v>2P2059 - ICE PAVILION</v>
      </c>
    </row>
    <row r="672" spans="1:5" x14ac:dyDescent="0.35">
      <c r="A672" t="s">
        <v>316</v>
      </c>
      <c r="B672" t="s">
        <v>317</v>
      </c>
      <c r="C672" s="9" t="s">
        <v>1377</v>
      </c>
      <c r="D67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291.84070997720659</v>
      </c>
      <c r="E672" t="str">
        <f>Table1[[#This Row],[Color Code]] &amp; " - " &amp;Table1[[#This Row],[Color Name]]</f>
        <v>2P2026 - LIGHT DRAPERY</v>
      </c>
    </row>
    <row r="673" spans="1:5" x14ac:dyDescent="0.35">
      <c r="A673" t="s">
        <v>1069</v>
      </c>
      <c r="B673" t="s">
        <v>1068</v>
      </c>
      <c r="C673" s="9" t="s">
        <v>1752</v>
      </c>
      <c r="D67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291.87154708878359</v>
      </c>
      <c r="E673" t="str">
        <f>Table1[[#This Row],[Color Code]] &amp; " - " &amp;Table1[[#This Row],[Color Name]]</f>
        <v>6P1353 - GAY PAREE</v>
      </c>
    </row>
    <row r="674" spans="1:5" x14ac:dyDescent="0.35">
      <c r="A674" t="s">
        <v>779</v>
      </c>
      <c r="B674" t="s">
        <v>778</v>
      </c>
      <c r="C674" s="9" t="s">
        <v>1607</v>
      </c>
      <c r="D67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291.87326016612076</v>
      </c>
      <c r="E674" t="str">
        <f>Table1[[#This Row],[Color Code]] &amp; " - " &amp;Table1[[#This Row],[Color Name]]</f>
        <v>4P2179 - PURITY CLEAR</v>
      </c>
    </row>
    <row r="675" spans="1:5" x14ac:dyDescent="0.35">
      <c r="A675" t="s">
        <v>142</v>
      </c>
      <c r="B675" t="s">
        <v>143</v>
      </c>
      <c r="C675" s="9" t="s">
        <v>218</v>
      </c>
      <c r="D67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291.9212222501132</v>
      </c>
      <c r="E675" t="str">
        <f>Table1[[#This Row],[Color Code]] &amp; " - " &amp;Table1[[#This Row],[Color Name]]</f>
        <v>1P0490 - HOW SWEET IT IS</v>
      </c>
    </row>
    <row r="676" spans="1:5" x14ac:dyDescent="0.35">
      <c r="A676" t="s">
        <v>1149</v>
      </c>
      <c r="B676" t="s">
        <v>1148</v>
      </c>
      <c r="C676" s="9" t="s">
        <v>1792</v>
      </c>
      <c r="D67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291.94691298248046</v>
      </c>
      <c r="E676" t="str">
        <f>Table1[[#This Row],[Color Code]] &amp; " - " &amp;Table1[[#This Row],[Color Name]]</f>
        <v>6P2371 - GENTLE YAWN</v>
      </c>
    </row>
    <row r="677" spans="1:5" x14ac:dyDescent="0.35">
      <c r="A677" t="s">
        <v>730</v>
      </c>
      <c r="B677" t="s">
        <v>731</v>
      </c>
      <c r="C677" s="9" t="s">
        <v>1583</v>
      </c>
      <c r="D67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292.02225942554446</v>
      </c>
      <c r="E677" t="str">
        <f>Table1[[#This Row],[Color Code]] &amp; " - " &amp;Table1[[#This Row],[Color Name]]</f>
        <v>4P1883 - ASPIRATION</v>
      </c>
    </row>
    <row r="678" spans="1:5" x14ac:dyDescent="0.35">
      <c r="A678" t="s">
        <v>2369</v>
      </c>
      <c r="B678" t="s">
        <v>2368</v>
      </c>
      <c r="C678" s="9" t="s">
        <v>2370</v>
      </c>
      <c r="D67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292.14037721615955</v>
      </c>
      <c r="E678" t="str">
        <f>Table1[[#This Row],[Color Code]] &amp; " - " &amp;Table1[[#This Row],[Color Name]]</f>
        <v>8P2735 - HIDE AND SEEK</v>
      </c>
    </row>
    <row r="679" spans="1:5" x14ac:dyDescent="0.35">
      <c r="A679" t="s">
        <v>1904</v>
      </c>
      <c r="B679" t="s">
        <v>1903</v>
      </c>
      <c r="C679" s="9" t="s">
        <v>1905</v>
      </c>
      <c r="D67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292.14037721615955</v>
      </c>
      <c r="E679" t="str">
        <f>Table1[[#This Row],[Color Code]] &amp; " - " &amp;Table1[[#This Row],[Color Name]]</f>
        <v>7P1942 - SOFT WHISPERS</v>
      </c>
    </row>
    <row r="680" spans="1:5" x14ac:dyDescent="0.35">
      <c r="A680" t="s">
        <v>440</v>
      </c>
      <c r="B680" t="s">
        <v>441</v>
      </c>
      <c r="C680" s="9" t="s">
        <v>1439</v>
      </c>
      <c r="D68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292.15749177455643</v>
      </c>
      <c r="E680" t="str">
        <f>Table1[[#This Row],[Color Code]] &amp; " - " &amp;Table1[[#This Row],[Color Name]]</f>
        <v>3P1855 - FROTHY MILK</v>
      </c>
    </row>
    <row r="681" spans="1:5" x14ac:dyDescent="0.35">
      <c r="A681" t="s">
        <v>398</v>
      </c>
      <c r="B681" t="s">
        <v>399</v>
      </c>
      <c r="C681" s="9" t="s">
        <v>1418</v>
      </c>
      <c r="D68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292.22593998480011</v>
      </c>
      <c r="E681" t="str">
        <f>Table1[[#This Row],[Color Code]] &amp; " - " &amp;Table1[[#This Row],[Color Name]]</f>
        <v>3P0085 - SOFT AS SILK</v>
      </c>
    </row>
    <row r="682" spans="1:5" x14ac:dyDescent="0.35">
      <c r="A682" t="s">
        <v>314</v>
      </c>
      <c r="B682" t="s">
        <v>315</v>
      </c>
      <c r="C682" s="9" t="s">
        <v>1376</v>
      </c>
      <c r="D68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292.24304953240545</v>
      </c>
      <c r="E682" t="str">
        <f>Table1[[#This Row],[Color Code]] &amp; " - " &amp;Table1[[#This Row],[Color Name]]</f>
        <v>2P2020 - PEACHY TINT</v>
      </c>
    </row>
    <row r="683" spans="1:5" x14ac:dyDescent="0.35">
      <c r="A683" t="s">
        <v>1115</v>
      </c>
      <c r="B683" t="s">
        <v>1114</v>
      </c>
      <c r="C683" s="9" t="s">
        <v>1775</v>
      </c>
      <c r="D68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292.29608276540415</v>
      </c>
      <c r="E683" t="str">
        <f>Table1[[#This Row],[Color Code]] &amp; " - " &amp;Table1[[#This Row],[Color Name]]</f>
        <v>6P1892 - WIND CHILL</v>
      </c>
    </row>
    <row r="684" spans="1:5" x14ac:dyDescent="0.35">
      <c r="A684" t="s">
        <v>396</v>
      </c>
      <c r="B684" t="s">
        <v>397</v>
      </c>
      <c r="C684" s="9" t="s">
        <v>1417</v>
      </c>
      <c r="D68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292.38673020504882</v>
      </c>
      <c r="E684" t="str">
        <f>Table1[[#This Row],[Color Code]] &amp; " - " &amp;Table1[[#This Row],[Color Name]]</f>
        <v>3P0082 - STARTING SPRING</v>
      </c>
    </row>
    <row r="685" spans="1:5" x14ac:dyDescent="0.35">
      <c r="A685" t="s">
        <v>636</v>
      </c>
      <c r="B685" t="s">
        <v>637</v>
      </c>
      <c r="C685" s="9" t="s">
        <v>1536</v>
      </c>
      <c r="D68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292.85491288349596</v>
      </c>
      <c r="E685" t="str">
        <f>Table1[[#This Row],[Color Code]] &amp; " - " &amp;Table1[[#This Row],[Color Name]]</f>
        <v>4P0113 - REFRESHING</v>
      </c>
    </row>
    <row r="686" spans="1:5" x14ac:dyDescent="0.35">
      <c r="A686" t="s">
        <v>710</v>
      </c>
      <c r="B686" t="s">
        <v>711</v>
      </c>
      <c r="C686" s="9" t="s">
        <v>1573</v>
      </c>
      <c r="D68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292.86344940944747</v>
      </c>
      <c r="E686" t="str">
        <f>Table1[[#This Row],[Color Code]] &amp; " - " &amp;Table1[[#This Row],[Color Name]]</f>
        <v>4P1842 - CREME WHITE</v>
      </c>
    </row>
    <row r="687" spans="1:5" x14ac:dyDescent="0.35">
      <c r="A687" t="s">
        <v>456</v>
      </c>
      <c r="B687" t="s">
        <v>457</v>
      </c>
      <c r="C687" s="9" t="s">
        <v>1446</v>
      </c>
      <c r="D68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292.88052171491364</v>
      </c>
      <c r="E687" t="str">
        <f>Table1[[#This Row],[Color Code]] &amp; " - " &amp;Table1[[#This Row],[Color Name]]</f>
        <v>3P1866 - CREME CHIQUE</v>
      </c>
    </row>
    <row r="688" spans="1:5" x14ac:dyDescent="0.35">
      <c r="A688" t="s">
        <v>330</v>
      </c>
      <c r="B688" t="s">
        <v>331</v>
      </c>
      <c r="C688" s="9" t="s">
        <v>1384</v>
      </c>
      <c r="D68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292.89417884280323</v>
      </c>
      <c r="E688" t="str">
        <f>Table1[[#This Row],[Color Code]] &amp; " - " &amp;Table1[[#This Row],[Color Name]]</f>
        <v>2P2044 - ALMOND BOWL</v>
      </c>
    </row>
    <row r="689" spans="1:5" x14ac:dyDescent="0.35">
      <c r="A689" t="s">
        <v>879</v>
      </c>
      <c r="B689" t="s">
        <v>878</v>
      </c>
      <c r="C689" s="9" t="s">
        <v>1657</v>
      </c>
      <c r="D68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293.11601798605273</v>
      </c>
      <c r="E689" t="str">
        <f>Table1[[#This Row],[Color Code]] &amp; " - " &amp;Table1[[#This Row],[Color Name]]</f>
        <v>5P0146 - AZTEC WHITE</v>
      </c>
    </row>
    <row r="690" spans="1:5" x14ac:dyDescent="0.35">
      <c r="A690" t="s">
        <v>626</v>
      </c>
      <c r="B690" t="s">
        <v>627</v>
      </c>
      <c r="C690" s="9" t="s">
        <v>1531</v>
      </c>
      <c r="D69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293.13136986682269</v>
      </c>
      <c r="E690" t="str">
        <f>Table1[[#This Row],[Color Code]] &amp; " - " &amp;Table1[[#This Row],[Color Name]]</f>
        <v>4P0108 - SPARK OF AQUA</v>
      </c>
    </row>
    <row r="691" spans="1:5" x14ac:dyDescent="0.35">
      <c r="A691" t="s">
        <v>959</v>
      </c>
      <c r="B691" t="s">
        <v>958</v>
      </c>
      <c r="C691" s="9" t="s">
        <v>1697</v>
      </c>
      <c r="D69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293.30359697760269</v>
      </c>
      <c r="E691" t="str">
        <f>Table1[[#This Row],[Color Code]] &amp; " - " &amp;Table1[[#This Row],[Color Name]]</f>
        <v>6P0155 - SPRING LILAC</v>
      </c>
    </row>
    <row r="692" spans="1:5" x14ac:dyDescent="0.35">
      <c r="A692" t="s">
        <v>686</v>
      </c>
      <c r="B692" t="s">
        <v>687</v>
      </c>
      <c r="C692" s="9" t="s">
        <v>1561</v>
      </c>
      <c r="D69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293.34962075993894</v>
      </c>
      <c r="E692" t="str">
        <f>Table1[[#This Row],[Color Code]] &amp; " - " &amp;Table1[[#This Row],[Color Name]]</f>
        <v>4P0977 - AEGEAN MIST</v>
      </c>
    </row>
    <row r="693" spans="1:5" x14ac:dyDescent="0.35">
      <c r="A693" t="s">
        <v>2170</v>
      </c>
      <c r="B693" t="s">
        <v>2169</v>
      </c>
      <c r="C693" s="9" t="s">
        <v>2171</v>
      </c>
      <c r="D69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293.40756636460486</v>
      </c>
      <c r="E693" t="str">
        <f>Table1[[#This Row],[Color Code]] &amp; " - " &amp;Table1[[#This Row],[Color Name]]</f>
        <v>8P1777 - CALISTA</v>
      </c>
    </row>
    <row r="694" spans="1:5" x14ac:dyDescent="0.35">
      <c r="A694" t="s">
        <v>128</v>
      </c>
      <c r="B694" t="s">
        <v>129</v>
      </c>
      <c r="C694" s="9" t="s">
        <v>211</v>
      </c>
      <c r="D69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293.49787052038386</v>
      </c>
      <c r="E694" t="str">
        <f>Table1[[#This Row],[Color Code]] &amp; " - " &amp;Table1[[#This Row],[Color Name]]</f>
        <v>1P0458 - COTTON CANDY</v>
      </c>
    </row>
    <row r="695" spans="1:5" x14ac:dyDescent="0.35">
      <c r="A695" t="s">
        <v>732</v>
      </c>
      <c r="B695" t="s">
        <v>733</v>
      </c>
      <c r="C695" s="9" t="s">
        <v>1584</v>
      </c>
      <c r="D69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293.67669298056325</v>
      </c>
      <c r="E695" t="str">
        <f>Table1[[#This Row],[Color Code]] &amp; " - " &amp;Table1[[#This Row],[Color Name]]</f>
        <v>4P1884 - TRINITY</v>
      </c>
    </row>
    <row r="696" spans="1:5" x14ac:dyDescent="0.35">
      <c r="A696" t="s">
        <v>1209</v>
      </c>
      <c r="B696" t="s">
        <v>1208</v>
      </c>
      <c r="C696" s="9" t="s">
        <v>1822</v>
      </c>
      <c r="D69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293.89283761262368</v>
      </c>
      <c r="E696" t="str">
        <f>Table1[[#This Row],[Color Code]] &amp; " - " &amp;Table1[[#This Row],[Color Name]]</f>
        <v>7P0185 - FABULOUS WHITE</v>
      </c>
    </row>
    <row r="697" spans="1:5" x14ac:dyDescent="0.35">
      <c r="A697" t="s">
        <v>300</v>
      </c>
      <c r="B697" t="s">
        <v>301</v>
      </c>
      <c r="C697" s="9" t="s">
        <v>1369</v>
      </c>
      <c r="D69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293.98809499705936</v>
      </c>
      <c r="E697" t="str">
        <f>Table1[[#This Row],[Color Code]] &amp; " - " &amp;Table1[[#This Row],[Color Name]]</f>
        <v>2P1868 - FANTASY MOON</v>
      </c>
    </row>
    <row r="698" spans="1:5" x14ac:dyDescent="0.35">
      <c r="A698" t="s">
        <v>302</v>
      </c>
      <c r="B698" t="s">
        <v>303</v>
      </c>
      <c r="C698" s="9" t="s">
        <v>1370</v>
      </c>
      <c r="D69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293.99829931480895</v>
      </c>
      <c r="E698" t="str">
        <f>Table1[[#This Row],[Color Code]] &amp; " - " &amp;Table1[[#This Row],[Color Name]]</f>
        <v>2P1869 - SMOOTH AS CREAM</v>
      </c>
    </row>
    <row r="699" spans="1:5" x14ac:dyDescent="0.35">
      <c r="A699" t="s">
        <v>2232</v>
      </c>
      <c r="B699" t="s">
        <v>2231</v>
      </c>
      <c r="C699" s="9" t="s">
        <v>2233</v>
      </c>
      <c r="D69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294.05611709331947</v>
      </c>
      <c r="E699" t="str">
        <f>Table1[[#This Row],[Color Code]] &amp; " - " &amp;Table1[[#This Row],[Color Name]]</f>
        <v>8P2515 - LIGHT POLISH</v>
      </c>
    </row>
    <row r="700" spans="1:5" x14ac:dyDescent="0.35">
      <c r="A700" t="s">
        <v>1125</v>
      </c>
      <c r="B700" t="s">
        <v>1124</v>
      </c>
      <c r="C700" s="9" t="s">
        <v>1780</v>
      </c>
      <c r="D70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294.05611709331947</v>
      </c>
      <c r="E700" t="str">
        <f>Table1[[#This Row],[Color Code]] &amp; " - " &amp;Table1[[#This Row],[Color Name]]</f>
        <v>6P1899 - MASTERPIECE</v>
      </c>
    </row>
    <row r="701" spans="1:5" x14ac:dyDescent="0.35">
      <c r="A701" t="s">
        <v>416</v>
      </c>
      <c r="B701" t="s">
        <v>417</v>
      </c>
      <c r="C701" s="9" t="s">
        <v>1427</v>
      </c>
      <c r="D70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294.6964539997046</v>
      </c>
      <c r="E701" t="str">
        <f>Table1[[#This Row],[Color Code]] &amp; " - " &amp;Table1[[#This Row],[Color Name]]</f>
        <v>3P0754 - TOUCH OF SUNSHINE</v>
      </c>
    </row>
    <row r="702" spans="1:5" x14ac:dyDescent="0.35">
      <c r="A702" t="s">
        <v>1111</v>
      </c>
      <c r="B702" t="s">
        <v>1110</v>
      </c>
      <c r="C702" s="9" t="s">
        <v>1773</v>
      </c>
      <c r="D70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294.84572237019142</v>
      </c>
      <c r="E702" t="str">
        <f>Table1[[#This Row],[Color Code]] &amp; " - " &amp;Table1[[#This Row],[Color Name]]</f>
        <v>6P1890 - PRETTY STYLE</v>
      </c>
    </row>
    <row r="703" spans="1:5" x14ac:dyDescent="0.35">
      <c r="A703" t="s">
        <v>444</v>
      </c>
      <c r="B703" t="s">
        <v>445</v>
      </c>
      <c r="C703" s="9" t="s">
        <v>1441</v>
      </c>
      <c r="D70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295.03389635768974</v>
      </c>
      <c r="E703" t="str">
        <f>Table1[[#This Row],[Color Code]] &amp; " - " &amp;Table1[[#This Row],[Color Name]]</f>
        <v>3P1860 - SAILING DAY</v>
      </c>
    </row>
    <row r="704" spans="1:5" x14ac:dyDescent="0.35">
      <c r="A704" t="s">
        <v>452</v>
      </c>
      <c r="B704" t="s">
        <v>453</v>
      </c>
      <c r="C704" s="9" t="s">
        <v>1441</v>
      </c>
      <c r="D70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295.03389635768974</v>
      </c>
      <c r="E704" t="str">
        <f>Table1[[#This Row],[Color Code]] &amp; " - " &amp;Table1[[#This Row],[Color Name]]</f>
        <v>3P1864 - BONITA</v>
      </c>
    </row>
    <row r="705" spans="1:5" x14ac:dyDescent="0.35">
      <c r="A705" t="s">
        <v>418</v>
      </c>
      <c r="B705" t="s">
        <v>419</v>
      </c>
      <c r="C705" s="9" t="s">
        <v>1428</v>
      </c>
      <c r="D70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295.07456684709376</v>
      </c>
      <c r="E705" t="str">
        <f>Table1[[#This Row],[Color Code]] &amp; " - " &amp;Table1[[#This Row],[Color Name]]</f>
        <v>3P0770 - LEMON PUFF</v>
      </c>
    </row>
    <row r="706" spans="1:5" x14ac:dyDescent="0.35">
      <c r="A706" t="s">
        <v>54</v>
      </c>
      <c r="B706" t="s">
        <v>55</v>
      </c>
      <c r="C706" s="9" t="s">
        <v>174</v>
      </c>
      <c r="D70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295.16944286290885</v>
      </c>
      <c r="E706" t="str">
        <f>Table1[[#This Row],[Color Code]] &amp; " - " &amp;Table1[[#This Row],[Color Name]]</f>
        <v>1P0001 - CHINA DOLL</v>
      </c>
    </row>
    <row r="707" spans="1:5" x14ac:dyDescent="0.35">
      <c r="A707" t="s">
        <v>412</v>
      </c>
      <c r="B707" t="s">
        <v>413</v>
      </c>
      <c r="C707" s="9" t="s">
        <v>1425</v>
      </c>
      <c r="D70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295.22533766599372</v>
      </c>
      <c r="E707" t="str">
        <f>Table1[[#This Row],[Color Code]] &amp; " - " &amp;Table1[[#This Row],[Color Name]]</f>
        <v>3P0730 - DIPPED IN HONEY</v>
      </c>
    </row>
    <row r="708" spans="1:5" x14ac:dyDescent="0.35">
      <c r="A708" t="s">
        <v>722</v>
      </c>
      <c r="B708" t="s">
        <v>723</v>
      </c>
      <c r="C708" s="9" t="s">
        <v>1579</v>
      </c>
      <c r="D70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295.29815441346733</v>
      </c>
      <c r="E708" t="str">
        <f>Table1[[#This Row],[Color Code]] &amp; " - " &amp;Table1[[#This Row],[Color Name]]</f>
        <v>4P1879 - MINT MARTINI</v>
      </c>
    </row>
    <row r="709" spans="1:5" x14ac:dyDescent="0.35">
      <c r="A709" t="s">
        <v>973</v>
      </c>
      <c r="B709" t="s">
        <v>972</v>
      </c>
      <c r="C709" s="9" t="s">
        <v>1704</v>
      </c>
      <c r="D70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295.39972918064768</v>
      </c>
      <c r="E709" t="str">
        <f>Table1[[#This Row],[Color Code]] &amp; " - " &amp;Table1[[#This Row],[Color Name]]</f>
        <v>6P0162 - DEW KISSED</v>
      </c>
    </row>
    <row r="710" spans="1:5" x14ac:dyDescent="0.35">
      <c r="A710" t="s">
        <v>1993</v>
      </c>
      <c r="B710" t="s">
        <v>1992</v>
      </c>
      <c r="C710" s="9" t="s">
        <v>1994</v>
      </c>
      <c r="D71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295.61799674580033</v>
      </c>
      <c r="E710" t="str">
        <f>Table1[[#This Row],[Color Code]] &amp; " - " &amp;Table1[[#This Row],[Color Name]]</f>
        <v>7P2464 - PUDDING</v>
      </c>
    </row>
    <row r="711" spans="1:5" x14ac:dyDescent="0.35">
      <c r="A711" t="s">
        <v>2020</v>
      </c>
      <c r="B711" t="s">
        <v>2019</v>
      </c>
      <c r="C711" s="9" t="s">
        <v>2021</v>
      </c>
      <c r="D71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295.61799674580033</v>
      </c>
      <c r="E711" t="str">
        <f>Table1[[#This Row],[Color Code]] &amp; " - " &amp;Table1[[#This Row],[Color Name]]</f>
        <v>7P2499 - PORCELAIN CUP</v>
      </c>
    </row>
    <row r="712" spans="1:5" x14ac:dyDescent="0.35">
      <c r="A712" t="s">
        <v>2265</v>
      </c>
      <c r="B712" t="s">
        <v>2264</v>
      </c>
      <c r="C712" s="9" t="s">
        <v>2266</v>
      </c>
      <c r="D71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295.62137947043004</v>
      </c>
      <c r="E712" t="str">
        <f>Table1[[#This Row],[Color Code]] &amp; " - " &amp;Table1[[#This Row],[Color Name]]</f>
        <v>8P2564 - SOFT WINGS</v>
      </c>
    </row>
    <row r="713" spans="1:5" x14ac:dyDescent="0.35">
      <c r="A713" t="s">
        <v>1892</v>
      </c>
      <c r="B713" t="s">
        <v>1891</v>
      </c>
      <c r="C713" s="9" t="s">
        <v>1893</v>
      </c>
      <c r="D71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295.63152741208103</v>
      </c>
      <c r="E713" t="str">
        <f>Table1[[#This Row],[Color Code]] &amp; " - " &amp;Table1[[#This Row],[Color Name]]</f>
        <v>7P1925 - SUGAR CANDY</v>
      </c>
    </row>
    <row r="714" spans="1:5" x14ac:dyDescent="0.35">
      <c r="A714" t="s">
        <v>1299</v>
      </c>
      <c r="B714" t="s">
        <v>1298</v>
      </c>
      <c r="C714" s="9" t="s">
        <v>1866</v>
      </c>
      <c r="D71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295.65858688697</v>
      </c>
      <c r="E714" t="str">
        <f>Table1[[#This Row],[Color Code]] &amp; " - " &amp;Table1[[#This Row],[Color Name]]</f>
        <v>7P1593 - WATER CHESTNUT</v>
      </c>
    </row>
    <row r="715" spans="1:5" x14ac:dyDescent="0.35">
      <c r="A715" t="s">
        <v>172</v>
      </c>
      <c r="B715" t="s">
        <v>173</v>
      </c>
      <c r="C715" s="9" t="s">
        <v>233</v>
      </c>
      <c r="D71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295.67549780122124</v>
      </c>
      <c r="E715" t="str">
        <f>Table1[[#This Row],[Color Code]] &amp; " - " &amp;Table1[[#This Row],[Color Name]]</f>
        <v>1P1903 - RIVERIA</v>
      </c>
    </row>
    <row r="716" spans="1:5" x14ac:dyDescent="0.35">
      <c r="A716" t="s">
        <v>310</v>
      </c>
      <c r="B716" t="s">
        <v>311</v>
      </c>
      <c r="C716" s="9" t="s">
        <v>1374</v>
      </c>
      <c r="D71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295.68902583626601</v>
      </c>
      <c r="E716" t="str">
        <f>Table1[[#This Row],[Color Code]] &amp; " - " &amp;Table1[[#This Row],[Color Name]]</f>
        <v>2P1927 - WINDMILL</v>
      </c>
    </row>
    <row r="717" spans="1:5" x14ac:dyDescent="0.35">
      <c r="A717" t="s">
        <v>458</v>
      </c>
      <c r="B717" t="s">
        <v>459</v>
      </c>
      <c r="C717" s="9" t="s">
        <v>1447</v>
      </c>
      <c r="D71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295.79384713005777</v>
      </c>
      <c r="E717" t="str">
        <f>Table1[[#This Row],[Color Code]] &amp; " - " &amp;Table1[[#This Row],[Color Name]]</f>
        <v>3P1867 - GLORIOUS DAY</v>
      </c>
    </row>
    <row r="718" spans="1:5" x14ac:dyDescent="0.35">
      <c r="A718" t="s">
        <v>1123</v>
      </c>
      <c r="B718" t="s">
        <v>1122</v>
      </c>
      <c r="C718" s="9" t="s">
        <v>1779</v>
      </c>
      <c r="D71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295.82765252761618</v>
      </c>
      <c r="E718" t="str">
        <f>Table1[[#This Row],[Color Code]] &amp; " - " &amp;Table1[[#This Row],[Color Name]]</f>
        <v>6P1898 - WHITE TRAIL</v>
      </c>
    </row>
    <row r="719" spans="1:5" x14ac:dyDescent="0.35">
      <c r="A719" t="s">
        <v>1107</v>
      </c>
      <c r="B719" t="s">
        <v>1106</v>
      </c>
      <c r="C719" s="9" t="s">
        <v>1771</v>
      </c>
      <c r="D71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295.85469406450187</v>
      </c>
      <c r="E719" t="str">
        <f>Table1[[#This Row],[Color Code]] &amp; " - " &amp;Table1[[#This Row],[Color Name]]</f>
        <v>6P1888 - CRYSTAL STONE</v>
      </c>
    </row>
    <row r="720" spans="1:5" x14ac:dyDescent="0.35">
      <c r="A720" t="s">
        <v>338</v>
      </c>
      <c r="B720" t="s">
        <v>339</v>
      </c>
      <c r="C720" s="9" t="s">
        <v>1388</v>
      </c>
      <c r="D72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296.1789999307851</v>
      </c>
      <c r="E720" t="str">
        <f>Table1[[#This Row],[Color Code]] &amp; " - " &amp;Table1[[#This Row],[Color Name]]</f>
        <v>2P2055 - NIRVANA</v>
      </c>
    </row>
    <row r="721" spans="1:5" x14ac:dyDescent="0.35">
      <c r="A721" t="s">
        <v>2387</v>
      </c>
      <c r="B721" t="s">
        <v>2386</v>
      </c>
      <c r="C721" s="9" t="s">
        <v>2388</v>
      </c>
      <c r="D72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296.18406439239772</v>
      </c>
      <c r="E721" t="str">
        <f>Table1[[#This Row],[Color Code]] &amp; " - " &amp;Table1[[#This Row],[Color Name]]</f>
        <v>8P2760 - SEA SALT</v>
      </c>
    </row>
    <row r="722" spans="1:5" x14ac:dyDescent="0.35">
      <c r="A722" t="s">
        <v>234</v>
      </c>
      <c r="B722" t="s">
        <v>235</v>
      </c>
      <c r="C722" s="9" t="s">
        <v>1336</v>
      </c>
      <c r="D72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296.20432137293341</v>
      </c>
      <c r="E722" t="str">
        <f>Table1[[#This Row],[Color Code]] &amp; " - " &amp;Table1[[#This Row],[Color Name]]</f>
        <v>2P0034 - LONG BEACH</v>
      </c>
    </row>
    <row r="723" spans="1:5" x14ac:dyDescent="0.35">
      <c r="A723" t="s">
        <v>708</v>
      </c>
      <c r="B723" t="s">
        <v>709</v>
      </c>
      <c r="C723" s="9" t="s">
        <v>1572</v>
      </c>
      <c r="D72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296.27520989782454</v>
      </c>
      <c r="E723" t="str">
        <f>Table1[[#This Row],[Color Code]] &amp; " - " &amp;Table1[[#This Row],[Color Name]]</f>
        <v>4P1841 - ICICLE WHITE</v>
      </c>
    </row>
    <row r="724" spans="1:5" x14ac:dyDescent="0.35">
      <c r="A724" t="s">
        <v>334</v>
      </c>
      <c r="B724" t="s">
        <v>335</v>
      </c>
      <c r="C724" s="9" t="s">
        <v>1386</v>
      </c>
      <c r="D72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296.54510618116768</v>
      </c>
      <c r="E724" t="str">
        <f>Table1[[#This Row],[Color Code]] &amp; " - " &amp;Table1[[#This Row],[Color Name]]</f>
        <v>2P2052 - MAKE A WISH</v>
      </c>
    </row>
    <row r="725" spans="1:5" x14ac:dyDescent="0.35">
      <c r="A725" t="s">
        <v>596</v>
      </c>
      <c r="B725" t="s">
        <v>597</v>
      </c>
      <c r="C725" s="9" t="s">
        <v>1516</v>
      </c>
      <c r="D72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296.64962497869436</v>
      </c>
      <c r="E725" t="str">
        <f>Table1[[#This Row],[Color Code]] &amp; " - " &amp;Table1[[#This Row],[Color Name]]</f>
        <v>4P0091 - GLOAMING</v>
      </c>
    </row>
    <row r="726" spans="1:5" x14ac:dyDescent="0.35">
      <c r="A726" t="s">
        <v>2026</v>
      </c>
      <c r="B726" t="s">
        <v>2025</v>
      </c>
      <c r="C726" s="9" t="s">
        <v>2027</v>
      </c>
      <c r="D72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296.78948768445287</v>
      </c>
      <c r="E726" t="str">
        <f>Table1[[#This Row],[Color Code]] &amp; " - " &amp;Table1[[#This Row],[Color Name]]</f>
        <v>7P2506 - LAZY SUNDAY</v>
      </c>
    </row>
    <row r="727" spans="1:5" x14ac:dyDescent="0.35">
      <c r="A727" t="s">
        <v>70</v>
      </c>
      <c r="B727" t="s">
        <v>71</v>
      </c>
      <c r="C727" s="9" t="s">
        <v>182</v>
      </c>
      <c r="D72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296.86697357570779</v>
      </c>
      <c r="E727" t="str">
        <f>Table1[[#This Row],[Color Code]] &amp; " - " &amp;Table1[[#This Row],[Color Name]]</f>
        <v>1P0010 - BABY'S BREATH</v>
      </c>
    </row>
    <row r="728" spans="1:5" x14ac:dyDescent="0.35">
      <c r="A728" t="s">
        <v>1109</v>
      </c>
      <c r="B728" t="s">
        <v>1108</v>
      </c>
      <c r="C728" s="9" t="s">
        <v>1772</v>
      </c>
      <c r="D72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297.07574791625115</v>
      </c>
      <c r="E728" t="str">
        <f>Table1[[#This Row],[Color Code]] &amp; " - " &amp;Table1[[#This Row],[Color Name]]</f>
        <v>6P1889 - SOFT FLUFF</v>
      </c>
    </row>
    <row r="729" spans="1:5" x14ac:dyDescent="0.35">
      <c r="A729" t="s">
        <v>472</v>
      </c>
      <c r="B729" t="s">
        <v>473</v>
      </c>
      <c r="C729" s="9" t="s">
        <v>1454</v>
      </c>
      <c r="D72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297.33650969902772</v>
      </c>
      <c r="E729" t="str">
        <f>Table1[[#This Row],[Color Code]] &amp; " - " &amp;Table1[[#This Row],[Color Name]]</f>
        <v>3P1934 - PEARLYN</v>
      </c>
    </row>
    <row r="730" spans="1:5" x14ac:dyDescent="0.35">
      <c r="A730" t="s">
        <v>438</v>
      </c>
      <c r="B730" t="s">
        <v>439</v>
      </c>
      <c r="C730" s="9" t="s">
        <v>1438</v>
      </c>
      <c r="D73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297.33987287277836</v>
      </c>
      <c r="E730" t="str">
        <f>Table1[[#This Row],[Color Code]] &amp; " - " &amp;Table1[[#This Row],[Color Name]]</f>
        <v>3P1854 - FRESH LINEN</v>
      </c>
    </row>
    <row r="731" spans="1:5" x14ac:dyDescent="0.35">
      <c r="A731" t="s">
        <v>470</v>
      </c>
      <c r="B731" t="s">
        <v>471</v>
      </c>
      <c r="C731" s="9" t="s">
        <v>1453</v>
      </c>
      <c r="D73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297.34996216579549</v>
      </c>
      <c r="E731" t="str">
        <f>Table1[[#This Row],[Color Code]] &amp; " - " &amp;Table1[[#This Row],[Color Name]]</f>
        <v>3P1926 - WINE GLASS</v>
      </c>
    </row>
    <row r="732" spans="1:5" x14ac:dyDescent="0.35">
      <c r="A732" t="s">
        <v>716</v>
      </c>
      <c r="B732" t="s">
        <v>717</v>
      </c>
      <c r="C732" s="9" t="s">
        <v>1576</v>
      </c>
      <c r="D73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297.3768652736793</v>
      </c>
      <c r="E732" t="str">
        <f>Table1[[#This Row],[Color Code]] &amp; " - " &amp;Table1[[#This Row],[Color Name]]</f>
        <v>4P1876 - LUSTROUS MINT</v>
      </c>
    </row>
    <row r="733" spans="1:5" x14ac:dyDescent="0.35">
      <c r="A733" t="s">
        <v>1143</v>
      </c>
      <c r="B733" t="s">
        <v>1142</v>
      </c>
      <c r="C733" s="9" t="s">
        <v>1789</v>
      </c>
      <c r="D73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297.47100699059735</v>
      </c>
      <c r="E733" t="str">
        <f>Table1[[#This Row],[Color Code]] &amp; " - " &amp;Table1[[#This Row],[Color Name]]</f>
        <v>6P2341 - GLASS LILAC</v>
      </c>
    </row>
    <row r="734" spans="1:5" x14ac:dyDescent="0.35">
      <c r="A734" t="s">
        <v>106</v>
      </c>
      <c r="B734" t="s">
        <v>107</v>
      </c>
      <c r="C734" s="9" t="s">
        <v>200</v>
      </c>
      <c r="D73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297.48445337529824</v>
      </c>
      <c r="E734" t="str">
        <f>Table1[[#This Row],[Color Code]] &amp; " - " &amp;Table1[[#This Row],[Color Name]]</f>
        <v>1P0221 - BUBBLE</v>
      </c>
    </row>
    <row r="735" spans="1:5" x14ac:dyDescent="0.35">
      <c r="A735" t="s">
        <v>62</v>
      </c>
      <c r="B735" t="s">
        <v>63</v>
      </c>
      <c r="C735" t="s">
        <v>178</v>
      </c>
      <c r="D73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297.68607626155443</v>
      </c>
      <c r="E735" t="str">
        <f>Table1[[#This Row],[Color Code]] &amp; " - " &amp;Table1[[#This Row],[Color Name]]</f>
        <v>1P0005 - SCALLOP SHELL</v>
      </c>
    </row>
    <row r="736" spans="1:5" x14ac:dyDescent="0.35">
      <c r="A736" t="s">
        <v>144</v>
      </c>
      <c r="B736" t="s">
        <v>145</v>
      </c>
      <c r="C736" s="9" t="s">
        <v>219</v>
      </c>
      <c r="D73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297.78012022295917</v>
      </c>
      <c r="E736" t="str">
        <f>Table1[[#This Row],[Color Code]] &amp; " - " &amp;Table1[[#This Row],[Color Name]]</f>
        <v>1P0497 - DADDY'S GIRL</v>
      </c>
    </row>
    <row r="737" spans="1:5" x14ac:dyDescent="0.35">
      <c r="A737" t="s">
        <v>478</v>
      </c>
      <c r="B737" t="s">
        <v>479</v>
      </c>
      <c r="C737" s="9" t="s">
        <v>1457</v>
      </c>
      <c r="D73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297.91609557054818</v>
      </c>
      <c r="E737" t="str">
        <f>Table1[[#This Row],[Color Code]] &amp; " - " &amp;Table1[[#This Row],[Color Name]]</f>
        <v>3P1937 - WASHED CANVAS</v>
      </c>
    </row>
    <row r="738" spans="1:5" x14ac:dyDescent="0.35">
      <c r="A738" t="s">
        <v>474</v>
      </c>
      <c r="B738" t="s">
        <v>475</v>
      </c>
      <c r="C738" s="9" t="s">
        <v>1455</v>
      </c>
      <c r="D73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297.91609557054818</v>
      </c>
      <c r="E738" t="str">
        <f>Table1[[#This Row],[Color Code]] &amp; " - " &amp;Table1[[#This Row],[Color Name]]</f>
        <v>3P1935 - ARISTOCRATIC</v>
      </c>
    </row>
    <row r="739" spans="1:5" x14ac:dyDescent="0.35">
      <c r="A739" t="s">
        <v>436</v>
      </c>
      <c r="B739" t="s">
        <v>437</v>
      </c>
      <c r="C739" s="9" t="s">
        <v>1437</v>
      </c>
      <c r="D73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297.92616534973894</v>
      </c>
      <c r="E739" t="str">
        <f>Table1[[#This Row],[Color Code]] &amp; " - " &amp;Table1[[#This Row],[Color Name]]</f>
        <v>3P1853 - MORNING RAYS</v>
      </c>
    </row>
    <row r="740" spans="1:5" x14ac:dyDescent="0.35">
      <c r="A740" t="s">
        <v>134</v>
      </c>
      <c r="B740" t="s">
        <v>135</v>
      </c>
      <c r="C740" s="9" t="s">
        <v>214</v>
      </c>
      <c r="D74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298.18450663976489</v>
      </c>
      <c r="E740" t="str">
        <f>Table1[[#This Row],[Color Code]] &amp; " - " &amp;Table1[[#This Row],[Color Name]]</f>
        <v>1P0473 - TICKLED PINK</v>
      </c>
    </row>
    <row r="741" spans="1:5" x14ac:dyDescent="0.35">
      <c r="A741" t="s">
        <v>64</v>
      </c>
      <c r="B741" t="s">
        <v>65</v>
      </c>
      <c r="C741" s="9" t="s">
        <v>179</v>
      </c>
      <c r="D74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298.39571042493219</v>
      </c>
      <c r="E741" t="str">
        <f>Table1[[#This Row],[Color Code]] &amp; " - " &amp;Table1[[#This Row],[Color Name]]</f>
        <v>1P0006 - PALE WOODROSE</v>
      </c>
    </row>
    <row r="742" spans="1:5" x14ac:dyDescent="0.35">
      <c r="A742" t="s">
        <v>1287</v>
      </c>
      <c r="B742" t="s">
        <v>1286</v>
      </c>
      <c r="C742" s="9" t="s">
        <v>1861</v>
      </c>
      <c r="D74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298.68545327819362</v>
      </c>
      <c r="E742" t="str">
        <f>Table1[[#This Row],[Color Code]] &amp; " - " &amp;Table1[[#This Row],[Color Name]]</f>
        <v>7P1561 - PIANO KEYS</v>
      </c>
    </row>
    <row r="743" spans="1:5" x14ac:dyDescent="0.35">
      <c r="A743" t="s">
        <v>362</v>
      </c>
      <c r="B743" t="s">
        <v>363</v>
      </c>
      <c r="C743" s="9" t="s">
        <v>1400</v>
      </c>
      <c r="D74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298.91303083003925</v>
      </c>
      <c r="E743" t="str">
        <f>Table1[[#This Row],[Color Code]] &amp; " - " &amp;Table1[[#This Row],[Color Name]]</f>
        <v>3P0058 - SUNDRESS</v>
      </c>
    </row>
    <row r="744" spans="1:5" x14ac:dyDescent="0.35">
      <c r="A744" t="s">
        <v>454</v>
      </c>
      <c r="B744" t="s">
        <v>455</v>
      </c>
      <c r="C744" s="9" t="s">
        <v>1445</v>
      </c>
      <c r="D74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299.10867590225462</v>
      </c>
      <c r="E744" t="str">
        <f>Table1[[#This Row],[Color Code]] &amp; " - " &amp;Table1[[#This Row],[Color Name]]</f>
        <v>3P1865 - MOONSCAPE</v>
      </c>
    </row>
    <row r="745" spans="1:5" x14ac:dyDescent="0.35">
      <c r="A745" t="s">
        <v>1121</v>
      </c>
      <c r="B745" t="s">
        <v>1120</v>
      </c>
      <c r="C745" s="9" t="s">
        <v>1778</v>
      </c>
      <c r="D74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299.35597538716343</v>
      </c>
      <c r="E745" t="str">
        <f>Table1[[#This Row],[Color Code]] &amp; " - " &amp;Table1[[#This Row],[Color Name]]</f>
        <v>6P1897 - GLAZED</v>
      </c>
    </row>
    <row r="746" spans="1:5" x14ac:dyDescent="0.35">
      <c r="A746" t="s">
        <v>594</v>
      </c>
      <c r="B746" t="s">
        <v>595</v>
      </c>
      <c r="C746" s="9" t="s">
        <v>1515</v>
      </c>
      <c r="D74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299.96833166186059</v>
      </c>
      <c r="E746" t="str">
        <f>Table1[[#This Row],[Color Code]] &amp; " - " &amp;Table1[[#This Row],[Color Name]]</f>
        <v>4P0090 - MINT TEA</v>
      </c>
    </row>
    <row r="747" spans="1:5" x14ac:dyDescent="0.35">
      <c r="A747" t="s">
        <v>432</v>
      </c>
      <c r="B747" t="s">
        <v>433</v>
      </c>
      <c r="C747" s="9" t="s">
        <v>1435</v>
      </c>
      <c r="D74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300.22325026553159</v>
      </c>
      <c r="E747" t="str">
        <f>Table1[[#This Row],[Color Code]] &amp; " - " &amp;Table1[[#This Row],[Color Name]]</f>
        <v>3P1851 - VANITY TOP</v>
      </c>
    </row>
    <row r="748" spans="1:5" x14ac:dyDescent="0.35">
      <c r="A748" t="s">
        <v>1981</v>
      </c>
      <c r="B748" t="s">
        <v>1980</v>
      </c>
      <c r="C748" s="9" t="s">
        <v>1982</v>
      </c>
      <c r="D74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300.22658110167396</v>
      </c>
      <c r="E748" t="str">
        <f>Table1[[#This Row],[Color Code]] &amp; " - " &amp;Table1[[#This Row],[Color Name]]</f>
        <v>7P2442 - VENUS VEIL</v>
      </c>
    </row>
    <row r="749" spans="1:5" x14ac:dyDescent="0.35">
      <c r="A749" t="s">
        <v>434</v>
      </c>
      <c r="B749" t="s">
        <v>435</v>
      </c>
      <c r="C749" s="9" t="s">
        <v>1436</v>
      </c>
      <c r="D74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300.22991190086304</v>
      </c>
      <c r="E749" t="str">
        <f>Table1[[#This Row],[Color Code]] &amp; " - " &amp;Table1[[#This Row],[Color Name]]</f>
        <v>3P1852 - CRISP AIR</v>
      </c>
    </row>
    <row r="750" spans="1:5" x14ac:dyDescent="0.35">
      <c r="A750" t="s">
        <v>292</v>
      </c>
      <c r="B750" t="s">
        <v>293</v>
      </c>
      <c r="C750" s="9" t="s">
        <v>1365</v>
      </c>
      <c r="D75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300.24323472811176</v>
      </c>
      <c r="E750" t="str">
        <f>Table1[[#This Row],[Color Code]] &amp; " - " &amp;Table1[[#This Row],[Color Name]]</f>
        <v>2P1847 - WHITE SWAN</v>
      </c>
    </row>
    <row r="751" spans="1:5" x14ac:dyDescent="0.35">
      <c r="A751" t="s">
        <v>430</v>
      </c>
      <c r="B751" t="s">
        <v>431</v>
      </c>
      <c r="C751" s="9" t="s">
        <v>1434</v>
      </c>
      <c r="D75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300.25322646059942</v>
      </c>
      <c r="E751" t="str">
        <f>Table1[[#This Row],[Color Code]] &amp; " - " &amp;Table1[[#This Row],[Color Name]]</f>
        <v>3P1848 - WHITE ISLE</v>
      </c>
    </row>
    <row r="752" spans="1:5" x14ac:dyDescent="0.35">
      <c r="A752" t="s">
        <v>130</v>
      </c>
      <c r="B752" t="s">
        <v>131</v>
      </c>
      <c r="C752" s="9" t="s">
        <v>212</v>
      </c>
      <c r="D75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300.67923107524405</v>
      </c>
      <c r="E752" t="str">
        <f>Table1[[#This Row],[Color Code]] &amp; " - " &amp;Table1[[#This Row],[Color Name]]</f>
        <v>1P0465 - STRAWBERRY MIST</v>
      </c>
    </row>
    <row r="753" spans="1:5" x14ac:dyDescent="0.35">
      <c r="A753" t="s">
        <v>424</v>
      </c>
      <c r="B753" t="s">
        <v>425</v>
      </c>
      <c r="C753" s="9" t="s">
        <v>1431</v>
      </c>
      <c r="D75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300.86708028629522</v>
      </c>
      <c r="E753" t="str">
        <f>Table1[[#This Row],[Color Code]] &amp; " - " &amp;Table1[[#This Row],[Color Name]]</f>
        <v>3P1843 - SAVY WHITE</v>
      </c>
    </row>
    <row r="754" spans="1:5" x14ac:dyDescent="0.35">
      <c r="A754" t="s">
        <v>1099</v>
      </c>
      <c r="B754" t="s">
        <v>1098</v>
      </c>
      <c r="C754" s="9" t="s">
        <v>1767</v>
      </c>
      <c r="D75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301.03986446980741</v>
      </c>
      <c r="E754" t="str">
        <f>Table1[[#This Row],[Color Code]] &amp; " - " &amp;Table1[[#This Row],[Color Name]]</f>
        <v>6P1417 - PALE BLUSH</v>
      </c>
    </row>
    <row r="755" spans="1:5" x14ac:dyDescent="0.35">
      <c r="A755" t="s">
        <v>126</v>
      </c>
      <c r="B755" t="s">
        <v>127</v>
      </c>
      <c r="C755" s="9" t="s">
        <v>210</v>
      </c>
      <c r="D75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301.13950255653941</v>
      </c>
      <c r="E755" t="str">
        <f>Table1[[#This Row],[Color Code]] &amp; " - " &amp;Table1[[#This Row],[Color Name]]</f>
        <v>1P0457 - EDGE OF DAWN</v>
      </c>
    </row>
    <row r="756" spans="1:5" x14ac:dyDescent="0.35">
      <c r="A756" t="s">
        <v>989</v>
      </c>
      <c r="B756" t="s">
        <v>988</v>
      </c>
      <c r="C756" s="9" t="s">
        <v>1712</v>
      </c>
      <c r="D75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301.28225968350677</v>
      </c>
      <c r="E756" t="str">
        <f>Table1[[#This Row],[Color Code]] &amp; " - " &amp;Table1[[#This Row],[Color Name]]</f>
        <v>6P0170 - EVER AFTER</v>
      </c>
    </row>
    <row r="757" spans="1:5" x14ac:dyDescent="0.35">
      <c r="A757" t="s">
        <v>446</v>
      </c>
      <c r="B757" t="s">
        <v>447</v>
      </c>
      <c r="C757" s="9" t="s">
        <v>1442</v>
      </c>
      <c r="D75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301.38015860371434</v>
      </c>
      <c r="E757" t="str">
        <f>Table1[[#This Row],[Color Code]] &amp; " - " &amp;Table1[[#This Row],[Color Name]]</f>
        <v>3P1861 - CREAM FROTH</v>
      </c>
    </row>
    <row r="758" spans="1:5" x14ac:dyDescent="0.35">
      <c r="A758" t="s">
        <v>464</v>
      </c>
      <c r="B758" t="s">
        <v>465</v>
      </c>
      <c r="C758" s="9" t="s">
        <v>1450</v>
      </c>
      <c r="D75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301.44651266849979</v>
      </c>
      <c r="E758" t="str">
        <f>Table1[[#This Row],[Color Code]] &amp; " - " &amp;Table1[[#This Row],[Color Name]]</f>
        <v>3P1872 - SUNNY BEACH</v>
      </c>
    </row>
    <row r="759" spans="1:5" x14ac:dyDescent="0.35">
      <c r="A759" t="s">
        <v>360</v>
      </c>
      <c r="B759" t="s">
        <v>361</v>
      </c>
      <c r="C759" s="9" t="s">
        <v>1399</v>
      </c>
      <c r="D75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301.5493326140849</v>
      </c>
      <c r="E759" t="str">
        <f>Table1[[#This Row],[Color Code]] &amp; " - " &amp;Table1[[#This Row],[Color Name]]</f>
        <v>3P0057 - WHITE GLOVE</v>
      </c>
    </row>
    <row r="760" spans="1:5" x14ac:dyDescent="0.35">
      <c r="A760" t="s">
        <v>394</v>
      </c>
      <c r="B760" t="s">
        <v>395</v>
      </c>
      <c r="C760" s="9" t="s">
        <v>1416</v>
      </c>
      <c r="D76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301.7449253922922</v>
      </c>
      <c r="E760" t="str">
        <f>Table1[[#This Row],[Color Code]] &amp; " - " &amp;Table1[[#This Row],[Color Name]]</f>
        <v>3P0081 - WHITE CITY</v>
      </c>
    </row>
    <row r="761" spans="1:5" x14ac:dyDescent="0.35">
      <c r="A761" t="s">
        <v>392</v>
      </c>
      <c r="B761" t="s">
        <v>393</v>
      </c>
      <c r="C761" s="9" t="s">
        <v>1415</v>
      </c>
      <c r="D76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301.87745858212071</v>
      </c>
      <c r="E761" t="str">
        <f>Table1[[#This Row],[Color Code]] &amp; " - " &amp;Table1[[#This Row],[Color Name]]</f>
        <v>3P0079 - AIRY LEMON</v>
      </c>
    </row>
    <row r="762" spans="1:5" x14ac:dyDescent="0.35">
      <c r="A762" t="s">
        <v>56</v>
      </c>
      <c r="B762" t="s">
        <v>57</v>
      </c>
      <c r="C762" s="9" t="s">
        <v>175</v>
      </c>
      <c r="D76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302.18702817956961</v>
      </c>
      <c r="E762" t="str">
        <f>Table1[[#This Row],[Color Code]] &amp; " - " &amp;Table1[[#This Row],[Color Name]]</f>
        <v>1P0002 - SWEET THING</v>
      </c>
    </row>
    <row r="763" spans="1:5" x14ac:dyDescent="0.35">
      <c r="A763" t="s">
        <v>728</v>
      </c>
      <c r="B763" t="s">
        <v>729</v>
      </c>
      <c r="C763" s="9" t="s">
        <v>1582</v>
      </c>
      <c r="D76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302.53099014811687</v>
      </c>
      <c r="E763" t="str">
        <f>Table1[[#This Row],[Color Code]] &amp; " - " &amp;Table1[[#This Row],[Color Name]]</f>
        <v>4P1882 - COOL WATER</v>
      </c>
    </row>
    <row r="764" spans="1:5" x14ac:dyDescent="0.35">
      <c r="A764" t="s">
        <v>306</v>
      </c>
      <c r="B764" t="s">
        <v>307</v>
      </c>
      <c r="C764" s="9" t="s">
        <v>1372</v>
      </c>
      <c r="D76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302.58552509992938</v>
      </c>
      <c r="E764" t="str">
        <f>Table1[[#This Row],[Color Code]] &amp; " - " &amp;Table1[[#This Row],[Color Name]]</f>
        <v>2P1902 - GENTLE BREEZE</v>
      </c>
    </row>
    <row r="765" spans="1:5" x14ac:dyDescent="0.35">
      <c r="A765" t="s">
        <v>298</v>
      </c>
      <c r="B765" t="s">
        <v>299</v>
      </c>
      <c r="C765" s="9" t="s">
        <v>1368</v>
      </c>
      <c r="D76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303.69063205834982</v>
      </c>
      <c r="E765" t="str">
        <f>Table1[[#This Row],[Color Code]] &amp; " - " &amp;Table1[[#This Row],[Color Name]]</f>
        <v>2P1858 - FINE SAND</v>
      </c>
    </row>
    <row r="766" spans="1:5" x14ac:dyDescent="0.35">
      <c r="A766" t="s">
        <v>448</v>
      </c>
      <c r="B766" t="s">
        <v>449</v>
      </c>
      <c r="C766" s="9" t="s">
        <v>1443</v>
      </c>
      <c r="D76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303.71368095625854</v>
      </c>
      <c r="E766" t="str">
        <f>Table1[[#This Row],[Color Code]] &amp; " - " &amp;Table1[[#This Row],[Color Name]]</f>
        <v>3P1862 - SILVER BAND</v>
      </c>
    </row>
    <row r="767" spans="1:5" x14ac:dyDescent="0.35">
      <c r="A767" t="s">
        <v>428</v>
      </c>
      <c r="B767" t="s">
        <v>429</v>
      </c>
      <c r="C767" s="9" t="s">
        <v>1433</v>
      </c>
      <c r="D76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303.87168344549644</v>
      </c>
      <c r="E767" t="str">
        <f>Table1[[#This Row],[Color Code]] &amp; " - " &amp;Table1[[#This Row],[Color Name]]</f>
        <v>3P1845 - POWDER PUFF</v>
      </c>
    </row>
    <row r="768" spans="1:5" x14ac:dyDescent="0.35">
      <c r="A768" t="s">
        <v>382</v>
      </c>
      <c r="B768" t="s">
        <v>383</v>
      </c>
      <c r="C768" s="9" t="s">
        <v>1410</v>
      </c>
      <c r="D76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304.06249357656725</v>
      </c>
      <c r="E768" t="str">
        <f>Table1[[#This Row],[Color Code]] &amp; " - " &amp;Table1[[#This Row],[Color Name]]</f>
        <v>3P0069 - LEMON ORGANZA</v>
      </c>
    </row>
    <row r="769" spans="1:5" x14ac:dyDescent="0.35">
      <c r="A769" t="s">
        <v>296</v>
      </c>
      <c r="B769" t="s">
        <v>297</v>
      </c>
      <c r="C769" s="9" t="s">
        <v>1367</v>
      </c>
      <c r="D76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304.28440643582115</v>
      </c>
      <c r="E769" t="str">
        <f>Table1[[#This Row],[Color Code]] &amp; " - " &amp;Table1[[#This Row],[Color Name]]</f>
        <v>2P1857 - PALE ALE</v>
      </c>
    </row>
    <row r="770" spans="1:5" x14ac:dyDescent="0.35">
      <c r="A770" t="s">
        <v>110</v>
      </c>
      <c r="B770" t="s">
        <v>111</v>
      </c>
      <c r="C770" s="9" t="s">
        <v>202</v>
      </c>
      <c r="D77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304.41583401656362</v>
      </c>
      <c r="E770" t="str">
        <f>Table1[[#This Row],[Color Code]] &amp; " - " &amp;Table1[[#This Row],[Color Name]]</f>
        <v>1P0313 - LITTLE FLOWER</v>
      </c>
    </row>
    <row r="771" spans="1:5" x14ac:dyDescent="0.35">
      <c r="A771" t="s">
        <v>390</v>
      </c>
      <c r="B771" t="s">
        <v>391</v>
      </c>
      <c r="C771" s="9" t="s">
        <v>1414</v>
      </c>
      <c r="D77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304.51436747713564</v>
      </c>
      <c r="E771" t="str">
        <f>Table1[[#This Row],[Color Code]] &amp; " - " &amp;Table1[[#This Row],[Color Name]]</f>
        <v>3P0077 - BLEACHED BY THE SUN</v>
      </c>
    </row>
    <row r="772" spans="1:5" x14ac:dyDescent="0.35">
      <c r="A772" t="s">
        <v>476</v>
      </c>
      <c r="B772" t="s">
        <v>477</v>
      </c>
      <c r="C772" s="9" t="s">
        <v>1456</v>
      </c>
      <c r="D77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305.44557616701542</v>
      </c>
      <c r="E772" t="str">
        <f>Table1[[#This Row],[Color Code]] &amp; " - " &amp;Table1[[#This Row],[Color Name]]</f>
        <v>3P1936 - BONBONS</v>
      </c>
    </row>
    <row r="773" spans="1:5" x14ac:dyDescent="0.35">
      <c r="A773" t="s">
        <v>426</v>
      </c>
      <c r="B773" t="s">
        <v>427</v>
      </c>
      <c r="C773" s="9" t="s">
        <v>1432</v>
      </c>
      <c r="D77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305.50122749344234</v>
      </c>
      <c r="E773" t="str">
        <f>Table1[[#This Row],[Color Code]] &amp; " - " &amp;Table1[[#This Row],[Color Name]]</f>
        <v>3P1844 - SAUVIGNON WHITE</v>
      </c>
    </row>
    <row r="774" spans="1:5" x14ac:dyDescent="0.35">
      <c r="A774" t="s">
        <v>60</v>
      </c>
      <c r="B774" t="s">
        <v>61</v>
      </c>
      <c r="C774" s="9" t="s">
        <v>177</v>
      </c>
      <c r="D77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306.73278272789821</v>
      </c>
      <c r="E774" t="str">
        <f>Table1[[#This Row],[Color Code]] &amp; " - " &amp;Table1[[#This Row],[Color Name]]</f>
        <v>1P0004 - TU TU</v>
      </c>
    </row>
    <row r="775" spans="1:5" x14ac:dyDescent="0.35">
      <c r="A775" t="s">
        <v>442</v>
      </c>
      <c r="B775" t="s">
        <v>443</v>
      </c>
      <c r="C775" s="9" t="s">
        <v>1440</v>
      </c>
      <c r="D775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307.16445106815337</v>
      </c>
      <c r="E775" t="str">
        <f>Table1[[#This Row],[Color Code]] &amp; " - " &amp;Table1[[#This Row],[Color Name]]</f>
        <v>3P1859 - BENCH TOP</v>
      </c>
    </row>
    <row r="776" spans="1:5" x14ac:dyDescent="0.35">
      <c r="A776" t="s">
        <v>380</v>
      </c>
      <c r="B776" t="s">
        <v>381</v>
      </c>
      <c r="C776" s="9" t="s">
        <v>1409</v>
      </c>
      <c r="D776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307.91070134050227</v>
      </c>
      <c r="E776" t="str">
        <f>Table1[[#This Row],[Color Code]] &amp; " - " &amp;Table1[[#This Row],[Color Name]]</f>
        <v>3P0068 - SOFT SARONG</v>
      </c>
    </row>
    <row r="777" spans="1:5" x14ac:dyDescent="0.35">
      <c r="A777" t="s">
        <v>2056</v>
      </c>
      <c r="B777" t="s">
        <v>2055</v>
      </c>
      <c r="C777" s="9" t="s">
        <v>2057</v>
      </c>
      <c r="D777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307.93992920698025</v>
      </c>
      <c r="E777" t="str">
        <f>Table1[[#This Row],[Color Code]] &amp; " - " &amp;Table1[[#This Row],[Color Name]]</f>
        <v>8P0201 - WEDDING GOWN</v>
      </c>
    </row>
    <row r="778" spans="1:5" x14ac:dyDescent="0.35">
      <c r="A778" t="s">
        <v>987</v>
      </c>
      <c r="B778" t="s">
        <v>986</v>
      </c>
      <c r="C778" s="9" t="s">
        <v>1711</v>
      </c>
      <c r="D778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309.00323622900783</v>
      </c>
      <c r="E778" t="str">
        <f>Table1[[#This Row],[Color Code]] &amp; " - " &amp;Table1[[#This Row],[Color Name]]</f>
        <v>6P0169 - PINK FIZZ</v>
      </c>
    </row>
    <row r="779" spans="1:5" x14ac:dyDescent="0.35">
      <c r="A779" t="s">
        <v>378</v>
      </c>
      <c r="B779" t="s">
        <v>379</v>
      </c>
      <c r="C779" s="9" t="s">
        <v>1408</v>
      </c>
      <c r="D779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309.53836595808281</v>
      </c>
      <c r="E779" t="str">
        <f>Table1[[#This Row],[Color Code]] &amp; " - " &amp;Table1[[#This Row],[Color Name]]</f>
        <v>3P0067 - YELLOW SARI</v>
      </c>
    </row>
    <row r="780" spans="1:5" x14ac:dyDescent="0.35">
      <c r="A780" t="s">
        <v>714</v>
      </c>
      <c r="B780" t="s">
        <v>715</v>
      </c>
      <c r="C780" s="9" t="s">
        <v>1575</v>
      </c>
      <c r="D780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310.05967167627591</v>
      </c>
      <c r="E780" t="str">
        <f>Table1[[#This Row],[Color Code]] &amp; " - " &amp;Table1[[#This Row],[Color Name]]</f>
        <v>4P1850 - MARBELLO WHITE</v>
      </c>
    </row>
    <row r="781" spans="1:5" x14ac:dyDescent="0.35">
      <c r="A781" t="s">
        <v>388</v>
      </c>
      <c r="B781" t="s">
        <v>389</v>
      </c>
      <c r="C781" s="9" t="s">
        <v>1413</v>
      </c>
      <c r="D781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310.13706647222932</v>
      </c>
      <c r="E781" t="str">
        <f>Table1[[#This Row],[Color Code]] &amp; " - " &amp;Table1[[#This Row],[Color Name]]</f>
        <v>3P0076 - YELLOW BREEZE</v>
      </c>
    </row>
    <row r="782" spans="1:5" x14ac:dyDescent="0.35">
      <c r="A782" t="s">
        <v>290</v>
      </c>
      <c r="B782" t="s">
        <v>291</v>
      </c>
      <c r="C782" s="9" t="s">
        <v>1364</v>
      </c>
      <c r="D782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310.13706647222932</v>
      </c>
      <c r="E782" t="str">
        <f>Table1[[#This Row],[Color Code]] &amp; " - " &amp;Table1[[#This Row],[Color Name]]</f>
        <v>2P1846 - PERSIAN LACE</v>
      </c>
    </row>
    <row r="783" spans="1:5" x14ac:dyDescent="0.35">
      <c r="A783" t="s">
        <v>712</v>
      </c>
      <c r="B783" t="s">
        <v>713</v>
      </c>
      <c r="C783" s="9" t="s">
        <v>1574</v>
      </c>
      <c r="D783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311.79159706444943</v>
      </c>
      <c r="E783" t="str">
        <f>Table1[[#This Row],[Color Code]] &amp; " - " &amp;Table1[[#This Row],[Color Name]]</f>
        <v>4P1849 - FROZEN ICE</v>
      </c>
    </row>
    <row r="784" spans="1:5" x14ac:dyDescent="0.35">
      <c r="A784" t="s">
        <v>312</v>
      </c>
      <c r="B784" t="s">
        <v>313</v>
      </c>
      <c r="C784" s="9" t="s">
        <v>1375</v>
      </c>
      <c r="D784">
        <f>SQRT((LEFT(D$1, FIND(",", D$1) - 1) - LEFT(Table1[[#This Row],[RGB Value]], FIND(",", Table1[[#This Row],[RGB Value]]) - 1))^2 + (MID(D$1, FIND(",", D$1) + 1, FIND(",", D$1 &amp; ",", FIND(",", D$1) + 1) - FIND(",", D$1) - 1) - MID(Table1[[#This Row],[RGB Value]], FIND(",", Table1[[#This Row],[RGB Value]]) + 1, FIND(",", Table1[[#This Row],[RGB Value]] &amp; ",", FIND(",", Table1[[#This Row],[RGB Value]]) + 1) - FIND(",", Table1[[#This Row],[RGB Value]]) - 1))^2 + (RIGHT(D$1, LEN(D$1) - FIND(",", D$1 &amp; ",", FIND(",", D$1) + 1)) - RIGHT(Table1[[#This Row],[RGB Value]], LEN(Table1[[#This Row],[RGB Value]]) - FIND(",", Table1[[#This Row],[RGB Value]] &amp; ",", FIND(",", Table1[[#This Row],[RGB Value]]) + 1)))^2)</f>
        <v>312.37637554719146</v>
      </c>
      <c r="E784" t="str">
        <f>Table1[[#This Row],[Color Code]] &amp; " - " &amp;Table1[[#This Row],[Color Name]]</f>
        <v>2P1932 - ODE TO JOY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FA20-79E2-4748-8E27-804B532BF5A1}">
  <dimension ref="A1:E2198"/>
  <sheetViews>
    <sheetView tabSelected="1" workbookViewId="0">
      <selection activeCell="E16" sqref="E16"/>
    </sheetView>
  </sheetViews>
  <sheetFormatPr defaultRowHeight="14.5" x14ac:dyDescent="0.35"/>
  <cols>
    <col min="1" max="1" width="12.26953125" style="17" bestFit="1" customWidth="1"/>
    <col min="2" max="2" width="23.1796875" bestFit="1" customWidth="1"/>
    <col min="3" max="4" width="12.453125" bestFit="1" customWidth="1"/>
    <col min="5" max="5" width="30.81640625" bestFit="1" customWidth="1"/>
  </cols>
  <sheetData>
    <row r="1" spans="1:5" x14ac:dyDescent="0.35">
      <c r="D1" s="11" t="s">
        <v>6797</v>
      </c>
    </row>
    <row r="3" spans="1:5" x14ac:dyDescent="0.35">
      <c r="A3" s="17" t="s">
        <v>51</v>
      </c>
      <c r="B3" t="s">
        <v>52</v>
      </c>
      <c r="C3" t="s">
        <v>53</v>
      </c>
      <c r="D3" t="s">
        <v>2394</v>
      </c>
      <c r="E3" t="s">
        <v>2389</v>
      </c>
    </row>
    <row r="4" spans="1:5" x14ac:dyDescent="0.35">
      <c r="A4" s="17" t="s">
        <v>4254</v>
      </c>
      <c r="B4" t="s">
        <v>6623</v>
      </c>
      <c r="C4" s="9" t="str">
        <f>_xlfn.CONCAT(HEX2DEC(MID(Table14[[#This Row],[Color Code]], 1, 2))," , ",HEX2DEC(MID(Table14[[#This Row],[Color Code]], 3, 2))," , ",HEX2DEC(MID(Table14[[#This Row],[Color Code]], 5, 2)))</f>
        <v>196 , 176 , 160</v>
      </c>
      <c r="D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6.4807406984078604</v>
      </c>
      <c r="E4" t="str">
        <f>Table14[[#This Row],[Color Code]] &amp; " - " &amp;Table14[[#This Row],[Color Name]]</f>
        <v>C4B0A0 - 0302</v>
      </c>
    </row>
    <row r="5" spans="1:5" x14ac:dyDescent="0.35">
      <c r="A5" s="17" t="s">
        <v>4135</v>
      </c>
      <c r="B5" t="s">
        <v>6487</v>
      </c>
      <c r="C5" s="9" t="str">
        <f>_xlfn.CONCAT(HEX2DEC(MID(Table14[[#This Row],[Color Code]], 1, 2))," , ",HEX2DEC(MID(Table14[[#This Row],[Color Code]], 3, 2))," , ",HEX2DEC(MID(Table14[[#This Row],[Color Code]], 5, 2)))</f>
        <v>194 , 174 , 165</v>
      </c>
      <c r="D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10.246950765959598</v>
      </c>
      <c r="E5" t="str">
        <f>Table14[[#This Row],[Color Code]] &amp; " - " &amp;Table14[[#This Row],[Color Name]]</f>
        <v>C2AEA5 - 8657</v>
      </c>
    </row>
    <row r="6" spans="1:5" x14ac:dyDescent="0.35">
      <c r="A6" s="17" t="s">
        <v>3194</v>
      </c>
      <c r="B6" t="s">
        <v>5452</v>
      </c>
      <c r="C6" s="9" t="str">
        <f>_xlfn.CONCAT(HEX2DEC(MID(Table14[[#This Row],[Color Code]], 1, 2))," , ",HEX2DEC(MID(Table14[[#This Row],[Color Code]], 3, 2))," , ",HEX2DEC(MID(Table14[[#This Row],[Color Code]], 5, 2)))</f>
        <v>187 , 184 , 153</v>
      </c>
      <c r="D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10.488088481701515</v>
      </c>
      <c r="E6" t="str">
        <f>Table14[[#This Row],[Color Code]] &amp; " - " &amp;Table14[[#This Row],[Color Name]]</f>
        <v>BBB899 - 7785</v>
      </c>
    </row>
    <row r="7" spans="1:5" x14ac:dyDescent="0.35">
      <c r="A7" s="17" t="s">
        <v>4042</v>
      </c>
      <c r="B7" t="s">
        <v>6384</v>
      </c>
      <c r="C7" s="9" t="str">
        <f>_xlfn.CONCAT(HEX2DEC(MID(Table14[[#This Row],[Color Code]], 1, 2))," , ",HEX2DEC(MID(Table14[[#This Row],[Color Code]], 3, 2))," , ",HEX2DEC(MID(Table14[[#This Row],[Color Code]], 5, 2)))</f>
        <v>202 , 172 , 151</v>
      </c>
      <c r="D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11.180339887498949</v>
      </c>
      <c r="E7" t="str">
        <f>Table14[[#This Row],[Color Code]] &amp; " - " &amp;Table14[[#This Row],[Color Name]]</f>
        <v>CAAC97 - 8577</v>
      </c>
    </row>
    <row r="8" spans="1:5" x14ac:dyDescent="0.35">
      <c r="A8" s="17" t="s">
        <v>4019</v>
      </c>
      <c r="B8" t="s">
        <v>6361</v>
      </c>
      <c r="C8" s="9" t="str">
        <f>_xlfn.CONCAT(HEX2DEC(MID(Table14[[#This Row],[Color Code]], 1, 2))," , ",HEX2DEC(MID(Table14[[#This Row],[Color Code]], 3, 2))," , ",HEX2DEC(MID(Table14[[#This Row],[Color Code]], 5, 2)))</f>
        <v>190 , 166 , 148</v>
      </c>
      <c r="D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11.575836902790225</v>
      </c>
      <c r="E8" t="str">
        <f>Table14[[#This Row],[Color Code]] &amp; " - " &amp;Table14[[#This Row],[Color Name]]</f>
        <v>BEA694 - 0470</v>
      </c>
    </row>
    <row r="9" spans="1:5" x14ac:dyDescent="0.35">
      <c r="A9" s="17" t="s">
        <v>3202</v>
      </c>
      <c r="B9" t="s">
        <v>5460</v>
      </c>
      <c r="C9" s="9" t="str">
        <f>_xlfn.CONCAT(HEX2DEC(MID(Table14[[#This Row],[Color Code]], 1, 2))," , ",HEX2DEC(MID(Table14[[#This Row],[Color Code]], 3, 2))," , ",HEX2DEC(MID(Table14[[#This Row],[Color Code]], 5, 2)))</f>
        <v>190 , 183 , 146</v>
      </c>
      <c r="D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12.206555615733702</v>
      </c>
      <c r="E9" t="str">
        <f>Table14[[#This Row],[Color Code]] &amp; " - " &amp;Table14[[#This Row],[Color Name]]</f>
        <v>BEB792 - 7793</v>
      </c>
    </row>
    <row r="10" spans="1:5" x14ac:dyDescent="0.35">
      <c r="A10" s="17" t="s">
        <v>4048</v>
      </c>
      <c r="B10" t="s">
        <v>6391</v>
      </c>
      <c r="C10" s="9" t="str">
        <f>_xlfn.CONCAT(HEX2DEC(MID(Table14[[#This Row],[Color Code]], 1, 2))," , ",HEX2DEC(MID(Table14[[#This Row],[Color Code]], 3, 2))," , ",HEX2DEC(MID(Table14[[#This Row],[Color Code]], 5, 2)))</f>
        <v>201 , 169 , 149</v>
      </c>
      <c r="D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12.369316876852981</v>
      </c>
      <c r="E10" t="str">
        <f>Table14[[#This Row],[Color Code]] &amp; " - " &amp;Table14[[#This Row],[Color Name]]</f>
        <v>C9A995 - 0501</v>
      </c>
    </row>
    <row r="11" spans="1:5" x14ac:dyDescent="0.35">
      <c r="A11" s="17" t="s">
        <v>4228</v>
      </c>
      <c r="B11" t="s">
        <v>6592</v>
      </c>
      <c r="C11" s="9" t="str">
        <f>_xlfn.CONCAT(HEX2DEC(MID(Table14[[#This Row],[Color Code]], 1, 2))," , ",HEX2DEC(MID(Table14[[#This Row],[Color Code]], 3, 2))," , ",HEX2DEC(MID(Table14[[#This Row],[Color Code]], 5, 2)))</f>
        <v>187 , 168 , 164</v>
      </c>
      <c r="D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12.449899597988733</v>
      </c>
      <c r="E11" t="str">
        <f>Table14[[#This Row],[Color Code]] &amp; " - " &amp;Table14[[#This Row],[Color Name]]</f>
        <v>BBA8A4 - 8745</v>
      </c>
    </row>
    <row r="12" spans="1:5" x14ac:dyDescent="0.35">
      <c r="A12" s="17" t="s">
        <v>4183</v>
      </c>
      <c r="B12" t="s">
        <v>6538</v>
      </c>
      <c r="C12" s="9" t="str">
        <f>_xlfn.CONCAT(HEX2DEC(MID(Table14[[#This Row],[Color Code]], 1, 2))," , ",HEX2DEC(MID(Table14[[#This Row],[Color Code]], 3, 2))," , ",HEX2DEC(MID(Table14[[#This Row],[Color Code]], 5, 2)))</f>
        <v>202 , 171 , 162</v>
      </c>
      <c r="D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12.845232578665129</v>
      </c>
      <c r="E12" t="str">
        <f>Table14[[#This Row],[Color Code]] &amp; " - " &amp;Table14[[#This Row],[Color Name]]</f>
        <v>CAABA2 - K260</v>
      </c>
    </row>
    <row r="13" spans="1:5" x14ac:dyDescent="0.35">
      <c r="A13" s="17" t="s">
        <v>3935</v>
      </c>
      <c r="B13" t="s">
        <v>6263</v>
      </c>
      <c r="C13" s="9" t="str">
        <f>_xlfn.CONCAT(HEX2DEC(MID(Table14[[#This Row],[Color Code]], 1, 2))," , ",HEX2DEC(MID(Table14[[#This Row],[Color Code]], 3, 2))," , ",HEX2DEC(MID(Table14[[#This Row],[Color Code]], 5, 2)))</f>
        <v>178 , 170 , 157</v>
      </c>
      <c r="D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</v>
      </c>
      <c r="E13" t="str">
        <f>Table14[[#This Row],[Color Code]] &amp; " - " &amp;Table14[[#This Row],[Color Name]]</f>
        <v>B2AA9D - 8465</v>
      </c>
    </row>
    <row r="14" spans="1:5" x14ac:dyDescent="0.35">
      <c r="A14" s="17" t="s">
        <v>3943</v>
      </c>
      <c r="B14" t="s">
        <v>6272</v>
      </c>
      <c r="C14" s="9" t="str">
        <f>_xlfn.CONCAT(HEX2DEC(MID(Table14[[#This Row],[Color Code]], 1, 2))," , ",HEX2DEC(MID(Table14[[#This Row],[Color Code]], 3, 2))," , ",HEX2DEC(MID(Table14[[#This Row],[Color Code]], 5, 2)))</f>
        <v>185 , 180 , 168</v>
      </c>
      <c r="D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15.588457268119896</v>
      </c>
      <c r="E14" t="str">
        <f>Table14[[#This Row],[Color Code]] &amp; " - " &amp;Table14[[#This Row],[Color Name]]</f>
        <v>B9B4A8 - K163</v>
      </c>
    </row>
    <row r="15" spans="1:5" x14ac:dyDescent="0.35">
      <c r="A15" s="17" t="s">
        <v>3956</v>
      </c>
      <c r="B15" t="s">
        <v>6287</v>
      </c>
      <c r="C15" s="9" t="str">
        <f>_xlfn.CONCAT(HEX2DEC(MID(Table14[[#This Row],[Color Code]], 1, 2))," , ",HEX2DEC(MID(Table14[[#This Row],[Color Code]], 3, 2))," , ",HEX2DEC(MID(Table14[[#This Row],[Color Code]], 5, 2)))</f>
        <v>198 , 185 , 166</v>
      </c>
      <c r="D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16.031219541881399</v>
      </c>
      <c r="E15" t="str">
        <f>Table14[[#This Row],[Color Code]] &amp; " - " &amp;Table14[[#This Row],[Color Name]]</f>
        <v>C6B9A6 - 0N02</v>
      </c>
    </row>
    <row r="16" spans="1:5" x14ac:dyDescent="0.35">
      <c r="A16" s="17" t="s">
        <v>3928</v>
      </c>
      <c r="B16" t="s">
        <v>6256</v>
      </c>
      <c r="C16" s="9" t="str">
        <f>_xlfn.CONCAT(HEX2DEC(MID(Table14[[#This Row],[Color Code]], 1, 2))," , ",HEX2DEC(MID(Table14[[#This Row],[Color Code]], 3, 2))," , ",HEX2DEC(MID(Table14[[#This Row],[Color Code]], 5, 2)))</f>
        <v>200 , 184 , 166</v>
      </c>
      <c r="D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16.30950643030009</v>
      </c>
      <c r="E16" t="str">
        <f>Table14[[#This Row],[Color Code]] &amp; " - " &amp;Table14[[#This Row],[Color Name]]</f>
        <v>C8B8A6 - 4202</v>
      </c>
    </row>
    <row r="17" spans="1:5" x14ac:dyDescent="0.35">
      <c r="A17" s="17" t="s">
        <v>4175</v>
      </c>
      <c r="B17" t="s">
        <v>6530</v>
      </c>
      <c r="C17" s="9" t="str">
        <f>_xlfn.CONCAT(HEX2DEC(MID(Table14[[#This Row],[Color Code]], 1, 2))," , ",HEX2DEC(MID(Table14[[#This Row],[Color Code]], 3, 2))," , ",HEX2DEC(MID(Table14[[#This Row],[Color Code]], 5, 2)))</f>
        <v>204 , 164 , 157</v>
      </c>
      <c r="D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16.401219466856727</v>
      </c>
      <c r="E17" t="str">
        <f>Table14[[#This Row],[Color Code]] &amp; " - " &amp;Table14[[#This Row],[Color Name]]</f>
        <v>CCA49D - K252</v>
      </c>
    </row>
    <row r="18" spans="1:5" x14ac:dyDescent="0.35">
      <c r="A18" s="17" t="s">
        <v>4234</v>
      </c>
      <c r="B18" t="s">
        <v>6599</v>
      </c>
      <c r="C18" s="9" t="str">
        <f>_xlfn.CONCAT(HEX2DEC(MID(Table14[[#This Row],[Color Code]], 1, 2))," , ",HEX2DEC(MID(Table14[[#This Row],[Color Code]], 3, 2))," , ",HEX2DEC(MID(Table14[[#This Row],[Color Code]], 5, 2)))</f>
        <v>193 , 179 , 171</v>
      </c>
      <c r="D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16.522711641858304</v>
      </c>
      <c r="E18" t="str">
        <f>Table14[[#This Row],[Color Code]] &amp; " - " &amp;Table14[[#This Row],[Color Name]]</f>
        <v>C1B3AB - 8754</v>
      </c>
    </row>
    <row r="19" spans="1:5" x14ac:dyDescent="0.35">
      <c r="A19" s="17" t="s">
        <v>3251</v>
      </c>
      <c r="B19" t="s">
        <v>5509</v>
      </c>
      <c r="C19" s="9" t="str">
        <f>_xlfn.CONCAT(HEX2DEC(MID(Table14[[#This Row],[Color Code]], 1, 2))," , ",HEX2DEC(MID(Table14[[#This Row],[Color Code]], 3, 2))," , ",HEX2DEC(MID(Table14[[#This Row],[Color Code]], 5, 2)))</f>
        <v>195 , 179 , 139</v>
      </c>
      <c r="D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16.763054614240211</v>
      </c>
      <c r="E19" t="str">
        <f>Table14[[#This Row],[Color Code]] &amp; " - " &amp;Table14[[#This Row],[Color Name]]</f>
        <v>C3B38B - 0G15</v>
      </c>
    </row>
    <row r="20" spans="1:5" x14ac:dyDescent="0.35">
      <c r="A20" s="17" t="s">
        <v>3891</v>
      </c>
      <c r="B20" t="s">
        <v>6216</v>
      </c>
      <c r="C20" s="9" t="str">
        <f>_xlfn.CONCAT(HEX2DEC(MID(Table14[[#This Row],[Color Code]], 1, 2))," , ",HEX2DEC(MID(Table14[[#This Row],[Color Code]], 3, 2))," , ",HEX2DEC(MID(Table14[[#This Row],[Color Code]], 5, 2)))</f>
        <v>177 , 181 , 161</v>
      </c>
      <c r="D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17.233687939614086</v>
      </c>
      <c r="E20" t="str">
        <f>Table14[[#This Row],[Color Code]] &amp; " - " &amp;Table14[[#This Row],[Color Name]]</f>
        <v>B1B5A1 - 8409</v>
      </c>
    </row>
    <row r="21" spans="1:5" x14ac:dyDescent="0.35">
      <c r="A21" s="17" t="s">
        <v>4128</v>
      </c>
      <c r="B21" t="s">
        <v>6480</v>
      </c>
      <c r="C21" s="9" t="str">
        <f>_xlfn.CONCAT(HEX2DEC(MID(Table14[[#This Row],[Color Code]], 1, 2))," , ",HEX2DEC(MID(Table14[[#This Row],[Color Code]], 3, 2))," , ",HEX2DEC(MID(Table14[[#This Row],[Color Code]], 5, 2)))</f>
        <v>184 , 160 , 151</v>
      </c>
      <c r="D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17.464249196572979</v>
      </c>
      <c r="E21" t="str">
        <f>Table14[[#This Row],[Color Code]] &amp; " - " &amp;Table14[[#This Row],[Color Name]]</f>
        <v>B8A097 - 8649</v>
      </c>
    </row>
    <row r="22" spans="1:5" x14ac:dyDescent="0.35">
      <c r="A22" s="17" t="s">
        <v>4086</v>
      </c>
      <c r="B22" t="s">
        <v>6432</v>
      </c>
      <c r="C22" s="9" t="str">
        <f>_xlfn.CONCAT(HEX2DEC(MID(Table14[[#This Row],[Color Code]], 1, 2))," , ",HEX2DEC(MID(Table14[[#This Row],[Color Code]], 3, 2))," , ",HEX2DEC(MID(Table14[[#This Row],[Color Code]], 5, 2)))</f>
        <v>204 , 166 , 146</v>
      </c>
      <c r="D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17.4928556845359</v>
      </c>
      <c r="E22" t="str">
        <f>Table14[[#This Row],[Color Code]] &amp; " - " &amp;Table14[[#This Row],[Color Name]]</f>
        <v>CCA692 - 5226</v>
      </c>
    </row>
    <row r="23" spans="1:5" x14ac:dyDescent="0.35">
      <c r="A23" s="17" t="s">
        <v>3919</v>
      </c>
      <c r="B23" t="s">
        <v>6247</v>
      </c>
      <c r="C23" s="9" t="str">
        <f>_xlfn.CONCAT(HEX2DEC(MID(Table14[[#This Row],[Color Code]], 1, 2))," , ",HEX2DEC(MID(Table14[[#This Row],[Color Code]], 3, 2))," , ",HEX2DEC(MID(Table14[[#This Row],[Color Code]], 5, 2)))</f>
        <v>176 , 168 , 157</v>
      </c>
      <c r="D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17.578395831246947</v>
      </c>
      <c r="E23" t="str">
        <f>Table14[[#This Row],[Color Code]] &amp; " - " &amp;Table14[[#This Row],[Color Name]]</f>
        <v>B0A89D - 8441</v>
      </c>
    </row>
    <row r="24" spans="1:5" x14ac:dyDescent="0.35">
      <c r="A24" s="17" t="s">
        <v>4248</v>
      </c>
      <c r="B24" t="s">
        <v>6614</v>
      </c>
      <c r="C24" s="9" t="str">
        <f>_xlfn.CONCAT(HEX2DEC(MID(Table14[[#This Row],[Color Code]], 1, 2))," , ",HEX2DEC(MID(Table14[[#This Row],[Color Code]], 3, 2))," , ",HEX2DEC(MID(Table14[[#This Row],[Color Code]], 5, 2)))</f>
        <v>198 , 182 , 170</v>
      </c>
      <c r="D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17.606816861659009</v>
      </c>
      <c r="E24" t="str">
        <f>Table14[[#This Row],[Color Code]] &amp; " - " &amp;Table14[[#This Row],[Color Name]]</f>
        <v>C6B6AA - 8770</v>
      </c>
    </row>
    <row r="25" spans="1:5" x14ac:dyDescent="0.35">
      <c r="A25" s="17" t="s">
        <v>4034</v>
      </c>
      <c r="B25" t="s">
        <v>6376</v>
      </c>
      <c r="C25" s="9" t="str">
        <f>_xlfn.CONCAT(HEX2DEC(MID(Table14[[#This Row],[Color Code]], 1, 2))," , ",HEX2DEC(MID(Table14[[#This Row],[Color Code]], 3, 2))," , ",HEX2DEC(MID(Table14[[#This Row],[Color Code]], 5, 2)))</f>
        <v>209 , 175 , 150</v>
      </c>
      <c r="D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17.720045146669349</v>
      </c>
      <c r="E25" t="str">
        <f>Table14[[#This Row],[Color Code]] &amp; " - " &amp;Table14[[#This Row],[Color Name]]</f>
        <v>D1AF96 - 8569</v>
      </c>
    </row>
    <row r="26" spans="1:5" x14ac:dyDescent="0.35">
      <c r="A26" s="17" t="s">
        <v>4196</v>
      </c>
      <c r="B26" t="s">
        <v>6552</v>
      </c>
      <c r="C26" s="9" t="str">
        <f>_xlfn.CONCAT(HEX2DEC(MID(Table14[[#This Row],[Color Code]], 1, 2))," , ",HEX2DEC(MID(Table14[[#This Row],[Color Code]], 3, 2))," , ",HEX2DEC(MID(Table14[[#This Row],[Color Code]], 5, 2)))</f>
        <v>201 , 172 , 170</v>
      </c>
      <c r="D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17.748239349298849</v>
      </c>
      <c r="E26" t="str">
        <f>Table14[[#This Row],[Color Code]] &amp; " - " &amp;Table14[[#This Row],[Color Name]]</f>
        <v>C9ACAA - 8689</v>
      </c>
    </row>
    <row r="27" spans="1:5" x14ac:dyDescent="0.35">
      <c r="A27" s="17" t="s">
        <v>3081</v>
      </c>
      <c r="B27" t="s">
        <v>5332</v>
      </c>
      <c r="C27" s="18" t="str">
        <f>_xlfn.CONCAT(HEX2DEC(MID(Table14[[#This Row],[Color Code]], 1, 2))," , ",HEX2DEC(MID(Table14[[#This Row],[Color Code]], 3, 2))," , ",HEX2DEC(MID(Table14[[#This Row],[Color Code]], 5, 2)))</f>
        <v>178 , 186 , 154</v>
      </c>
      <c r="D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17.832554500127006</v>
      </c>
      <c r="E27" t="str">
        <f>Table14[[#This Row],[Color Code]] &amp; " - " &amp;Table14[[#This Row],[Color Name]]</f>
        <v>B2BA9A - 7689</v>
      </c>
    </row>
    <row r="28" spans="1:5" x14ac:dyDescent="0.35">
      <c r="A28" s="17" t="s">
        <v>4010</v>
      </c>
      <c r="B28" t="s">
        <v>6352</v>
      </c>
      <c r="C28" s="9" t="str">
        <f>_xlfn.CONCAT(HEX2DEC(MID(Table14[[#This Row],[Color Code]], 1, 2))," , ",HEX2DEC(MID(Table14[[#This Row],[Color Code]], 3, 2))," , ",HEX2DEC(MID(Table14[[#This Row],[Color Code]], 5, 2)))</f>
        <v>209 , 178 , 150</v>
      </c>
      <c r="D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17.972200755611428</v>
      </c>
      <c r="E28" t="str">
        <f>Table14[[#This Row],[Color Code]] &amp; " - " &amp;Table14[[#This Row],[Color Name]]</f>
        <v>D1B296 - 8537</v>
      </c>
    </row>
    <row r="29" spans="1:5" x14ac:dyDescent="0.35">
      <c r="A29" s="17" t="s">
        <v>4241</v>
      </c>
      <c r="B29" t="s">
        <v>6607</v>
      </c>
      <c r="C29" s="9" t="str">
        <f>_xlfn.CONCAT(HEX2DEC(MID(Table14[[#This Row],[Color Code]], 1, 2))," , ",HEX2DEC(MID(Table14[[#This Row],[Color Code]], 3, 2))," , ",HEX2DEC(MID(Table14[[#This Row],[Color Code]], 5, 2)))</f>
        <v>198 , 183 , 170</v>
      </c>
      <c r="D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18.027756377319946</v>
      </c>
      <c r="E29" t="str">
        <f>Table14[[#This Row],[Color Code]] &amp; " - " &amp;Table14[[#This Row],[Color Name]]</f>
        <v>C6B7AA - 8762</v>
      </c>
    </row>
    <row r="30" spans="1:5" x14ac:dyDescent="0.35">
      <c r="A30" s="17" t="s">
        <v>4127</v>
      </c>
      <c r="B30" t="s">
        <v>6479</v>
      </c>
      <c r="C30" s="9" t="str">
        <f>_xlfn.CONCAT(HEX2DEC(MID(Table14[[#This Row],[Color Code]], 1, 2))," , ",HEX2DEC(MID(Table14[[#This Row],[Color Code]], 3, 2))," , ",HEX2DEC(MID(Table14[[#This Row],[Color Code]], 5, 2)))</f>
        <v>204 , 180 , 168</v>
      </c>
      <c r="D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18.384776310850235</v>
      </c>
      <c r="E30" t="str">
        <f>Table14[[#This Row],[Color Code]] &amp; " - " &amp;Table14[[#This Row],[Color Name]]</f>
        <v>CCB4A8 - 8650</v>
      </c>
    </row>
    <row r="31" spans="1:5" x14ac:dyDescent="0.35">
      <c r="A31" s="17" t="s">
        <v>3899</v>
      </c>
      <c r="B31" t="s">
        <v>6224</v>
      </c>
      <c r="C31" s="9" t="str">
        <f>_xlfn.CONCAT(HEX2DEC(MID(Table14[[#This Row],[Color Code]], 1, 2))," , ",HEX2DEC(MID(Table14[[#This Row],[Color Code]], 3, 2))," , ",HEX2DEC(MID(Table14[[#This Row],[Color Code]], 5, 2)))</f>
        <v>175 , 182 , 156</v>
      </c>
      <c r="D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18.411952639521967</v>
      </c>
      <c r="E31" t="str">
        <f>Table14[[#This Row],[Color Code]] &amp; " - " &amp;Table14[[#This Row],[Color Name]]</f>
        <v>AFB69C - 8417</v>
      </c>
    </row>
    <row r="32" spans="1:5" x14ac:dyDescent="0.35">
      <c r="A32" s="17" t="s">
        <v>3824</v>
      </c>
      <c r="B32" t="s">
        <v>6135</v>
      </c>
      <c r="C32" s="9" t="str">
        <f>_xlfn.CONCAT(HEX2DEC(MID(Table14[[#This Row],[Color Code]], 1, 2))," , ",HEX2DEC(MID(Table14[[#This Row],[Color Code]], 3, 2))," , ",HEX2DEC(MID(Table14[[#This Row],[Color Code]], 5, 2)))</f>
        <v>175 , 174 , 163</v>
      </c>
      <c r="D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18.814887722226779</v>
      </c>
      <c r="E32" t="str">
        <f>Table14[[#This Row],[Color Code]] &amp; " - " &amp;Table14[[#This Row],[Color Name]]</f>
        <v>AFAEA3 - K131</v>
      </c>
    </row>
    <row r="33" spans="1:5" x14ac:dyDescent="0.35">
      <c r="A33" s="17" t="s">
        <v>4210</v>
      </c>
      <c r="B33" t="s">
        <v>6568</v>
      </c>
      <c r="C33" s="9" t="str">
        <f>_xlfn.CONCAT(HEX2DEC(MID(Table14[[#This Row],[Color Code]], 1, 2))," , ",HEX2DEC(MID(Table14[[#This Row],[Color Code]], 3, 2))," , ",HEX2DEC(MID(Table14[[#This Row],[Color Code]], 5, 2)))</f>
        <v>194 , 159 , 166</v>
      </c>
      <c r="D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19.519221295943137</v>
      </c>
      <c r="E33" t="str">
        <f>Table14[[#This Row],[Color Code]] &amp; " - " &amp;Table14[[#This Row],[Color Name]]</f>
        <v>C29FA6 - 8712</v>
      </c>
    </row>
    <row r="34" spans="1:5" x14ac:dyDescent="0.35">
      <c r="A34" s="17" t="s">
        <v>3890</v>
      </c>
      <c r="B34" t="s">
        <v>6215</v>
      </c>
      <c r="C34" s="9" t="str">
        <f>_xlfn.CONCAT(HEX2DEC(MID(Table14[[#This Row],[Color Code]], 1, 2))," , ",HEX2DEC(MID(Table14[[#This Row],[Color Code]], 3, 2))," , ",HEX2DEC(MID(Table14[[#This Row],[Color Code]], 5, 2)))</f>
        <v>181 , 188 , 165</v>
      </c>
      <c r="D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19.748417658131498</v>
      </c>
      <c r="E34" t="str">
        <f>Table14[[#This Row],[Color Code]] &amp; " - " &amp;Table14[[#This Row],[Color Name]]</f>
        <v>B5BCA5 - K158</v>
      </c>
    </row>
    <row r="35" spans="1:5" x14ac:dyDescent="0.35">
      <c r="A35" s="17" t="s">
        <v>4189</v>
      </c>
      <c r="B35" t="s">
        <v>6544</v>
      </c>
      <c r="C35" s="9" t="str">
        <f>_xlfn.CONCAT(HEX2DEC(MID(Table14[[#This Row],[Color Code]], 1, 2))," , ",HEX2DEC(MID(Table14[[#This Row],[Color Code]], 3, 2))," , ",HEX2DEC(MID(Table14[[#This Row],[Color Code]], 5, 2)))</f>
        <v>189 , 157 , 163</v>
      </c>
      <c r="D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19.924858845171276</v>
      </c>
      <c r="E35" t="str">
        <f>Table14[[#This Row],[Color Code]] &amp; " - " &amp;Table14[[#This Row],[Color Name]]</f>
        <v>BD9DA3 - 8696</v>
      </c>
    </row>
    <row r="36" spans="1:5" x14ac:dyDescent="0.35">
      <c r="A36" s="17" t="s">
        <v>3885</v>
      </c>
      <c r="B36" t="s">
        <v>6207</v>
      </c>
      <c r="C36" s="9" t="str">
        <f>_xlfn.CONCAT(HEX2DEC(MID(Table14[[#This Row],[Color Code]], 1, 2))," , ",HEX2DEC(MID(Table14[[#This Row],[Color Code]], 3, 2))," , ",HEX2DEC(MID(Table14[[#This Row],[Color Code]], 5, 2)))</f>
        <v>172 , 174 , 157</v>
      </c>
      <c r="D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20.124611797498108</v>
      </c>
      <c r="E36" t="str">
        <f>Table14[[#This Row],[Color Code]] &amp; " - " &amp;Table14[[#This Row],[Color Name]]</f>
        <v>ACAE9D - 8401</v>
      </c>
    </row>
    <row r="37" spans="1:5" x14ac:dyDescent="0.35">
      <c r="A37" s="17" t="s">
        <v>3906</v>
      </c>
      <c r="B37" t="s">
        <v>6231</v>
      </c>
      <c r="C37" s="9" t="str">
        <f>_xlfn.CONCAT(HEX2DEC(MID(Table14[[#This Row],[Color Code]], 1, 2))," , ",HEX2DEC(MID(Table14[[#This Row],[Color Code]], 3, 2))," , ",HEX2DEC(MID(Table14[[#This Row],[Color Code]], 5, 2)))</f>
        <v>172 , 171 , 157</v>
      </c>
      <c r="D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20.493901531919196</v>
      </c>
      <c r="E37" t="str">
        <f>Table14[[#This Row],[Color Code]] &amp; " - " &amp;Table14[[#This Row],[Color Name]]</f>
        <v>ACAB9D - 8425</v>
      </c>
    </row>
    <row r="38" spans="1:5" x14ac:dyDescent="0.35">
      <c r="A38" s="17" t="s">
        <v>3929</v>
      </c>
      <c r="B38" t="s">
        <v>6257</v>
      </c>
      <c r="C38" s="9" t="str">
        <f>_xlfn.CONCAT(HEX2DEC(MID(Table14[[#This Row],[Color Code]], 1, 2))," , ",HEX2DEC(MID(Table14[[#This Row],[Color Code]], 3, 2))," , ",HEX2DEC(MID(Table14[[#This Row],[Color Code]], 5, 2)))</f>
        <v>176 , 164 , 148</v>
      </c>
      <c r="D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20.639767440550294</v>
      </c>
      <c r="E38" t="str">
        <f>Table14[[#This Row],[Color Code]] &amp; " - " &amp;Table14[[#This Row],[Color Name]]</f>
        <v>B0A494 - 8456</v>
      </c>
    </row>
    <row r="39" spans="1:5" x14ac:dyDescent="0.35">
      <c r="A39" s="17" t="s">
        <v>3980</v>
      </c>
      <c r="B39" t="s">
        <v>6320</v>
      </c>
      <c r="C39" s="9" t="str">
        <f>_xlfn.CONCAT(HEX2DEC(MID(Table14[[#This Row],[Color Code]], 1, 2))," , ",HEX2DEC(MID(Table14[[#This Row],[Color Code]], 3, 2))," , ",HEX2DEC(MID(Table14[[#This Row],[Color Code]], 5, 2)))</f>
        <v>209 , 187 , 156</v>
      </c>
      <c r="D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20.83266665599966</v>
      </c>
      <c r="E39" t="str">
        <f>Table14[[#This Row],[Color Code]] &amp; " - " &amp;Table14[[#This Row],[Color Name]]</f>
        <v>D1BB9C - 8513</v>
      </c>
    </row>
    <row r="40" spans="1:5" x14ac:dyDescent="0.35">
      <c r="A40" s="17" t="s">
        <v>3972</v>
      </c>
      <c r="B40" t="s">
        <v>6312</v>
      </c>
      <c r="C40" s="9" t="str">
        <f>_xlfn.CONCAT(HEX2DEC(MID(Table14[[#This Row],[Color Code]], 1, 2))," , ",HEX2DEC(MID(Table14[[#This Row],[Color Code]], 3, 2))," , ",HEX2DEC(MID(Table14[[#This Row],[Color Code]], 5, 2)))</f>
        <v>209 , 186 , 150</v>
      </c>
      <c r="D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20.85665361461421</v>
      </c>
      <c r="E40" t="str">
        <f>Table14[[#This Row],[Color Code]] &amp; " - " &amp;Table14[[#This Row],[Color Name]]</f>
        <v>D1BA96 - 8505</v>
      </c>
    </row>
    <row r="41" spans="1:5" x14ac:dyDescent="0.35">
      <c r="A41" s="17" t="s">
        <v>3097</v>
      </c>
      <c r="B41" t="s">
        <v>5349</v>
      </c>
      <c r="C41" s="19" t="str">
        <f>_xlfn.CONCAT(HEX2DEC(MID(Table14[[#This Row],[Color Code]], 1, 2))," , ",HEX2DEC(MID(Table14[[#This Row],[Color Code]], 3, 2))," , ",HEX2DEC(MID(Table14[[#This Row],[Color Code]], 5, 2)))</f>
        <v>196 , 196 , 153</v>
      </c>
      <c r="D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21.470910553583888</v>
      </c>
      <c r="E41" t="str">
        <f>Table14[[#This Row],[Color Code]] &amp; " - " &amp;Table14[[#This Row],[Color Name]]</f>
        <v>C4C499 - 7720</v>
      </c>
    </row>
    <row r="42" spans="1:5" x14ac:dyDescent="0.35">
      <c r="A42" s="17" t="s">
        <v>4249</v>
      </c>
      <c r="B42" t="s">
        <v>6615</v>
      </c>
      <c r="C42" s="9" t="str">
        <f>_xlfn.CONCAT(HEX2DEC(MID(Table14[[#This Row],[Color Code]], 1, 2))," , ",HEX2DEC(MID(Table14[[#This Row],[Color Code]], 3, 2))," , ",HEX2DEC(MID(Table14[[#This Row],[Color Code]], 5, 2)))</f>
        <v>176 , 161 , 151</v>
      </c>
      <c r="D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21.633307652783937</v>
      </c>
      <c r="E42" t="str">
        <f>Table14[[#This Row],[Color Code]] &amp; " - " &amp;Table14[[#This Row],[Color Name]]</f>
        <v>B0A197 - 8769</v>
      </c>
    </row>
    <row r="43" spans="1:5" x14ac:dyDescent="0.35">
      <c r="A43" s="17" t="s">
        <v>4242</v>
      </c>
      <c r="B43" t="s">
        <v>6608</v>
      </c>
      <c r="C43" s="9" t="str">
        <f>_xlfn.CONCAT(HEX2DEC(MID(Table14[[#This Row],[Color Code]], 1, 2))," , ",HEX2DEC(MID(Table14[[#This Row],[Color Code]], 3, 2))," , ",HEX2DEC(MID(Table14[[#This Row],[Color Code]], 5, 2)))</f>
        <v>174 , 163 , 154</v>
      </c>
      <c r="D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21.656407827707714</v>
      </c>
      <c r="E43" t="str">
        <f>Table14[[#This Row],[Color Code]] &amp; " - " &amp;Table14[[#This Row],[Color Name]]</f>
        <v>AEA39A - 8761</v>
      </c>
    </row>
    <row r="44" spans="1:5" x14ac:dyDescent="0.35">
      <c r="A44" s="17" t="s">
        <v>3640</v>
      </c>
      <c r="B44" t="s">
        <v>5911</v>
      </c>
      <c r="C44" s="9" t="str">
        <f>_xlfn.CONCAT(HEX2DEC(MID(Table14[[#This Row],[Color Code]], 1, 2))," , ",HEX2DEC(MID(Table14[[#This Row],[Color Code]], 3, 2))," , ",HEX2DEC(MID(Table14[[#This Row],[Color Code]], 5, 2)))</f>
        <v>198 , 169 , 175</v>
      </c>
      <c r="D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21.725560982400431</v>
      </c>
      <c r="E44" t="str">
        <f>Table14[[#This Row],[Color Code]] &amp; " - " &amp;Table14[[#This Row],[Color Name]]</f>
        <v>C6A9AF - K033</v>
      </c>
    </row>
    <row r="45" spans="1:5" x14ac:dyDescent="0.35">
      <c r="A45" s="17" t="s">
        <v>3683</v>
      </c>
      <c r="B45" t="s">
        <v>5959</v>
      </c>
      <c r="C45" s="9" t="str">
        <f>_xlfn.CONCAT(HEX2DEC(MID(Table14[[#This Row],[Color Code]], 1, 2))," , ",HEX2DEC(MID(Table14[[#This Row],[Color Code]], 3, 2))," , ",HEX2DEC(MID(Table14[[#This Row],[Color Code]], 5, 2)))</f>
        <v>182 , 171 , 174</v>
      </c>
      <c r="D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21.840329667841555</v>
      </c>
      <c r="E45" t="str">
        <f>Table14[[#This Row],[Color Code]] &amp; " - " &amp;Table14[[#This Row],[Color Name]]</f>
        <v>B6ABAE - K055</v>
      </c>
    </row>
    <row r="46" spans="1:5" x14ac:dyDescent="0.35">
      <c r="A46" s="17" t="s">
        <v>4121</v>
      </c>
      <c r="B46" t="s">
        <v>6471</v>
      </c>
      <c r="C46" s="9" t="str">
        <f>_xlfn.CONCAT(HEX2DEC(MID(Table14[[#This Row],[Color Code]], 1, 2))," , ",HEX2DEC(MID(Table14[[#This Row],[Color Code]], 3, 2))," , ",HEX2DEC(MID(Table14[[#This Row],[Color Code]], 5, 2)))</f>
        <v>212 , 166 , 154</v>
      </c>
      <c r="D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21.95449840010015</v>
      </c>
      <c r="E46" t="str">
        <f>Table14[[#This Row],[Color Code]] &amp; " - " &amp;Table14[[#This Row],[Color Name]]</f>
        <v>D4A69A - 8641</v>
      </c>
    </row>
    <row r="47" spans="1:5" x14ac:dyDescent="0.35">
      <c r="A47" s="17" t="s">
        <v>3704</v>
      </c>
      <c r="B47" t="s">
        <v>5989</v>
      </c>
      <c r="C47" s="9" t="str">
        <f>_xlfn.CONCAT(HEX2DEC(MID(Table14[[#This Row],[Color Code]], 1, 2))," , ",HEX2DEC(MID(Table14[[#This Row],[Color Code]], 3, 2))," , ",HEX2DEC(MID(Table14[[#This Row],[Color Code]], 5, 2)))</f>
        <v>182 , 177 , 175</v>
      </c>
      <c r="D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22.449944320643649</v>
      </c>
      <c r="E47" t="str">
        <f>Table14[[#This Row],[Color Code]] &amp; " - " &amp;Table14[[#This Row],[Color Name]]</f>
        <v>B6B1AF - K075</v>
      </c>
    </row>
    <row r="48" spans="1:5" x14ac:dyDescent="0.35">
      <c r="A48" s="17" t="s">
        <v>3912</v>
      </c>
      <c r="B48" t="s">
        <v>6238</v>
      </c>
      <c r="C48" s="9" t="str">
        <f>_xlfn.CONCAT(HEX2DEC(MID(Table14[[#This Row],[Color Code]], 1, 2))," , ",HEX2DEC(MID(Table14[[#This Row],[Color Code]], 3, 2))," , ",HEX2DEC(MID(Table14[[#This Row],[Color Code]], 5, 2)))</f>
        <v>193 , 187 , 174</v>
      </c>
      <c r="D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22.494443758403985</v>
      </c>
      <c r="E48" t="str">
        <f>Table14[[#This Row],[Color Code]] &amp; " - " &amp;Table14[[#This Row],[Color Name]]</f>
        <v>C1BBAE - 6126</v>
      </c>
    </row>
    <row r="49" spans="1:5" x14ac:dyDescent="0.35">
      <c r="A49" s="17" t="s">
        <v>4101</v>
      </c>
      <c r="B49" t="s">
        <v>6448</v>
      </c>
      <c r="C49" s="9" t="str">
        <f>_xlfn.CONCAT(HEX2DEC(MID(Table14[[#This Row],[Color Code]], 1, 2))," , ",HEX2DEC(MID(Table14[[#This Row],[Color Code]], 3, 2))," , ",HEX2DEC(MID(Table14[[#This Row],[Color Code]], 5, 2)))</f>
        <v>212 , 165 , 151</v>
      </c>
      <c r="D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22.715633383201094</v>
      </c>
      <c r="E49" t="str">
        <f>Table14[[#This Row],[Color Code]] &amp; " - " &amp;Table14[[#This Row],[Color Name]]</f>
        <v>D4A597 - 8617</v>
      </c>
    </row>
    <row r="50" spans="1:5" x14ac:dyDescent="0.35">
      <c r="A50" s="17" t="s">
        <v>3996</v>
      </c>
      <c r="B50" t="s">
        <v>6336</v>
      </c>
      <c r="C50" s="9" t="str">
        <f>_xlfn.CONCAT(HEX2DEC(MID(Table14[[#This Row],[Color Code]], 1, 2))," , ",HEX2DEC(MID(Table14[[#This Row],[Color Code]], 3, 2))," , ",HEX2DEC(MID(Table14[[#This Row],[Color Code]], 5, 2)))</f>
        <v>212 , 186 , 157</v>
      </c>
      <c r="D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22.912878474779198</v>
      </c>
      <c r="E50" t="str">
        <f>Table14[[#This Row],[Color Code]] &amp; " - " &amp;Table14[[#This Row],[Color Name]]</f>
        <v>D4BA9D - 4215</v>
      </c>
    </row>
    <row r="51" spans="1:5" x14ac:dyDescent="0.35">
      <c r="A51" s="17" t="s">
        <v>4018</v>
      </c>
      <c r="B51" t="s">
        <v>6360</v>
      </c>
      <c r="C51" s="9" t="str">
        <f>_xlfn.CONCAT(HEX2DEC(MID(Table14[[#This Row],[Color Code]], 1, 2))," , ",HEX2DEC(MID(Table14[[#This Row],[Color Code]], 3, 2))," , ",HEX2DEC(MID(Table14[[#This Row],[Color Code]], 5, 2)))</f>
        <v>211 , 185 , 163</v>
      </c>
      <c r="D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22.912878474779198</v>
      </c>
      <c r="E51" t="str">
        <f>Table14[[#This Row],[Color Code]] &amp; " - " &amp;Table14[[#This Row],[Color Name]]</f>
        <v>D3B9A3 - 0469</v>
      </c>
    </row>
    <row r="52" spans="1:5" x14ac:dyDescent="0.35">
      <c r="A52" s="17" t="s">
        <v>3785</v>
      </c>
      <c r="B52" t="s">
        <v>6080</v>
      </c>
      <c r="C52" s="9" t="str">
        <f>_xlfn.CONCAT(HEX2DEC(MID(Table14[[#This Row],[Color Code]], 1, 2))," , ",HEX2DEC(MID(Table14[[#This Row],[Color Code]], 3, 2))," , ",HEX2DEC(MID(Table14[[#This Row],[Color Code]], 5, 2)))</f>
        <v>183 , 181 , 176</v>
      </c>
      <c r="D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23.622023622035432</v>
      </c>
      <c r="E52" t="str">
        <f>Table14[[#This Row],[Color Code]] &amp; " - " &amp;Table14[[#This Row],[Color Name]]</f>
        <v>B7B5B0 - 8297</v>
      </c>
    </row>
    <row r="53" spans="1:5" x14ac:dyDescent="0.35">
      <c r="A53" s="17" t="s">
        <v>3823</v>
      </c>
      <c r="B53" t="s">
        <v>6134</v>
      </c>
      <c r="C53" s="9" t="str">
        <f>_xlfn.CONCAT(HEX2DEC(MID(Table14[[#This Row],[Color Code]], 1, 2))," , ",HEX2DEC(MID(Table14[[#This Row],[Color Code]], 3, 2))," , ",HEX2DEC(MID(Table14[[#This Row],[Color Code]], 5, 2)))</f>
        <v>184 , 185 , 175</v>
      </c>
      <c r="D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23.748684174075834</v>
      </c>
      <c r="E53" t="str">
        <f>Table14[[#This Row],[Color Code]] &amp; " - " &amp;Table14[[#This Row],[Color Name]]</f>
        <v>B8B9AF - 8330</v>
      </c>
    </row>
    <row r="54" spans="1:5" x14ac:dyDescent="0.35">
      <c r="A54" s="17" t="s">
        <v>3934</v>
      </c>
      <c r="B54" t="s">
        <v>6262</v>
      </c>
      <c r="C54" s="9" t="str">
        <f>_xlfn.CONCAT(HEX2DEC(MID(Table14[[#This Row],[Color Code]], 1, 2))," , ",HEX2DEC(MID(Table14[[#This Row],[Color Code]], 3, 2))," , ",HEX2DEC(MID(Table14[[#This Row],[Color Code]], 5, 2)))</f>
        <v>199 , 189 , 173</v>
      </c>
      <c r="D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23.853720883753127</v>
      </c>
      <c r="E54" t="str">
        <f>Table14[[#This Row],[Color Code]] &amp; " - " &amp;Table14[[#This Row],[Color Name]]</f>
        <v>C7BDAD - 8466</v>
      </c>
    </row>
    <row r="55" spans="1:5" x14ac:dyDescent="0.35">
      <c r="A55" s="17" t="s">
        <v>3687</v>
      </c>
      <c r="B55" t="s">
        <v>5965</v>
      </c>
      <c r="C55" s="9" t="str">
        <f>_xlfn.CONCAT(HEX2DEC(MID(Table14[[#This Row],[Color Code]], 1, 2))," , ",HEX2DEC(MID(Table14[[#This Row],[Color Code]], 3, 2))," , ",HEX2DEC(MID(Table14[[#This Row],[Color Code]], 5, 2)))</f>
        <v>182 , 158 , 169</v>
      </c>
      <c r="D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24.186773244895647</v>
      </c>
      <c r="E55" t="str">
        <f>Table14[[#This Row],[Color Code]] &amp; " - " &amp;Table14[[#This Row],[Color Name]]</f>
        <v>B69EA9 - K060</v>
      </c>
    </row>
    <row r="56" spans="1:5" x14ac:dyDescent="0.35">
      <c r="A56" s="17" t="s">
        <v>3808</v>
      </c>
      <c r="B56" t="s">
        <v>6117</v>
      </c>
      <c r="C56" s="9" t="str">
        <f>_xlfn.CONCAT(HEX2DEC(MID(Table14[[#This Row],[Color Code]], 1, 2))," , ",HEX2DEC(MID(Table14[[#This Row],[Color Code]], 3, 2))," , ",HEX2DEC(MID(Table14[[#This Row],[Color Code]], 5, 2)))</f>
        <v>179 , 179 , 175</v>
      </c>
      <c r="D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24.186773244895647</v>
      </c>
      <c r="E56" t="str">
        <f>Table14[[#This Row],[Color Code]] &amp; " - " &amp;Table14[[#This Row],[Color Name]]</f>
        <v>B3B3AF - K122</v>
      </c>
    </row>
    <row r="57" spans="1:5" x14ac:dyDescent="0.35">
      <c r="A57" s="17" t="s">
        <v>4203</v>
      </c>
      <c r="B57" t="s">
        <v>6560</v>
      </c>
      <c r="C57" s="9" t="str">
        <f>_xlfn.CONCAT(HEX2DEC(MID(Table14[[#This Row],[Color Code]], 1, 2))," , ",HEX2DEC(MID(Table14[[#This Row],[Color Code]], 3, 2))," , ",HEX2DEC(MID(Table14[[#This Row],[Color Code]], 5, 2)))</f>
        <v>204 , 165 , 174</v>
      </c>
      <c r="D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24.596747752497688</v>
      </c>
      <c r="E57" t="str">
        <f>Table14[[#This Row],[Color Code]] &amp; " - " &amp;Table14[[#This Row],[Color Name]]</f>
        <v>CCA5AE - 8704</v>
      </c>
    </row>
    <row r="58" spans="1:5" x14ac:dyDescent="0.35">
      <c r="A58" s="17" t="s">
        <v>4161</v>
      </c>
      <c r="B58" t="s">
        <v>6514</v>
      </c>
      <c r="C58" s="9" t="str">
        <f>_xlfn.CONCAT(HEX2DEC(MID(Table14[[#This Row],[Color Code]], 1, 2))," , ",HEX2DEC(MID(Table14[[#This Row],[Color Code]], 3, 2))," , ",HEX2DEC(MID(Table14[[#This Row],[Color Code]], 5, 2)))</f>
        <v>214 , 164 , 153</v>
      </c>
      <c r="D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24.677925358506133</v>
      </c>
      <c r="E58" t="str">
        <f>Table14[[#This Row],[Color Code]] &amp; " - " &amp;Table14[[#This Row],[Color Name]]</f>
        <v>D6A499 - K236</v>
      </c>
    </row>
    <row r="59" spans="1:5" x14ac:dyDescent="0.35">
      <c r="A59" s="17" t="s">
        <v>4221</v>
      </c>
      <c r="B59" t="s">
        <v>6581</v>
      </c>
      <c r="C59" s="9" t="str">
        <f>_xlfn.CONCAT(HEX2DEC(MID(Table14[[#This Row],[Color Code]], 1, 2))," , ",HEX2DEC(MID(Table14[[#This Row],[Color Code]], 3, 2))," , ",HEX2DEC(MID(Table14[[#This Row],[Color Code]], 5, 2)))</f>
        <v>172 , 170 , 169</v>
      </c>
      <c r="D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24.919871588754223</v>
      </c>
      <c r="E59" t="str">
        <f>Table14[[#This Row],[Color Code]] &amp; " - " &amp;Table14[[#This Row],[Color Name]]</f>
        <v>ACAAA9 - K274</v>
      </c>
    </row>
    <row r="60" spans="1:5" x14ac:dyDescent="0.35">
      <c r="A60" s="17" t="s">
        <v>3942</v>
      </c>
      <c r="B60" t="s">
        <v>6271</v>
      </c>
      <c r="C60" s="9" t="str">
        <f>_xlfn.CONCAT(HEX2DEC(MID(Table14[[#This Row],[Color Code]], 1, 2))," , ",HEX2DEC(MID(Table14[[#This Row],[Color Code]], 3, 2))," , ",HEX2DEC(MID(Table14[[#This Row],[Color Code]], 5, 2)))</f>
        <v>197 , 188 , 176</v>
      </c>
      <c r="D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25.199206336708304</v>
      </c>
      <c r="E60" t="str">
        <f>Table14[[#This Row],[Color Code]] &amp; " - " &amp;Table14[[#This Row],[Color Name]]</f>
        <v>C5BCB0 - 8473</v>
      </c>
    </row>
    <row r="61" spans="1:5" x14ac:dyDescent="0.35">
      <c r="A61" s="17" t="s">
        <v>3871</v>
      </c>
      <c r="B61" t="s">
        <v>6192</v>
      </c>
      <c r="C61" s="9" t="str">
        <f>_xlfn.CONCAT(HEX2DEC(MID(Table14[[#This Row],[Color Code]], 1, 2))," , ",HEX2DEC(MID(Table14[[#This Row],[Color Code]], 3, 2))," , ",HEX2DEC(MID(Table14[[#This Row],[Color Code]], 5, 2)))</f>
        <v>168 , 181 , 160</v>
      </c>
      <c r="D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25.238858928247925</v>
      </c>
      <c r="E61" t="str">
        <f>Table14[[#This Row],[Color Code]] &amp; " - " &amp;Table14[[#This Row],[Color Name]]</f>
        <v>A8B5A0 - 8385</v>
      </c>
    </row>
    <row r="62" spans="1:5" x14ac:dyDescent="0.35">
      <c r="A62" s="17" t="s">
        <v>3949</v>
      </c>
      <c r="B62" t="s">
        <v>6279</v>
      </c>
      <c r="C62" s="9" t="str">
        <f>_xlfn.CONCAT(HEX2DEC(MID(Table14[[#This Row],[Color Code]], 1, 2))," , ",HEX2DEC(MID(Table14[[#This Row],[Color Code]], 3, 2))," , ",HEX2DEC(MID(Table14[[#This Row],[Color Code]], 5, 2)))</f>
        <v>203 , 193 , 169</v>
      </c>
      <c r="D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25.317977802344327</v>
      </c>
      <c r="E62" t="str">
        <f>Table14[[#This Row],[Color Code]] &amp; " - " &amp;Table14[[#This Row],[Color Name]]</f>
        <v>CBC1A9 - 8481</v>
      </c>
    </row>
    <row r="63" spans="1:5" x14ac:dyDescent="0.35">
      <c r="A63" s="17" t="s">
        <v>4255</v>
      </c>
      <c r="B63" t="s">
        <v>6624</v>
      </c>
      <c r="C63" s="9" t="str">
        <f>_xlfn.CONCAT(HEX2DEC(MID(Table14[[#This Row],[Color Code]], 1, 2))," , ",HEX2DEC(MID(Table14[[#This Row],[Color Code]], 3, 2))," , ",HEX2DEC(MID(Table14[[#This Row],[Color Code]], 5, 2)))</f>
        <v>176 , 158 , 145</v>
      </c>
      <c r="D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25.396850198400589</v>
      </c>
      <c r="E63" t="str">
        <f>Table14[[#This Row],[Color Code]] &amp; " - " &amp;Table14[[#This Row],[Color Name]]</f>
        <v>B09E91 - 8776</v>
      </c>
    </row>
    <row r="64" spans="1:5" x14ac:dyDescent="0.35">
      <c r="A64" s="17" t="s">
        <v>4134</v>
      </c>
      <c r="B64" t="s">
        <v>6486</v>
      </c>
      <c r="C64" s="9" t="str">
        <f>_xlfn.CONCAT(HEX2DEC(MID(Table14[[#This Row],[Color Code]], 1, 2))," , ",HEX2DEC(MID(Table14[[#This Row],[Color Code]], 3, 2))," , ",HEX2DEC(MID(Table14[[#This Row],[Color Code]], 5, 2)))</f>
        <v>203 , 185 , 176</v>
      </c>
      <c r="D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25.729360660537214</v>
      </c>
      <c r="E64" t="str">
        <f>Table14[[#This Row],[Color Code]] &amp; " - " &amp;Table14[[#This Row],[Color Name]]</f>
        <v>CBB9B0 - 8658</v>
      </c>
    </row>
    <row r="65" spans="1:5" x14ac:dyDescent="0.35">
      <c r="A65" s="17" t="s">
        <v>3936</v>
      </c>
      <c r="B65" t="s">
        <v>6264</v>
      </c>
      <c r="C65" s="9" t="str">
        <f>_xlfn.CONCAT(HEX2DEC(MID(Table14[[#This Row],[Color Code]], 1, 2))," , ",HEX2DEC(MID(Table14[[#This Row],[Color Code]], 3, 2))," , ",HEX2DEC(MID(Table14[[#This Row],[Color Code]], 5, 2)))</f>
        <v>171 , 161 , 149</v>
      </c>
      <c r="D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25.942243542145693</v>
      </c>
      <c r="E65" t="str">
        <f>Table14[[#This Row],[Color Code]] &amp; " - " &amp;Table14[[#This Row],[Color Name]]</f>
        <v>ABA195 - 9513</v>
      </c>
    </row>
    <row r="66" spans="1:5" x14ac:dyDescent="0.35">
      <c r="A66" s="17" t="s">
        <v>3927</v>
      </c>
      <c r="B66" t="s">
        <v>6255</v>
      </c>
      <c r="C66" s="9" t="str">
        <f>_xlfn.CONCAT(HEX2DEC(MID(Table14[[#This Row],[Color Code]], 1, 2))," , ",HEX2DEC(MID(Table14[[#This Row],[Color Code]], 3, 2))," , ",HEX2DEC(MID(Table14[[#This Row],[Color Code]], 5, 2)))</f>
        <v>204 , 190 , 173</v>
      </c>
      <c r="D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26.324893162176366</v>
      </c>
      <c r="E66" t="str">
        <f>Table14[[#This Row],[Color Code]] &amp; " - " &amp;Table14[[#This Row],[Color Name]]</f>
        <v>CCBEAD - 0N13</v>
      </c>
    </row>
    <row r="67" spans="1:5" x14ac:dyDescent="0.35">
      <c r="A67" s="17" t="s">
        <v>3884</v>
      </c>
      <c r="B67" t="s">
        <v>6206</v>
      </c>
      <c r="C67" s="9" t="str">
        <f>_xlfn.CONCAT(HEX2DEC(MID(Table14[[#This Row],[Color Code]], 1, 2))," , ",HEX2DEC(MID(Table14[[#This Row],[Color Code]], 3, 2))," , ",HEX2DEC(MID(Table14[[#This Row],[Color Code]], 5, 2)))</f>
        <v>193 , 193 , 175</v>
      </c>
      <c r="D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26.92582403567252</v>
      </c>
      <c r="E67" t="str">
        <f>Table14[[#This Row],[Color Code]] &amp; " - " &amp;Table14[[#This Row],[Color Name]]</f>
        <v>C1C1AF - 8402</v>
      </c>
    </row>
    <row r="68" spans="1:5" x14ac:dyDescent="0.35">
      <c r="A68" s="17" t="s">
        <v>3913</v>
      </c>
      <c r="B68" t="s">
        <v>6239</v>
      </c>
      <c r="C68" s="9" t="str">
        <f>_xlfn.CONCAT(HEX2DEC(MID(Table14[[#This Row],[Color Code]], 1, 2))," , ",HEX2DEC(MID(Table14[[#This Row],[Color Code]], 3, 2))," , ",HEX2DEC(MID(Table14[[#This Row],[Color Code]], 5, 2)))</f>
        <v>167 , 165 , 156</v>
      </c>
      <c r="D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26.944387170614959</v>
      </c>
      <c r="E68" t="str">
        <f>Table14[[#This Row],[Color Code]] &amp; " - " &amp;Table14[[#This Row],[Color Name]]</f>
        <v>A7A59C - 8433</v>
      </c>
    </row>
    <row r="69" spans="1:5" x14ac:dyDescent="0.35">
      <c r="A69" s="17" t="s">
        <v>3713</v>
      </c>
      <c r="B69" t="s">
        <v>6001</v>
      </c>
      <c r="C69" s="9" t="str">
        <f>_xlfn.CONCAT(HEX2DEC(MID(Table14[[#This Row],[Color Code]], 1, 2))," , ",HEX2DEC(MID(Table14[[#This Row],[Color Code]], 3, 2))," , ",HEX2DEC(MID(Table14[[#This Row],[Color Code]], 5, 2)))</f>
        <v>171 , 163 , 167</v>
      </c>
      <c r="D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27</v>
      </c>
      <c r="E69" t="str">
        <f>Table14[[#This Row],[Color Code]] &amp; " - " &amp;Table14[[#This Row],[Color Name]]</f>
        <v>ABA3A7 - 8216</v>
      </c>
    </row>
    <row r="70" spans="1:5" x14ac:dyDescent="0.35">
      <c r="A70" s="17" t="s">
        <v>4068</v>
      </c>
      <c r="B70" t="s">
        <v>6413</v>
      </c>
      <c r="C70" s="9" t="str">
        <f>_xlfn.CONCAT(HEX2DEC(MID(Table14[[#This Row],[Color Code]], 1, 2))," , ",HEX2DEC(MID(Table14[[#This Row],[Color Code]], 3, 2))," , ",HEX2DEC(MID(Table14[[#This Row],[Color Code]], 5, 2)))</f>
        <v>214 , 189 , 163</v>
      </c>
      <c r="D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27.27636339397171</v>
      </c>
      <c r="E70" t="str">
        <f>Table14[[#This Row],[Color Code]] &amp; " - " &amp;Table14[[#This Row],[Color Name]]</f>
        <v>D6BDA3 - 9530</v>
      </c>
    </row>
    <row r="71" spans="1:5" x14ac:dyDescent="0.35">
      <c r="A71" s="17" t="s">
        <v>3663</v>
      </c>
      <c r="B71" t="s">
        <v>5935</v>
      </c>
      <c r="C71" s="9" t="str">
        <f>_xlfn.CONCAT(HEX2DEC(MID(Table14[[#This Row],[Color Code]], 1, 2))," , ",HEX2DEC(MID(Table14[[#This Row],[Color Code]], 3, 2))," , ",HEX2DEC(MID(Table14[[#This Row],[Color Code]], 5, 2)))</f>
        <v>185 , 154 , 171</v>
      </c>
      <c r="D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27.313000567495326</v>
      </c>
      <c r="E71" t="str">
        <f>Table14[[#This Row],[Color Code]] &amp; " - " &amp;Table14[[#This Row],[Color Name]]</f>
        <v>B99AAB - 9431</v>
      </c>
    </row>
    <row r="72" spans="1:5" x14ac:dyDescent="0.35">
      <c r="A72" s="17" t="s">
        <v>3905</v>
      </c>
      <c r="B72" t="s">
        <v>6230</v>
      </c>
      <c r="C72" s="9" t="str">
        <f>_xlfn.CONCAT(HEX2DEC(MID(Table14[[#This Row],[Color Code]], 1, 2))," , ",HEX2DEC(MID(Table14[[#This Row],[Color Code]], 3, 2))," , ",HEX2DEC(MID(Table14[[#This Row],[Color Code]], 5, 2)))</f>
        <v>196 , 192 , 176</v>
      </c>
      <c r="D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27.313000567495326</v>
      </c>
      <c r="E72" t="str">
        <f>Table14[[#This Row],[Color Code]] &amp; " - " &amp;Table14[[#This Row],[Color Name]]</f>
        <v>C4C0B0 - 8426</v>
      </c>
    </row>
    <row r="73" spans="1:5" x14ac:dyDescent="0.35">
      <c r="A73" s="17" t="s">
        <v>3688</v>
      </c>
      <c r="B73" t="s">
        <v>5966</v>
      </c>
      <c r="C73" s="9" t="str">
        <f>_xlfn.CONCAT(HEX2DEC(MID(Table14[[#This Row],[Color Code]], 1, 2))," , ",HEX2DEC(MID(Table14[[#This Row],[Color Code]], 3, 2))," , ",HEX2DEC(MID(Table14[[#This Row],[Color Code]], 5, 2)))</f>
        <v>174 , 156 , 163</v>
      </c>
      <c r="D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27.367864366808018</v>
      </c>
      <c r="E73" t="str">
        <f>Table14[[#This Row],[Color Code]] &amp; " - " &amp;Table14[[#This Row],[Color Name]]</f>
        <v>AE9CA3 - K061</v>
      </c>
    </row>
    <row r="74" spans="1:5" x14ac:dyDescent="0.35">
      <c r="A74" s="17" t="s">
        <v>4197</v>
      </c>
      <c r="B74" t="s">
        <v>6553</v>
      </c>
      <c r="C74" s="9" t="str">
        <f>_xlfn.CONCAT(HEX2DEC(MID(Table14[[#This Row],[Color Code]], 1, 2))," , ",HEX2DEC(MID(Table14[[#This Row],[Color Code]], 3, 2))," , ",HEX2DEC(MID(Table14[[#This Row],[Color Code]], 5, 2)))</f>
        <v>179 , 151 , 151</v>
      </c>
      <c r="D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27.586228448267445</v>
      </c>
      <c r="E74" t="str">
        <f>Table14[[#This Row],[Color Code]] &amp; " - " &amp;Table14[[#This Row],[Color Name]]</f>
        <v>B39797 - 8688</v>
      </c>
    </row>
    <row r="75" spans="1:5" x14ac:dyDescent="0.35">
      <c r="A75" s="17" t="s">
        <v>3847</v>
      </c>
      <c r="B75" t="s">
        <v>6165</v>
      </c>
      <c r="C75" s="9" t="str">
        <f>_xlfn.CONCAT(HEX2DEC(MID(Table14[[#This Row],[Color Code]], 1, 2))," , ",HEX2DEC(MID(Table14[[#This Row],[Color Code]], 3, 2))," , ",HEX2DEC(MID(Table14[[#This Row],[Color Code]], 5, 2)))</f>
        <v>169 , 183 , 168</v>
      </c>
      <c r="D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27.604347483684521</v>
      </c>
      <c r="E75" t="str">
        <f>Table14[[#This Row],[Color Code]] &amp; " - " &amp;Table14[[#This Row],[Color Name]]</f>
        <v>A9B7A8 - K141</v>
      </c>
    </row>
    <row r="76" spans="1:5" x14ac:dyDescent="0.35">
      <c r="A76" s="17" t="s">
        <v>3841</v>
      </c>
      <c r="B76" t="s">
        <v>6157</v>
      </c>
      <c r="C76" s="9" t="str">
        <f>_xlfn.CONCAT(HEX2DEC(MID(Table14[[#This Row],[Color Code]], 1, 2))," , ",HEX2DEC(MID(Table14[[#This Row],[Color Code]], 3, 2))," , ",HEX2DEC(MID(Table14[[#This Row],[Color Code]], 5, 2)))</f>
        <v>169 , 178 , 170</v>
      </c>
      <c r="D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27.622454633866266</v>
      </c>
      <c r="E76" t="str">
        <f>Table14[[#This Row],[Color Code]] &amp; " - " &amp;Table14[[#This Row],[Color Name]]</f>
        <v>A9B2AA - K134</v>
      </c>
    </row>
    <row r="77" spans="1:5" x14ac:dyDescent="0.35">
      <c r="A77" s="17" t="s">
        <v>3719</v>
      </c>
      <c r="B77" t="s">
        <v>6007</v>
      </c>
      <c r="C77" s="9" t="str">
        <f>_xlfn.CONCAT(HEX2DEC(MID(Table14[[#This Row],[Color Code]], 1, 2))," , ",HEX2DEC(MID(Table14[[#This Row],[Color Code]], 3, 2))," , ",HEX2DEC(MID(Table14[[#This Row],[Color Code]], 5, 2)))</f>
        <v>184 , 180 , 181</v>
      </c>
      <c r="D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27.658633371878661</v>
      </c>
      <c r="E77" t="str">
        <f>Table14[[#This Row],[Color Code]] &amp; " - " &amp;Table14[[#This Row],[Color Name]]</f>
        <v>B8B4B5 - 8234</v>
      </c>
    </row>
    <row r="78" spans="1:5" x14ac:dyDescent="0.35">
      <c r="A78" s="17" t="s">
        <v>3587</v>
      </c>
      <c r="B78" t="s">
        <v>5856</v>
      </c>
      <c r="C78" s="9" t="str">
        <f>_xlfn.CONCAT(HEX2DEC(MID(Table14[[#This Row],[Color Code]], 1, 2))," , ",HEX2DEC(MID(Table14[[#This Row],[Color Code]], 3, 2))," , ",HEX2DEC(MID(Table14[[#This Row],[Color Code]], 5, 2)))</f>
        <v>197 , 148 , 151</v>
      </c>
      <c r="D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27.748873851023216</v>
      </c>
      <c r="E78" t="str">
        <f>Table14[[#This Row],[Color Code]] &amp; " - " &amp;Table14[[#This Row],[Color Name]]</f>
        <v>C59497 - 8104</v>
      </c>
    </row>
    <row r="79" spans="1:5" x14ac:dyDescent="0.35">
      <c r="A79" s="17" t="s">
        <v>3957</v>
      </c>
      <c r="B79" t="s">
        <v>6288</v>
      </c>
      <c r="C79" s="9" t="str">
        <f>_xlfn.CONCAT(HEX2DEC(MID(Table14[[#This Row],[Color Code]], 1, 2))," , ",HEX2DEC(MID(Table14[[#This Row],[Color Code]], 3, 2))," , ",HEX2DEC(MID(Table14[[#This Row],[Color Code]], 5, 2)))</f>
        <v>174 , 160 , 140</v>
      </c>
      <c r="D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27.820855486487112</v>
      </c>
      <c r="E79" t="str">
        <f>Table14[[#This Row],[Color Code]] &amp; " - " &amp;Table14[[#This Row],[Color Name]]</f>
        <v>AEA08C - 4120</v>
      </c>
    </row>
    <row r="80" spans="1:5" x14ac:dyDescent="0.35">
      <c r="A80" s="17" t="s">
        <v>3250</v>
      </c>
      <c r="B80" t="s">
        <v>5508</v>
      </c>
      <c r="C80" s="9" t="str">
        <f>_xlfn.CONCAT(HEX2DEC(MID(Table14[[#This Row],[Color Code]], 1, 2))," , ",HEX2DEC(MID(Table14[[#This Row],[Color Code]], 3, 2))," , ",HEX2DEC(MID(Table14[[#This Row],[Color Code]], 5, 2)))</f>
        <v>210 , 196 , 159</v>
      </c>
      <c r="D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27.946377224964241</v>
      </c>
      <c r="E80" t="str">
        <f>Table14[[#This Row],[Color Code]] &amp; " - " &amp;Table14[[#This Row],[Color Name]]</f>
        <v>D2C49F - 7849</v>
      </c>
    </row>
    <row r="81" spans="1:5" x14ac:dyDescent="0.35">
      <c r="A81" s="17" t="s">
        <v>3796</v>
      </c>
      <c r="B81" t="s">
        <v>6095</v>
      </c>
      <c r="C81" s="9" t="str">
        <f>_xlfn.CONCAT(HEX2DEC(MID(Table14[[#This Row],[Color Code]], 1, 2))," , ",HEX2DEC(MID(Table14[[#This Row],[Color Code]], 3, 2))," , ",HEX2DEC(MID(Table14[[#This Row],[Color Code]], 5, 2)))</f>
        <v>184 , 185 , 180</v>
      </c>
      <c r="D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28.089143810376278</v>
      </c>
      <c r="E81" t="str">
        <f>Table14[[#This Row],[Color Code]] &amp; " - " &amp;Table14[[#This Row],[Color Name]]</f>
        <v>B8B9B4 - 0615</v>
      </c>
    </row>
    <row r="82" spans="1:5" x14ac:dyDescent="0.35">
      <c r="A82" s="17" t="s">
        <v>4027</v>
      </c>
      <c r="B82" t="s">
        <v>6369</v>
      </c>
      <c r="C82" s="9" t="str">
        <f>_xlfn.CONCAT(HEX2DEC(MID(Table14[[#This Row],[Color Code]], 1, 2))," , ",HEX2DEC(MID(Table14[[#This Row],[Color Code]], 3, 2))," , ",HEX2DEC(MID(Table14[[#This Row],[Color Code]], 5, 2)))</f>
        <v>219 , 183 , 154</v>
      </c>
      <c r="D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28.178005607210743</v>
      </c>
      <c r="E82" t="str">
        <f>Table14[[#This Row],[Color Code]] &amp; " - " &amp;Table14[[#This Row],[Color Name]]</f>
        <v>DBB79A - 0362</v>
      </c>
    </row>
    <row r="83" spans="1:5" x14ac:dyDescent="0.35">
      <c r="A83" s="17" t="s">
        <v>3210</v>
      </c>
      <c r="B83" t="s">
        <v>5468</v>
      </c>
      <c r="C83" s="9" t="str">
        <f>_xlfn.CONCAT(HEX2DEC(MID(Table14[[#This Row],[Color Code]], 1, 2))," , ",HEX2DEC(MID(Table14[[#This Row],[Color Code]], 3, 2))," , ",HEX2DEC(MID(Table14[[#This Row],[Color Code]], 5, 2)))</f>
        <v>208 , 195 , 143</v>
      </c>
      <c r="D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28.284271247461902</v>
      </c>
      <c r="E83" t="str">
        <f>Table14[[#This Row],[Color Code]] &amp; " - " &amp;Table14[[#This Row],[Color Name]]</f>
        <v>D0C38F - 7809</v>
      </c>
    </row>
    <row r="84" spans="1:5" x14ac:dyDescent="0.35">
      <c r="A84" s="17" t="s">
        <v>4227</v>
      </c>
      <c r="B84" t="s">
        <v>6591</v>
      </c>
      <c r="C84" s="9" t="str">
        <f>_xlfn.CONCAT(HEX2DEC(MID(Table14[[#This Row],[Color Code]], 1, 2))," , ",HEX2DEC(MID(Table14[[#This Row],[Color Code]], 3, 2))," , ",HEX2DEC(MID(Table14[[#This Row],[Color Code]], 5, 2)))</f>
        <v>201 , 185 , 180</v>
      </c>
      <c r="D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28.390139133156779</v>
      </c>
      <c r="E84" t="str">
        <f>Table14[[#This Row],[Color Code]] &amp; " - " &amp;Table14[[#This Row],[Color Name]]</f>
        <v>C9B9B4 - 8746</v>
      </c>
    </row>
    <row r="85" spans="1:5" x14ac:dyDescent="0.35">
      <c r="A85" s="17" t="s">
        <v>3944</v>
      </c>
      <c r="B85" t="s">
        <v>6273</v>
      </c>
      <c r="C85" s="9" t="str">
        <f>_xlfn.CONCAT(HEX2DEC(MID(Table14[[#This Row],[Color Code]], 1, 2))," , ",HEX2DEC(MID(Table14[[#This Row],[Color Code]], 3, 2))," , ",HEX2DEC(MID(Table14[[#This Row],[Color Code]], 5, 2)))</f>
        <v>168 , 160 , 151</v>
      </c>
      <c r="D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28.583211855912904</v>
      </c>
      <c r="E85" t="str">
        <f>Table14[[#This Row],[Color Code]] &amp; " - " &amp;Table14[[#This Row],[Color Name]]</f>
        <v>A8A097 - 8472</v>
      </c>
    </row>
    <row r="86" spans="1:5" x14ac:dyDescent="0.35">
      <c r="A86" s="17" t="s">
        <v>3712</v>
      </c>
      <c r="B86" t="s">
        <v>6000</v>
      </c>
      <c r="C86" s="9" t="str">
        <f>_xlfn.CONCAT(HEX2DEC(MID(Table14[[#This Row],[Color Code]], 1, 2))," , ",HEX2DEC(MID(Table14[[#This Row],[Color Code]], 3, 2))," , ",HEX2DEC(MID(Table14[[#This Row],[Color Code]], 5, 2)))</f>
        <v>187 , 179 , 183</v>
      </c>
      <c r="D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28.722813232690143</v>
      </c>
      <c r="E86" t="str">
        <f>Table14[[#This Row],[Color Code]] &amp; " - " &amp;Table14[[#This Row],[Color Name]]</f>
        <v>BBB3B7 - 8217</v>
      </c>
    </row>
    <row r="87" spans="1:5" x14ac:dyDescent="0.35">
      <c r="A87" s="17" t="s">
        <v>3586</v>
      </c>
      <c r="B87" t="s">
        <v>5855</v>
      </c>
      <c r="C87" s="9" t="str">
        <f>_xlfn.CONCAT(HEX2DEC(MID(Table14[[#This Row],[Color Code]], 1, 2))," , ",HEX2DEC(MID(Table14[[#This Row],[Color Code]], 3, 2))," , ",HEX2DEC(MID(Table14[[#This Row],[Color Code]], 5, 2)))</f>
        <v>212 , 170 , 175</v>
      </c>
      <c r="D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28.722813232690143</v>
      </c>
      <c r="E87" t="str">
        <f>Table14[[#This Row],[Color Code]] &amp; " - " &amp;Table14[[#This Row],[Color Name]]</f>
        <v>D4AAAF - 8105</v>
      </c>
    </row>
    <row r="88" spans="1:5" x14ac:dyDescent="0.35">
      <c r="A88" s="17" t="s">
        <v>3981</v>
      </c>
      <c r="B88" t="s">
        <v>6321</v>
      </c>
      <c r="C88" s="9" t="str">
        <f>_xlfn.CONCAT(HEX2DEC(MID(Table14[[#This Row],[Color Code]], 1, 2))," , ",HEX2DEC(MID(Table14[[#This Row],[Color Code]], 3, 2))," , ",HEX2DEC(MID(Table14[[#This Row],[Color Code]], 5, 2)))</f>
        <v>188 , 163 , 129</v>
      </c>
      <c r="D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28.913664589601922</v>
      </c>
      <c r="E88" t="str">
        <f>Table14[[#This Row],[Color Code]] &amp; " - " &amp;Table14[[#This Row],[Color Name]]</f>
        <v>BCA381 - 8512</v>
      </c>
    </row>
    <row r="89" spans="1:5" x14ac:dyDescent="0.35">
      <c r="A89" s="17" t="s">
        <v>4222</v>
      </c>
      <c r="B89" t="s">
        <v>6582</v>
      </c>
      <c r="C89" s="9" t="str">
        <f>_xlfn.CONCAT(HEX2DEC(MID(Table14[[#This Row],[Color Code]], 1, 2))," , ",HEX2DEC(MID(Table14[[#This Row],[Color Code]], 3, 2))," , ",HEX2DEC(MID(Table14[[#This Row],[Color Code]], 5, 2)))</f>
        <v>167 , 163 , 165</v>
      </c>
      <c r="D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29.478805945967352</v>
      </c>
      <c r="E89" t="str">
        <f>Table14[[#This Row],[Color Code]] &amp; " - " &amp;Table14[[#This Row],[Color Name]]</f>
        <v>A7A3A5 - K275</v>
      </c>
    </row>
    <row r="90" spans="1:5" x14ac:dyDescent="0.35">
      <c r="A90" s="17" t="s">
        <v>3876</v>
      </c>
      <c r="B90" t="s">
        <v>6198</v>
      </c>
      <c r="C90" s="9" t="str">
        <f>_xlfn.CONCAT(HEX2DEC(MID(Table14[[#This Row],[Color Code]], 1, 2))," , ",HEX2DEC(MID(Table14[[#This Row],[Color Code]], 3, 2))," , ",HEX2DEC(MID(Table14[[#This Row],[Color Code]], 5, 2)))</f>
        <v>188 , 193 , 178</v>
      </c>
      <c r="D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29.478805945967352</v>
      </c>
      <c r="E90" t="str">
        <f>Table14[[#This Row],[Color Code]] &amp; " - " &amp;Table14[[#This Row],[Color Name]]</f>
        <v>BCC1B2 - 8394</v>
      </c>
    </row>
    <row r="91" spans="1:5" x14ac:dyDescent="0.35">
      <c r="A91" s="17" t="s">
        <v>3877</v>
      </c>
      <c r="B91" t="s">
        <v>6199</v>
      </c>
      <c r="C91" s="9" t="str">
        <f>_xlfn.CONCAT(HEX2DEC(MID(Table14[[#This Row],[Color Code]], 1, 2))," , ",HEX2DEC(MID(Table14[[#This Row],[Color Code]], 3, 2))," , ",HEX2DEC(MID(Table14[[#This Row],[Color Code]], 5, 2)))</f>
        <v>163 , 169 , 156</v>
      </c>
      <c r="D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29.631064780058107</v>
      </c>
      <c r="E91" t="str">
        <f>Table14[[#This Row],[Color Code]] &amp; " - " &amp;Table14[[#This Row],[Color Name]]</f>
        <v>A3A99C - 8393</v>
      </c>
    </row>
    <row r="92" spans="1:5" x14ac:dyDescent="0.35">
      <c r="A92" s="17" t="s">
        <v>4094</v>
      </c>
      <c r="B92" t="s">
        <v>6441</v>
      </c>
      <c r="C92" s="9" t="str">
        <f>_xlfn.CONCAT(HEX2DEC(MID(Table14[[#This Row],[Color Code]], 1, 2))," , ",HEX2DEC(MID(Table14[[#This Row],[Color Code]], 3, 2))," , ",HEX2DEC(MID(Table14[[#This Row],[Color Code]], 5, 2)))</f>
        <v>213 , 159 , 141</v>
      </c>
      <c r="D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29.883105594967869</v>
      </c>
      <c r="E92" t="str">
        <f>Table14[[#This Row],[Color Code]] &amp; " - " &amp;Table14[[#This Row],[Color Name]]</f>
        <v>D59F8D - 8608</v>
      </c>
    </row>
    <row r="93" spans="1:5" x14ac:dyDescent="0.35">
      <c r="A93" s="17" t="s">
        <v>3681</v>
      </c>
      <c r="B93" t="s">
        <v>5957</v>
      </c>
      <c r="C93" s="9" t="str">
        <f>_xlfn.CONCAT(HEX2DEC(MID(Table14[[#This Row],[Color Code]], 1, 2))," , ",HEX2DEC(MID(Table14[[#This Row],[Color Code]], 3, 2))," , ",HEX2DEC(MID(Table14[[#This Row],[Color Code]], 5, 2)))</f>
        <v>192 , 183 , 184</v>
      </c>
      <c r="D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30.083217912982647</v>
      </c>
      <c r="E93" t="str">
        <f>Table14[[#This Row],[Color Code]] &amp; " - " &amp;Table14[[#This Row],[Color Name]]</f>
        <v>C0B7B8 - K053</v>
      </c>
    </row>
    <row r="94" spans="1:5" x14ac:dyDescent="0.35">
      <c r="A94" s="17" t="s">
        <v>4184</v>
      </c>
      <c r="B94" t="s">
        <v>6539</v>
      </c>
      <c r="C94" s="9" t="str">
        <f>_xlfn.CONCAT(HEX2DEC(MID(Table14[[#This Row],[Color Code]], 1, 2))," , ",HEX2DEC(MID(Table14[[#This Row],[Color Code]], 3, 2))," , ",HEX2DEC(MID(Table14[[#This Row],[Color Code]], 5, 2)))</f>
        <v>184 , 149 , 142</v>
      </c>
      <c r="D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30.14962686336267</v>
      </c>
      <c r="E94" t="str">
        <f>Table14[[#This Row],[Color Code]] &amp; " - " &amp;Table14[[#This Row],[Color Name]]</f>
        <v>B8958E - K261</v>
      </c>
    </row>
    <row r="95" spans="1:5" x14ac:dyDescent="0.35">
      <c r="A95" s="17" t="s">
        <v>4188</v>
      </c>
      <c r="B95" t="s">
        <v>6543</v>
      </c>
      <c r="C95" s="9" t="str">
        <f>_xlfn.CONCAT(HEX2DEC(MID(Table14[[#This Row],[Color Code]], 1, 2))," , ",HEX2DEC(MID(Table14[[#This Row],[Color Code]], 3, 2))," , ",HEX2DEC(MID(Table14[[#This Row],[Color Code]], 5, 2)))</f>
        <v>209 , 176 , 180</v>
      </c>
      <c r="D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30.248966924508348</v>
      </c>
      <c r="E95" t="str">
        <f>Table14[[#This Row],[Color Code]] &amp; " - " &amp;Table14[[#This Row],[Color Name]]</f>
        <v>D1B0B4 - 8697</v>
      </c>
    </row>
    <row r="96" spans="1:5" x14ac:dyDescent="0.35">
      <c r="A96" s="17" t="s">
        <v>3677</v>
      </c>
      <c r="B96" t="s">
        <v>5952</v>
      </c>
      <c r="C96" s="9" t="str">
        <f>_xlfn.CONCAT(HEX2DEC(MID(Table14[[#This Row],[Color Code]], 1, 2))," , ",HEX2DEC(MID(Table14[[#This Row],[Color Code]], 3, 2))," , ",HEX2DEC(MID(Table14[[#This Row],[Color Code]], 5, 2)))</f>
        <v>188 , 172 , 185</v>
      </c>
      <c r="D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30.413812651491099</v>
      </c>
      <c r="E96" t="str">
        <f>Table14[[#This Row],[Color Code]] &amp; " - " &amp;Table14[[#This Row],[Color Name]]</f>
        <v>BCACB9 - 8201</v>
      </c>
    </row>
    <row r="97" spans="1:5" x14ac:dyDescent="0.35">
      <c r="A97" s="17" t="s">
        <v>3789</v>
      </c>
      <c r="B97" t="s">
        <v>6086</v>
      </c>
      <c r="C97" s="9" t="str">
        <f>_xlfn.CONCAT(HEX2DEC(MID(Table14[[#This Row],[Color Code]], 1, 2))," , ",HEX2DEC(MID(Table14[[#This Row],[Color Code]], 3, 2))," , ",HEX2DEC(MID(Table14[[#This Row],[Color Code]], 5, 2)))</f>
        <v>164 , 166 , 163</v>
      </c>
      <c r="D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30.479501308256342</v>
      </c>
      <c r="E97" t="str">
        <f>Table14[[#This Row],[Color Code]] &amp; " - " &amp;Table14[[#This Row],[Color Name]]</f>
        <v>A4A6A3 - K103</v>
      </c>
    </row>
    <row r="98" spans="1:5" x14ac:dyDescent="0.35">
      <c r="A98" s="17" t="s">
        <v>3818</v>
      </c>
      <c r="B98" t="s">
        <v>6127</v>
      </c>
      <c r="C98" s="9" t="str">
        <f>_xlfn.CONCAT(HEX2DEC(MID(Table14[[#This Row],[Color Code]], 1, 2))," , ",HEX2DEC(MID(Table14[[#This Row],[Color Code]], 3, 2))," , ",HEX2DEC(MID(Table14[[#This Row],[Color Code]], 5, 2)))</f>
        <v>177 , 184 , 180</v>
      </c>
      <c r="D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30.512292604784715</v>
      </c>
      <c r="E98" t="str">
        <f>Table14[[#This Row],[Color Code]] &amp; " - " &amp;Table14[[#This Row],[Color Name]]</f>
        <v>B1B8B4 - 8314</v>
      </c>
    </row>
    <row r="99" spans="1:5" x14ac:dyDescent="0.35">
      <c r="A99" s="17" t="s">
        <v>3684</v>
      </c>
      <c r="B99" t="s">
        <v>5960</v>
      </c>
      <c r="C99" s="9" t="str">
        <f>_xlfn.CONCAT(HEX2DEC(MID(Table14[[#This Row],[Color Code]], 1, 2))," , ",HEX2DEC(MID(Table14[[#This Row],[Color Code]], 3, 2))," , ",HEX2DEC(MID(Table14[[#This Row],[Color Code]], 5, 2)))</f>
        <v>168 , 159 , 165</v>
      </c>
      <c r="D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30.528675044947494</v>
      </c>
      <c r="E99" t="str">
        <f>Table14[[#This Row],[Color Code]] &amp; " - " &amp;Table14[[#This Row],[Color Name]]</f>
        <v>A89FA5 - K056</v>
      </c>
    </row>
    <row r="100" spans="1:5" x14ac:dyDescent="0.35">
      <c r="A100" s="17" t="s">
        <v>3195</v>
      </c>
      <c r="B100" t="s">
        <v>5453</v>
      </c>
      <c r="C100" s="9" t="str">
        <f>_xlfn.CONCAT(HEX2DEC(MID(Table14[[#This Row],[Color Code]], 1, 2))," , ",HEX2DEC(MID(Table14[[#This Row],[Color Code]], 3, 2))," , ",HEX2DEC(MID(Table14[[#This Row],[Color Code]], 5, 2)))</f>
        <v>172 , 168 , 133</v>
      </c>
      <c r="D1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30.545048698602528</v>
      </c>
      <c r="E100" t="str">
        <f>Table14[[#This Row],[Color Code]] &amp; " - " &amp;Table14[[#This Row],[Color Name]]</f>
        <v>ACA885 - 7784</v>
      </c>
    </row>
    <row r="101" spans="1:5" x14ac:dyDescent="0.35">
      <c r="A101" s="17" t="s">
        <v>3973</v>
      </c>
      <c r="B101" t="s">
        <v>6313</v>
      </c>
      <c r="C101" s="9" t="str">
        <f>_xlfn.CONCAT(HEX2DEC(MID(Table14[[#This Row],[Color Code]], 1, 2))," , ",HEX2DEC(MID(Table14[[#This Row],[Color Code]], 3, 2))," , ",HEX2DEC(MID(Table14[[#This Row],[Color Code]], 5, 2)))</f>
        <v>190 , 165 , 126</v>
      </c>
      <c r="D1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30.740852297878796</v>
      </c>
      <c r="E101" t="str">
        <f>Table14[[#This Row],[Color Code]] &amp; " - " &amp;Table14[[#This Row],[Color Name]]</f>
        <v>BEA57E - 8504</v>
      </c>
    </row>
    <row r="102" spans="1:5" x14ac:dyDescent="0.35">
      <c r="A102" s="17" t="s">
        <v>4136</v>
      </c>
      <c r="B102" t="s">
        <v>6488</v>
      </c>
      <c r="C102" s="9" t="str">
        <f>_xlfn.CONCAT(HEX2DEC(MID(Table14[[#This Row],[Color Code]], 1, 2))," , ",HEX2DEC(MID(Table14[[#This Row],[Color Code]], 3, 2))," , ",HEX2DEC(MID(Table14[[#This Row],[Color Code]], 5, 2)))</f>
        <v>172 , 153 , 147</v>
      </c>
      <c r="D1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30.789608636681304</v>
      </c>
      <c r="E102" t="str">
        <f>Table14[[#This Row],[Color Code]] &amp; " - " &amp;Table14[[#This Row],[Color Name]]</f>
        <v>AC9993 - 8656</v>
      </c>
    </row>
    <row r="103" spans="1:5" x14ac:dyDescent="0.35">
      <c r="A103" s="17" t="s">
        <v>3754</v>
      </c>
      <c r="B103" t="s">
        <v>6045</v>
      </c>
      <c r="C103" s="9" t="str">
        <f>_xlfn.CONCAT(HEX2DEC(MID(Table14[[#This Row],[Color Code]], 1, 2))," , ",HEX2DEC(MID(Table14[[#This Row],[Color Code]], 3, 2))," , ",HEX2DEC(MID(Table14[[#This Row],[Color Code]], 5, 2)))</f>
        <v>182 , 186 , 182</v>
      </c>
      <c r="D1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30.822070014844883</v>
      </c>
      <c r="E103" t="str">
        <f>Table14[[#This Row],[Color Code]] &amp; " - " &amp;Table14[[#This Row],[Color Name]]</f>
        <v>B6BAB6 - K093</v>
      </c>
    </row>
    <row r="104" spans="1:5" x14ac:dyDescent="0.35">
      <c r="A104" s="17" t="s">
        <v>3997</v>
      </c>
      <c r="B104" t="s">
        <v>6337</v>
      </c>
      <c r="C104" s="9" t="str">
        <f>_xlfn.CONCAT(HEX2DEC(MID(Table14[[#This Row],[Color Code]], 1, 2))," , ",HEX2DEC(MID(Table14[[#This Row],[Color Code]], 3, 2))," , ",HEX2DEC(MID(Table14[[#This Row],[Color Code]], 5, 2)))</f>
        <v>191 , 160 , 128</v>
      </c>
      <c r="D1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30.903074280724887</v>
      </c>
      <c r="E104" t="str">
        <f>Table14[[#This Row],[Color Code]] &amp; " - " &amp;Table14[[#This Row],[Color Name]]</f>
        <v>BFA080 - 8528</v>
      </c>
    </row>
    <row r="105" spans="1:5" x14ac:dyDescent="0.35">
      <c r="A105" s="17" t="s">
        <v>4079</v>
      </c>
      <c r="B105" t="s">
        <v>6425</v>
      </c>
      <c r="C105" s="9" t="str">
        <f>_xlfn.CONCAT(HEX2DEC(MID(Table14[[#This Row],[Color Code]], 1, 2))," , ",HEX2DEC(MID(Table14[[#This Row],[Color Code]], 3, 2))," , ",HEX2DEC(MID(Table14[[#This Row],[Color Code]], 5, 2)))</f>
        <v>221 , 173 , 144</v>
      </c>
      <c r="D1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31.080540535840107</v>
      </c>
      <c r="E105" t="str">
        <f>Table14[[#This Row],[Color Code]] &amp; " - " &amp;Table14[[#This Row],[Color Name]]</f>
        <v>DDAD90 - 0318</v>
      </c>
    </row>
    <row r="106" spans="1:5" x14ac:dyDescent="0.35">
      <c r="A106" s="17" t="s">
        <v>3856</v>
      </c>
      <c r="B106" t="s">
        <v>6176</v>
      </c>
      <c r="C106" s="9" t="str">
        <f>_xlfn.CONCAT(HEX2DEC(MID(Table14[[#This Row],[Color Code]], 1, 2))," , ",HEX2DEC(MID(Table14[[#This Row],[Color Code]], 3, 2))," , ",HEX2DEC(MID(Table14[[#This Row],[Color Code]], 5, 2)))</f>
        <v>162 , 172 , 163</v>
      </c>
      <c r="D1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31.192947920964443</v>
      </c>
      <c r="E106" t="str">
        <f>Table14[[#This Row],[Color Code]] &amp; " - " &amp;Table14[[#This Row],[Color Name]]</f>
        <v>A2ACA3 - 8369</v>
      </c>
    </row>
    <row r="107" spans="1:5" x14ac:dyDescent="0.35">
      <c r="A107" s="17" t="s">
        <v>4047</v>
      </c>
      <c r="B107" t="s">
        <v>6390</v>
      </c>
      <c r="C107" s="9" t="str">
        <f>_xlfn.CONCAT(HEX2DEC(MID(Table14[[#This Row],[Color Code]], 1, 2))," , ",HEX2DEC(MID(Table14[[#This Row],[Color Code]], 3, 2))," , ",HEX2DEC(MID(Table14[[#This Row],[Color Code]], 5, 2)))</f>
        <v>219 , 187 , 165</v>
      </c>
      <c r="D1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31.192947920964443</v>
      </c>
      <c r="E107" t="str">
        <f>Table14[[#This Row],[Color Code]] &amp; " - " &amp;Table14[[#This Row],[Color Name]]</f>
        <v>DBBBA5 - 8586</v>
      </c>
    </row>
    <row r="108" spans="1:5" x14ac:dyDescent="0.35">
      <c r="A108" s="17" t="s">
        <v>3074</v>
      </c>
      <c r="B108" t="s">
        <v>5324</v>
      </c>
      <c r="C108" s="9" t="str">
        <f>_xlfn.CONCAT(HEX2DEC(MID(Table14[[#This Row],[Color Code]], 1, 2))," , ",HEX2DEC(MID(Table14[[#This Row],[Color Code]], 3, 2))," , ",HEX2DEC(MID(Table14[[#This Row],[Color Code]], 5, 2)))</f>
        <v>185 , 202 , 169</v>
      </c>
      <c r="D1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31.208973068654469</v>
      </c>
      <c r="E108" t="str">
        <f>Table14[[#This Row],[Color Code]] &amp; " - " &amp;Table14[[#This Row],[Color Name]]</f>
        <v>B9CAA9 - 7680</v>
      </c>
    </row>
    <row r="109" spans="1:5" x14ac:dyDescent="0.35">
      <c r="A109" s="17" t="s">
        <v>3698</v>
      </c>
      <c r="B109" t="s">
        <v>5983</v>
      </c>
      <c r="C109" s="9" t="str">
        <f>_xlfn.CONCAT(HEX2DEC(MID(Table14[[#This Row],[Color Code]], 1, 2))," , ",HEX2DEC(MID(Table14[[#This Row],[Color Code]], 3, 2))," , ",HEX2DEC(MID(Table14[[#This Row],[Color Code]], 5, 2)))</f>
        <v>190 , 179 , 186</v>
      </c>
      <c r="D1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31.32091952673165</v>
      </c>
      <c r="E109" t="str">
        <f>Table14[[#This Row],[Color Code]] &amp; " - " &amp;Table14[[#This Row],[Color Name]]</f>
        <v>BEB3BA - 8209</v>
      </c>
    </row>
    <row r="110" spans="1:5" x14ac:dyDescent="0.35">
      <c r="A110" s="17" t="s">
        <v>3162</v>
      </c>
      <c r="B110" t="s">
        <v>5418</v>
      </c>
      <c r="C110" s="9" t="str">
        <f>_xlfn.CONCAT(HEX2DEC(MID(Table14[[#This Row],[Color Code]], 1, 2))," , ",HEX2DEC(MID(Table14[[#This Row],[Color Code]], 3, 2))," , ",HEX2DEC(MID(Table14[[#This Row],[Color Code]], 5, 2)))</f>
        <v>190 , 181 , 124</v>
      </c>
      <c r="D1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31.63858403911275</v>
      </c>
      <c r="E110" t="str">
        <f>Table14[[#This Row],[Color Code]] &amp; " - " &amp;Table14[[#This Row],[Color Name]]</f>
        <v>BEB57C - 9383</v>
      </c>
    </row>
    <row r="111" spans="1:5" x14ac:dyDescent="0.35">
      <c r="A111" s="17" t="s">
        <v>3788</v>
      </c>
      <c r="B111" t="s">
        <v>6085</v>
      </c>
      <c r="C111" s="9" t="str">
        <f>_xlfn.CONCAT(HEX2DEC(MID(Table14[[#This Row],[Color Code]], 1, 2))," , ",HEX2DEC(MID(Table14[[#This Row],[Color Code]], 3, 2))," , ",HEX2DEC(MID(Table14[[#This Row],[Color Code]], 5, 2)))</f>
        <v>188 , 191 , 182</v>
      </c>
      <c r="D1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31.63858403911275</v>
      </c>
      <c r="E111" t="str">
        <f>Table14[[#This Row],[Color Code]] &amp; " - " &amp;Table14[[#This Row],[Color Name]]</f>
        <v>BCBFB6 - K102</v>
      </c>
    </row>
    <row r="112" spans="1:5" x14ac:dyDescent="0.35">
      <c r="A112" s="17" t="s">
        <v>3948</v>
      </c>
      <c r="B112" t="s">
        <v>6278</v>
      </c>
      <c r="C112" s="9" t="str">
        <f>_xlfn.CONCAT(HEX2DEC(MID(Table14[[#This Row],[Color Code]], 1, 2))," , ",HEX2DEC(MID(Table14[[#This Row],[Color Code]], 3, 2))," , ",HEX2DEC(MID(Table14[[#This Row],[Color Code]], 5, 2)))</f>
        <v>210 , 197 , 169</v>
      </c>
      <c r="D1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31.685959035509718</v>
      </c>
      <c r="E112" t="str">
        <f>Table14[[#This Row],[Color Code]] &amp; " - " &amp;Table14[[#This Row],[Color Name]]</f>
        <v>D2C5A9 - 9522</v>
      </c>
    </row>
    <row r="113" spans="1:5" x14ac:dyDescent="0.35">
      <c r="A113" s="17" t="s">
        <v>4167</v>
      </c>
      <c r="B113" t="s">
        <v>6521</v>
      </c>
      <c r="C113" s="9" t="str">
        <f>_xlfn.CONCAT(HEX2DEC(MID(Table14[[#This Row],[Color Code]], 1, 2))," , ",HEX2DEC(MID(Table14[[#This Row],[Color Code]], 3, 2))," , ",HEX2DEC(MID(Table14[[#This Row],[Color Code]], 5, 2)))</f>
        <v>223 , 167 , 156</v>
      </c>
      <c r="D1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32.03123475609393</v>
      </c>
      <c r="E113" t="str">
        <f>Table14[[#This Row],[Color Code]] &amp; " - " &amp;Table14[[#This Row],[Color Name]]</f>
        <v>DFA79C - K243</v>
      </c>
    </row>
    <row r="114" spans="1:5" x14ac:dyDescent="0.35">
      <c r="A114" s="17" t="s">
        <v>3672</v>
      </c>
      <c r="B114" t="s">
        <v>5945</v>
      </c>
      <c r="C114" s="9" t="str">
        <f>_xlfn.CONCAT(HEX2DEC(MID(Table14[[#This Row],[Color Code]], 1, 2))," , ",HEX2DEC(MID(Table14[[#This Row],[Color Code]], 3, 2))," , ",HEX2DEC(MID(Table14[[#This Row],[Color Code]], 5, 2)))</f>
        <v>173 , 150 , 162</v>
      </c>
      <c r="D1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32.171415884290823</v>
      </c>
      <c r="E114" t="str">
        <f>Table14[[#This Row],[Color Code]] &amp; " - " &amp;Table14[[#This Row],[Color Name]]</f>
        <v>AD96A2 - K049</v>
      </c>
    </row>
    <row r="115" spans="1:5" x14ac:dyDescent="0.35">
      <c r="A115" s="17" t="s">
        <v>3105</v>
      </c>
      <c r="B115" t="s">
        <v>5357</v>
      </c>
      <c r="C115" s="9" t="str">
        <f>_xlfn.CONCAT(HEX2DEC(MID(Table14[[#This Row],[Color Code]], 1, 2))," , ",HEX2DEC(MID(Table14[[#This Row],[Color Code]], 3, 2))," , ",HEX2DEC(MID(Table14[[#This Row],[Color Code]], 5, 2)))</f>
        <v>199 , 206 , 150</v>
      </c>
      <c r="D1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32.171415884290823</v>
      </c>
      <c r="E115" t="str">
        <f>Table14[[#This Row],[Color Code]] &amp; " - " &amp;Table14[[#This Row],[Color Name]]</f>
        <v>C7CE96 - 7728</v>
      </c>
    </row>
    <row r="116" spans="1:5" x14ac:dyDescent="0.35">
      <c r="A116" s="17" t="s">
        <v>4235</v>
      </c>
      <c r="B116" t="s">
        <v>6600</v>
      </c>
      <c r="C116" s="9" t="str">
        <f>_xlfn.CONCAT(HEX2DEC(MID(Table14[[#This Row],[Color Code]], 1, 2))," , ",HEX2DEC(MID(Table14[[#This Row],[Color Code]], 3, 2))," , ",HEX2DEC(MID(Table14[[#This Row],[Color Code]], 5, 2)))</f>
        <v>167 , 155 , 149</v>
      </c>
      <c r="D1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32.572994949804659</v>
      </c>
      <c r="E116" t="str">
        <f>Table14[[#This Row],[Color Code]] &amp; " - " &amp;Table14[[#This Row],[Color Name]]</f>
        <v>A79B95 - 8753</v>
      </c>
    </row>
    <row r="117" spans="1:5" x14ac:dyDescent="0.35">
      <c r="A117" s="17" t="s">
        <v>4122</v>
      </c>
      <c r="B117" t="s">
        <v>6472</v>
      </c>
      <c r="C117" s="9" t="str">
        <f>_xlfn.CONCAT(HEX2DEC(MID(Table14[[#This Row],[Color Code]], 1, 2))," , ",HEX2DEC(MID(Table14[[#This Row],[Color Code]], 3, 2))," , ",HEX2DEC(MID(Table14[[#This Row],[Color Code]], 5, 2)))</f>
        <v>192 , 147 , 138</v>
      </c>
      <c r="D1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32.756678708318397</v>
      </c>
      <c r="E117" t="str">
        <f>Table14[[#This Row],[Color Code]] &amp; " - " &amp;Table14[[#This Row],[Color Name]]</f>
        <v>C0938A - 7027</v>
      </c>
    </row>
    <row r="118" spans="1:5" x14ac:dyDescent="0.35">
      <c r="A118" s="17" t="s">
        <v>3870</v>
      </c>
      <c r="B118" t="s">
        <v>6191</v>
      </c>
      <c r="C118" s="9" t="str">
        <f>_xlfn.CONCAT(HEX2DEC(MID(Table14[[#This Row],[Color Code]], 1, 2))," , ",HEX2DEC(MID(Table14[[#This Row],[Color Code]], 3, 2))," , ",HEX2DEC(MID(Table14[[#This Row],[Color Code]], 5, 2)))</f>
        <v>169 , 192 , 171</v>
      </c>
      <c r="D1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32.771939216347882</v>
      </c>
      <c r="E118" t="str">
        <f>Table14[[#This Row],[Color Code]] &amp; " - " &amp;Table14[[#This Row],[Color Name]]</f>
        <v>A9C0AB - K156</v>
      </c>
    </row>
    <row r="119" spans="1:5" x14ac:dyDescent="0.35">
      <c r="A119" s="17" t="s">
        <v>4041</v>
      </c>
      <c r="B119" t="s">
        <v>6383</v>
      </c>
      <c r="C119" s="9" t="str">
        <f>_xlfn.CONCAT(HEX2DEC(MID(Table14[[#This Row],[Color Code]], 1, 2))," , ",HEX2DEC(MID(Table14[[#This Row],[Color Code]], 3, 2))," , ",HEX2DEC(MID(Table14[[#This Row],[Color Code]], 5, 2)))</f>
        <v>220 , 189 , 165</v>
      </c>
      <c r="D1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32.863353450309965</v>
      </c>
      <c r="E119" t="str">
        <f>Table14[[#This Row],[Color Code]] &amp; " - " &amp;Table14[[#This Row],[Color Name]]</f>
        <v>DCBDA5 - 8578</v>
      </c>
    </row>
    <row r="120" spans="1:5" x14ac:dyDescent="0.35">
      <c r="A120" s="17" t="s">
        <v>4209</v>
      </c>
      <c r="B120" t="s">
        <v>6567</v>
      </c>
      <c r="C120" s="9" t="str">
        <f>_xlfn.CONCAT(HEX2DEC(MID(Table14[[#This Row],[Color Code]], 1, 2))," , ",HEX2DEC(MID(Table14[[#This Row],[Color Code]], 3, 2))," , ",HEX2DEC(MID(Table14[[#This Row],[Color Code]], 5, 2)))</f>
        <v>209 , 178 , 183</v>
      </c>
      <c r="D1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32.893768406797051</v>
      </c>
      <c r="E120" t="str">
        <f>Table14[[#This Row],[Color Code]] &amp; " - " &amp;Table14[[#This Row],[Color Name]]</f>
        <v>D1B2B7 - 8713</v>
      </c>
    </row>
    <row r="121" spans="1:5" x14ac:dyDescent="0.35">
      <c r="A121" s="17" t="s">
        <v>3889</v>
      </c>
      <c r="B121" t="s">
        <v>6214</v>
      </c>
      <c r="C121" s="9" t="str">
        <f>_xlfn.CONCAT(HEX2DEC(MID(Table14[[#This Row],[Color Code]], 1, 2))," , ",HEX2DEC(MID(Table14[[#This Row],[Color Code]], 3, 2))," , ",HEX2DEC(MID(Table14[[#This Row],[Color Code]], 5, 2)))</f>
        <v>196 , 200 , 176</v>
      </c>
      <c r="D1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32.893768406797051</v>
      </c>
      <c r="E121" t="str">
        <f>Table14[[#This Row],[Color Code]] &amp; " - " &amp;Table14[[#This Row],[Color Name]]</f>
        <v>C4C8B0 - 8410</v>
      </c>
    </row>
    <row r="122" spans="1:5" x14ac:dyDescent="0.35">
      <c r="A122" s="17" t="s">
        <v>3988</v>
      </c>
      <c r="B122" t="s">
        <v>6328</v>
      </c>
      <c r="C122" s="9" t="str">
        <f>_xlfn.CONCAT(HEX2DEC(MID(Table14[[#This Row],[Color Code]], 1, 2))," , ",HEX2DEC(MID(Table14[[#This Row],[Color Code]], 3, 2))," , ",HEX2DEC(MID(Table14[[#This Row],[Color Code]], 5, 2)))</f>
        <v>222 , 188 , 151</v>
      </c>
      <c r="D1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32.939338184001208</v>
      </c>
      <c r="E122" t="str">
        <f>Table14[[#This Row],[Color Code]] &amp; " - " &amp;Table14[[#This Row],[Color Name]]</f>
        <v>DEBC97 - 0336</v>
      </c>
    </row>
    <row r="123" spans="1:5" x14ac:dyDescent="0.35">
      <c r="A123" s="17" t="s">
        <v>4085</v>
      </c>
      <c r="B123" t="s">
        <v>6431</v>
      </c>
      <c r="C123" s="9" t="str">
        <f>_xlfn.CONCAT(HEX2DEC(MID(Table14[[#This Row],[Color Code]], 1, 2))," , ",HEX2DEC(MID(Table14[[#This Row],[Color Code]], 3, 2))," , ",HEX2DEC(MID(Table14[[#This Row],[Color Code]], 5, 2)))</f>
        <v>222 , 187 , 163</v>
      </c>
      <c r="D1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33.286633954186478</v>
      </c>
      <c r="E123" t="str">
        <f>Table14[[#This Row],[Color Code]] &amp; " - " &amp;Table14[[#This Row],[Color Name]]</f>
        <v>DEBBA3 - 8602</v>
      </c>
    </row>
    <row r="124" spans="1:5" x14ac:dyDescent="0.35">
      <c r="A124" s="17" t="s">
        <v>3734</v>
      </c>
      <c r="B124" t="s">
        <v>6023</v>
      </c>
      <c r="C124" s="9" t="str">
        <f>_xlfn.CONCAT(HEX2DEC(MID(Table14[[#This Row],[Color Code]], 1, 2))," , ",HEX2DEC(MID(Table14[[#This Row],[Color Code]], 3, 2))," , ",HEX2DEC(MID(Table14[[#This Row],[Color Code]], 5, 2)))</f>
        <v>168 , 172 , 178</v>
      </c>
      <c r="D1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33.376638536557273</v>
      </c>
      <c r="E124" t="str">
        <f>Table14[[#This Row],[Color Code]] &amp; " - " &amp;Table14[[#This Row],[Color Name]]</f>
        <v>A8ACB2 - K085</v>
      </c>
    </row>
    <row r="125" spans="1:5" x14ac:dyDescent="0.35">
      <c r="A125" s="17" t="s">
        <v>3603</v>
      </c>
      <c r="B125" t="s">
        <v>5872</v>
      </c>
      <c r="C125" s="9" t="str">
        <f>_xlfn.CONCAT(HEX2DEC(MID(Table14[[#This Row],[Color Code]], 1, 2))," , ",HEX2DEC(MID(Table14[[#This Row],[Color Code]], 3, 2))," , ",HEX2DEC(MID(Table14[[#This Row],[Color Code]], 5, 2)))</f>
        <v>218 , 159 , 170</v>
      </c>
      <c r="D1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34.014702703389901</v>
      </c>
      <c r="E125" t="str">
        <f>Table14[[#This Row],[Color Code]] &amp; " - " &amp;Table14[[#This Row],[Color Name]]</f>
        <v>DA9FAA - 8120</v>
      </c>
    </row>
    <row r="126" spans="1:5" x14ac:dyDescent="0.35">
      <c r="A126" s="17" t="s">
        <v>3641</v>
      </c>
      <c r="B126" t="s">
        <v>5912</v>
      </c>
      <c r="C126" s="9" t="str">
        <f>_xlfn.CONCAT(HEX2DEC(MID(Table14[[#This Row],[Color Code]], 1, 2))," , ",HEX2DEC(MID(Table14[[#This Row],[Color Code]], 3, 2))," , ",HEX2DEC(MID(Table14[[#This Row],[Color Code]], 5, 2)))</f>
        <v>190 , 141 , 157</v>
      </c>
      <c r="D1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34.117444218463959</v>
      </c>
      <c r="E126" t="str">
        <f>Table14[[#This Row],[Color Code]] &amp; " - " &amp;Table14[[#This Row],[Color Name]]</f>
        <v>BE8D9D - K034</v>
      </c>
    </row>
    <row r="127" spans="1:5" x14ac:dyDescent="0.35">
      <c r="A127" s="17" t="s">
        <v>3743</v>
      </c>
      <c r="B127" t="s">
        <v>6032</v>
      </c>
      <c r="C127" s="9" t="str">
        <f>_xlfn.CONCAT(HEX2DEC(MID(Table14[[#This Row],[Color Code]], 1, 2))," , ",HEX2DEC(MID(Table14[[#This Row],[Color Code]], 3, 2))," , ",HEX2DEC(MID(Table14[[#This Row],[Color Code]], 5, 2)))</f>
        <v>170 , 177 , 181</v>
      </c>
      <c r="D1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34.117444218463959</v>
      </c>
      <c r="E127" t="str">
        <f>Table14[[#This Row],[Color Code]] &amp; " - " &amp;Table14[[#This Row],[Color Name]]</f>
        <v>AAB1B5 - 0616</v>
      </c>
    </row>
    <row r="128" spans="1:5" x14ac:dyDescent="0.35">
      <c r="A128" s="17" t="s">
        <v>4011</v>
      </c>
      <c r="B128" t="s">
        <v>6353</v>
      </c>
      <c r="C128" s="9" t="str">
        <f>_xlfn.CONCAT(HEX2DEC(MID(Table14[[#This Row],[Color Code]], 1, 2))," , ",HEX2DEC(MID(Table14[[#This Row],[Color Code]], 3, 2))," , ",HEX2DEC(MID(Table14[[#This Row],[Color Code]], 5, 2)))</f>
        <v>187 , 156 , 127</v>
      </c>
      <c r="D1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34.205262752974143</v>
      </c>
      <c r="E128" t="str">
        <f>Table14[[#This Row],[Color Code]] &amp; " - " &amp;Table14[[#This Row],[Color Name]]</f>
        <v>BB9C7F - 8536</v>
      </c>
    </row>
    <row r="129" spans="1:5" x14ac:dyDescent="0.35">
      <c r="A129" s="17" t="s">
        <v>3595</v>
      </c>
      <c r="B129" t="s">
        <v>5864</v>
      </c>
      <c r="C129" s="9" t="str">
        <f>_xlfn.CONCAT(HEX2DEC(MID(Table14[[#This Row],[Color Code]], 1, 2))," , ",HEX2DEC(MID(Table14[[#This Row],[Color Code]], 3, 2))," , ",HEX2DEC(MID(Table14[[#This Row],[Color Code]], 5, 2)))</f>
        <v>201 , 142 , 154</v>
      </c>
      <c r="D1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34.219877264537345</v>
      </c>
      <c r="E129" t="str">
        <f>Table14[[#This Row],[Color Code]] &amp; " - " &amp;Table14[[#This Row],[Color Name]]</f>
        <v>C98E9A - 8112</v>
      </c>
    </row>
    <row r="130" spans="1:5" x14ac:dyDescent="0.35">
      <c r="A130" s="17" t="s">
        <v>3193</v>
      </c>
      <c r="B130" t="s">
        <v>5451</v>
      </c>
      <c r="C130" s="9" t="str">
        <f>_xlfn.CONCAT(HEX2DEC(MID(Table14[[#This Row],[Color Code]], 1, 2))," , ",HEX2DEC(MID(Table14[[#This Row],[Color Code]], 3, 2))," , ",HEX2DEC(MID(Table14[[#This Row],[Color Code]], 5, 2)))</f>
        <v>205 , 203 , 170</v>
      </c>
      <c r="D1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34.322004603461025</v>
      </c>
      <c r="E130" t="str">
        <f>Table14[[#This Row],[Color Code]] &amp; " - " &amp;Table14[[#This Row],[Color Name]]</f>
        <v>CDCBAA - 7786</v>
      </c>
    </row>
    <row r="131" spans="1:5" x14ac:dyDescent="0.35">
      <c r="A131" s="17" t="s">
        <v>3869</v>
      </c>
      <c r="B131" t="s">
        <v>6190</v>
      </c>
      <c r="C131" s="9" t="str">
        <f>_xlfn.CONCAT(HEX2DEC(MID(Table14[[#This Row],[Color Code]], 1, 2))," , ",HEX2DEC(MID(Table14[[#This Row],[Color Code]], 3, 2))," , ",HEX2DEC(MID(Table14[[#This Row],[Color Code]], 5, 2)))</f>
        <v>187 , 200 , 178</v>
      </c>
      <c r="D1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34.336569426778794</v>
      </c>
      <c r="E131" t="str">
        <f>Table14[[#This Row],[Color Code]] &amp; " - " &amp;Table14[[#This Row],[Color Name]]</f>
        <v>BBC8B2 - 8386</v>
      </c>
    </row>
    <row r="132" spans="1:5" x14ac:dyDescent="0.35">
      <c r="A132" s="17" t="s">
        <v>3067</v>
      </c>
      <c r="B132" t="s">
        <v>5316</v>
      </c>
      <c r="C132" s="9" t="str">
        <f>_xlfn.CONCAT(HEX2DEC(MID(Table14[[#This Row],[Color Code]], 1, 2))," , ",HEX2DEC(MID(Table14[[#This Row],[Color Code]], 3, 2))," , ",HEX2DEC(MID(Table14[[#This Row],[Color Code]], 5, 2)))</f>
        <v>188 , 209 , 161</v>
      </c>
      <c r="D1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34.756294393965533</v>
      </c>
      <c r="E132" t="str">
        <f>Table14[[#This Row],[Color Code]] &amp; " - " &amp;Table14[[#This Row],[Color Name]]</f>
        <v>BCD1A1 - 7672</v>
      </c>
    </row>
    <row r="133" spans="1:5" x14ac:dyDescent="0.35">
      <c r="A133" s="17" t="s">
        <v>3797</v>
      </c>
      <c r="B133" t="s">
        <v>6096</v>
      </c>
      <c r="C133" s="9" t="str">
        <f>_xlfn.CONCAT(HEX2DEC(MID(Table14[[#This Row],[Color Code]], 1, 2))," , ",HEX2DEC(MID(Table14[[#This Row],[Color Code]], 3, 2))," , ",HEX2DEC(MID(Table14[[#This Row],[Color Code]], 5, 2)))</f>
        <v>160 , 163 , 162</v>
      </c>
      <c r="D1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34.885527085024819</v>
      </c>
      <c r="E133" t="str">
        <f>Table14[[#This Row],[Color Code]] &amp; " - " &amp;Table14[[#This Row],[Color Name]]</f>
        <v>A0A3A2 - 0643</v>
      </c>
    </row>
    <row r="134" spans="1:5" x14ac:dyDescent="0.35">
      <c r="A134" s="17" t="s">
        <v>3682</v>
      </c>
      <c r="B134" t="s">
        <v>5958</v>
      </c>
      <c r="C134" s="9" t="str">
        <f>_xlfn.CONCAT(HEX2DEC(MID(Table14[[#This Row],[Color Code]], 1, 2))," , ",HEX2DEC(MID(Table14[[#This Row],[Color Code]], 3, 2))," , ",HEX2DEC(MID(Table14[[#This Row],[Color Code]], 5, 2)))</f>
        <v>189 , 186 , 188</v>
      </c>
      <c r="D1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34.914180500192181</v>
      </c>
      <c r="E134" t="str">
        <f>Table14[[#This Row],[Color Code]] &amp; " - " &amp;Table14[[#This Row],[Color Name]]</f>
        <v>BDBABC - K054</v>
      </c>
    </row>
    <row r="135" spans="1:5" x14ac:dyDescent="0.35">
      <c r="A135" s="17" t="s">
        <v>3211</v>
      </c>
      <c r="B135" t="s">
        <v>5469</v>
      </c>
      <c r="C135" s="9" t="str">
        <f>_xlfn.CONCAT(HEX2DEC(MID(Table14[[#This Row],[Color Code]], 1, 2))," , ",HEX2DEC(MID(Table14[[#This Row],[Color Code]], 3, 2))," , ",HEX2DEC(MID(Table14[[#This Row],[Color Code]], 5, 2)))</f>
        <v>191 , 178 , 120</v>
      </c>
      <c r="D1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35.142566781611158</v>
      </c>
      <c r="E135" t="str">
        <f>Table14[[#This Row],[Color Code]] &amp; " - " &amp;Table14[[#This Row],[Color Name]]</f>
        <v>BFB278 - 7808</v>
      </c>
    </row>
    <row r="136" spans="1:5" x14ac:dyDescent="0.35">
      <c r="A136" s="17" t="s">
        <v>3786</v>
      </c>
      <c r="B136" t="s">
        <v>6081</v>
      </c>
      <c r="C136" s="9" t="str">
        <f>_xlfn.CONCAT(HEX2DEC(MID(Table14[[#This Row],[Color Code]], 1, 2))," , ",HEX2DEC(MID(Table14[[#This Row],[Color Code]], 3, 2))," , ",HEX2DEC(MID(Table14[[#This Row],[Color Code]], 5, 2)))</f>
        <v>160 , 161 , 159</v>
      </c>
      <c r="D1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35.156791662493895</v>
      </c>
      <c r="E136" t="str">
        <f>Table14[[#This Row],[Color Code]] &amp; " - " &amp;Table14[[#This Row],[Color Name]]</f>
        <v>A0A19F - 8296</v>
      </c>
    </row>
    <row r="137" spans="1:5" x14ac:dyDescent="0.35">
      <c r="A137" s="17" t="s">
        <v>3106</v>
      </c>
      <c r="B137" t="s">
        <v>5358</v>
      </c>
      <c r="C137" s="9" t="str">
        <f>_xlfn.CONCAT(HEX2DEC(MID(Table14[[#This Row],[Color Code]], 1, 2))," , ",HEX2DEC(MID(Table14[[#This Row],[Color Code]], 3, 2))," , ",HEX2DEC(MID(Table14[[#This Row],[Color Code]], 5, 2)))</f>
        <v>180 , 191 , 126</v>
      </c>
      <c r="D1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35.227829907617071</v>
      </c>
      <c r="E137" t="str">
        <f>Table14[[#This Row],[Color Code]] &amp; " - " &amp;Table14[[#This Row],[Color Name]]</f>
        <v>B4BF7E - 7727</v>
      </c>
    </row>
    <row r="138" spans="1:5" x14ac:dyDescent="0.35">
      <c r="A138" s="17" t="s">
        <v>3671</v>
      </c>
      <c r="B138" t="s">
        <v>5944</v>
      </c>
      <c r="C138" s="9" t="str">
        <f>_xlfn.CONCAT(HEX2DEC(MID(Table14[[#This Row],[Color Code]], 1, 2))," , ",HEX2DEC(MID(Table14[[#This Row],[Color Code]], 3, 2))," , ",HEX2DEC(MID(Table14[[#This Row],[Color Code]], 5, 2)))</f>
        <v>195 , 179 , 190</v>
      </c>
      <c r="D1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35.355339059327378</v>
      </c>
      <c r="E138" t="str">
        <f>Table14[[#This Row],[Color Code]] &amp; " - " &amp;Table14[[#This Row],[Color Name]]</f>
        <v>C3B3BE - K048</v>
      </c>
    </row>
    <row r="139" spans="1:5" x14ac:dyDescent="0.35">
      <c r="A139" s="17" t="s">
        <v>4028</v>
      </c>
      <c r="B139" t="s">
        <v>6370</v>
      </c>
      <c r="C139" s="9" t="str">
        <f>_xlfn.CONCAT(HEX2DEC(MID(Table14[[#This Row],[Color Code]], 1, 2))," , ",HEX2DEC(MID(Table14[[#This Row],[Color Code]], 3, 2))," , ",HEX2DEC(MID(Table14[[#This Row],[Color Code]], 5, 2)))</f>
        <v>200 , 158 , 125</v>
      </c>
      <c r="D1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35.397740040855716</v>
      </c>
      <c r="E139" t="str">
        <f>Table14[[#This Row],[Color Code]] &amp; " - " &amp;Table14[[#This Row],[Color Name]]</f>
        <v>C89E7D - 8559</v>
      </c>
    </row>
    <row r="140" spans="1:5" x14ac:dyDescent="0.35">
      <c r="A140" s="17" t="s">
        <v>4182</v>
      </c>
      <c r="B140" t="s">
        <v>6537</v>
      </c>
      <c r="C140" s="9" t="str">
        <f>_xlfn.CONCAT(HEX2DEC(MID(Table14[[#This Row],[Color Code]], 1, 2))," , ",HEX2DEC(MID(Table14[[#This Row],[Color Code]], 3, 2))," , ",HEX2DEC(MID(Table14[[#This Row],[Color Code]], 5, 2)))</f>
        <v>217 , 187 , 177</v>
      </c>
      <c r="D1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35.397740040855716</v>
      </c>
      <c r="E140" t="str">
        <f>Table14[[#This Row],[Color Code]] &amp; " - " &amp;Table14[[#This Row],[Color Name]]</f>
        <v>D9BBB1 - K259</v>
      </c>
    </row>
    <row r="141" spans="1:5" x14ac:dyDescent="0.35">
      <c r="A141" s="17" t="s">
        <v>3720</v>
      </c>
      <c r="B141" t="s">
        <v>6008</v>
      </c>
      <c r="C141" s="9" t="str">
        <f>_xlfn.CONCAT(HEX2DEC(MID(Table14[[#This Row],[Color Code]], 1, 2))," , ",HEX2DEC(MID(Table14[[#This Row],[Color Code]], 3, 2))," , ",HEX2DEC(MID(Table14[[#This Row],[Color Code]], 5, 2)))</f>
        <v>161 , 160 , 164</v>
      </c>
      <c r="D1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35.594943461115371</v>
      </c>
      <c r="E141" t="str">
        <f>Table14[[#This Row],[Color Code]] &amp; " - " &amp;Table14[[#This Row],[Color Name]]</f>
        <v>A1A0A4 - 8233</v>
      </c>
    </row>
    <row r="142" spans="1:5" x14ac:dyDescent="0.35">
      <c r="A142" s="17" t="s">
        <v>4160</v>
      </c>
      <c r="B142" t="s">
        <v>6513</v>
      </c>
      <c r="C142" s="9" t="str">
        <f>_xlfn.CONCAT(HEX2DEC(MID(Table14[[#This Row],[Color Code]], 1, 2))," , ",HEX2DEC(MID(Table14[[#This Row],[Color Code]], 3, 2))," , ",HEX2DEC(MID(Table14[[#This Row],[Color Code]], 5, 2)))</f>
        <v>225 , 181 , 167</v>
      </c>
      <c r="D1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35.62302626111375</v>
      </c>
      <c r="E142" t="str">
        <f>Table14[[#This Row],[Color Code]] &amp; " - " &amp;Table14[[#This Row],[Color Name]]</f>
        <v>E1B5A7 - K235</v>
      </c>
    </row>
    <row r="143" spans="1:5" x14ac:dyDescent="0.35">
      <c r="A143" s="17" t="s">
        <v>3009</v>
      </c>
      <c r="B143" t="s">
        <v>5253</v>
      </c>
      <c r="C143" s="9" t="str">
        <f>_xlfn.CONCAT(HEX2DEC(MID(Table14[[#This Row],[Color Code]], 1, 2))," , ",HEX2DEC(MID(Table14[[#This Row],[Color Code]], 3, 2))," , ",HEX2DEC(MID(Table14[[#This Row],[Color Code]], 5, 2)))</f>
        <v>162 , 191 , 166</v>
      </c>
      <c r="D1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35.735136770411273</v>
      </c>
      <c r="E143" t="str">
        <f>Table14[[#This Row],[Color Code]] &amp; " - " &amp;Table14[[#This Row],[Color Name]]</f>
        <v>A2BFA6 - 7624</v>
      </c>
    </row>
    <row r="144" spans="1:5" x14ac:dyDescent="0.35">
      <c r="A144" s="17" t="s">
        <v>3201</v>
      </c>
      <c r="B144" t="s">
        <v>5459</v>
      </c>
      <c r="C144" s="9" t="str">
        <f>_xlfn.CONCAT(HEX2DEC(MID(Table14[[#This Row],[Color Code]], 1, 2))," , ",HEX2DEC(MID(Table14[[#This Row],[Color Code]], 3, 2))," , ",HEX2DEC(MID(Table14[[#This Row],[Color Code]], 5, 2)))</f>
        <v>210 , 204 , 166</v>
      </c>
      <c r="D1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35.860842154082214</v>
      </c>
      <c r="E144" t="str">
        <f>Table14[[#This Row],[Color Code]] &amp; " - " &amp;Table14[[#This Row],[Color Name]]</f>
        <v>D2CCA6 - 0758</v>
      </c>
    </row>
    <row r="145" spans="1:5" x14ac:dyDescent="0.35">
      <c r="A145" s="17" t="s">
        <v>3755</v>
      </c>
      <c r="B145" t="s">
        <v>6046</v>
      </c>
      <c r="C145" s="9" t="str">
        <f>_xlfn.CONCAT(HEX2DEC(MID(Table14[[#This Row],[Color Code]], 1, 2))," , ",HEX2DEC(MID(Table14[[#This Row],[Color Code]], 3, 2))," , ",HEX2DEC(MID(Table14[[#This Row],[Color Code]], 5, 2)))</f>
        <v>181 , 187 , 187</v>
      </c>
      <c r="D1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35.902646142032481</v>
      </c>
      <c r="E145" t="str">
        <f>Table14[[#This Row],[Color Code]] &amp; " - " &amp;Table14[[#This Row],[Color Name]]</f>
        <v>B5BBBB - K094</v>
      </c>
    </row>
    <row r="146" spans="1:5" x14ac:dyDescent="0.35">
      <c r="A146" s="17" t="s">
        <v>4253</v>
      </c>
      <c r="B146" t="s">
        <v>6622</v>
      </c>
      <c r="C146" s="9" t="str">
        <f>_xlfn.CONCAT(HEX2DEC(MID(Table14[[#This Row],[Color Code]], 1, 2))," , ",HEX2DEC(MID(Table14[[#This Row],[Color Code]], 3, 2))," , ",HEX2DEC(MID(Table14[[#This Row],[Color Code]], 5, 2)))</f>
        <v>212 , 194 , 178</v>
      </c>
      <c r="D1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35.91656999213594</v>
      </c>
      <c r="E146" t="str">
        <f>Table14[[#This Row],[Color Code]] &amp; " - " &amp;Table14[[#This Row],[Color Name]]</f>
        <v>D4C2B2 - 8778</v>
      </c>
    </row>
    <row r="147" spans="1:5" x14ac:dyDescent="0.35">
      <c r="A147" s="17" t="s">
        <v>3892</v>
      </c>
      <c r="B147" t="s">
        <v>6217</v>
      </c>
      <c r="C147" s="9" t="str">
        <f>_xlfn.CONCAT(HEX2DEC(MID(Table14[[#This Row],[Color Code]], 1, 2))," , ",HEX2DEC(MID(Table14[[#This Row],[Color Code]], 3, 2))," , ",HEX2DEC(MID(Table14[[#This Row],[Color Code]], 5, 2)))</f>
        <v>160 , 165 , 142</v>
      </c>
      <c r="D1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35.958309192730404</v>
      </c>
      <c r="E147" t="str">
        <f>Table14[[#This Row],[Color Code]] &amp; " - " &amp;Table14[[#This Row],[Color Name]]</f>
        <v>A0A58E - 8408</v>
      </c>
    </row>
    <row r="148" spans="1:5" x14ac:dyDescent="0.35">
      <c r="A148" s="17" t="s">
        <v>3898</v>
      </c>
      <c r="B148" t="s">
        <v>6223</v>
      </c>
      <c r="C148" s="9" t="str">
        <f>_xlfn.CONCAT(HEX2DEC(MID(Table14[[#This Row],[Color Code]], 1, 2))," , ",HEX2DEC(MID(Table14[[#This Row],[Color Code]], 3, 2))," , ",HEX2DEC(MID(Table14[[#This Row],[Color Code]], 5, 2)))</f>
        <v>197 , 203 , 177</v>
      </c>
      <c r="D1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35.958309192730404</v>
      </c>
      <c r="E148" t="str">
        <f>Table14[[#This Row],[Color Code]] &amp; " - " &amp;Table14[[#This Row],[Color Name]]</f>
        <v>C5CBB1 - 8418</v>
      </c>
    </row>
    <row r="149" spans="1:5" x14ac:dyDescent="0.35">
      <c r="A149" s="17" t="s">
        <v>4100</v>
      </c>
      <c r="B149" t="s">
        <v>6447</v>
      </c>
      <c r="C149" s="9" t="str">
        <f>_xlfn.CONCAT(HEX2DEC(MID(Table14[[#This Row],[Color Code]], 1, 2))," , ",HEX2DEC(MID(Table14[[#This Row],[Color Code]], 3, 2))," , ",HEX2DEC(MID(Table14[[#This Row],[Color Code]], 5, 2)))</f>
        <v>226 , 182 , 165</v>
      </c>
      <c r="D1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36.124783736376884</v>
      </c>
      <c r="E149" t="str">
        <f>Table14[[#This Row],[Color Code]] &amp; " - " &amp;Table14[[#This Row],[Color Name]]</f>
        <v>E2B6A5 - 5117</v>
      </c>
    </row>
    <row r="150" spans="1:5" x14ac:dyDescent="0.35">
      <c r="A150" s="17" t="s">
        <v>3244</v>
      </c>
      <c r="B150" t="s">
        <v>5502</v>
      </c>
      <c r="C150" s="9" t="str">
        <f>_xlfn.CONCAT(HEX2DEC(MID(Table14[[#This Row],[Color Code]], 1, 2))," , ",HEX2DEC(MID(Table14[[#This Row],[Color Code]], 3, 2))," , ",HEX2DEC(MID(Table14[[#This Row],[Color Code]], 5, 2)))</f>
        <v>210 , 191 , 128</v>
      </c>
      <c r="D1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36.180105030251084</v>
      </c>
      <c r="E150" t="str">
        <f>Table14[[#This Row],[Color Code]] &amp; " - " &amp;Table14[[#This Row],[Color Name]]</f>
        <v>D2BF80 - 7839</v>
      </c>
    </row>
    <row r="151" spans="1:5" x14ac:dyDescent="0.35">
      <c r="A151" s="17" t="s">
        <v>2684</v>
      </c>
      <c r="B151" t="s">
        <v>4892</v>
      </c>
      <c r="C151" s="9" t="str">
        <f>_xlfn.CONCAT(HEX2DEC(MID(Table14[[#This Row],[Color Code]], 1, 2))," , ",HEX2DEC(MID(Table14[[#This Row],[Color Code]], 3, 2))," , ",HEX2DEC(MID(Table14[[#This Row],[Color Code]], 5, 2)))</f>
        <v>167 , 167 , 180</v>
      </c>
      <c r="D1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36.249137920783717</v>
      </c>
      <c r="E151" t="str">
        <f>Table14[[#This Row],[Color Code]] &amp; " - " &amp;Table14[[#This Row],[Color Name]]</f>
        <v>A7A7B4 - 7184</v>
      </c>
    </row>
    <row r="152" spans="1:5" x14ac:dyDescent="0.35">
      <c r="A152" s="17" t="s">
        <v>3639</v>
      </c>
      <c r="B152" t="s">
        <v>5910</v>
      </c>
      <c r="C152" s="9" t="str">
        <f>_xlfn.CONCAT(HEX2DEC(MID(Table14[[#This Row],[Color Code]], 1, 2))," , ",HEX2DEC(MID(Table14[[#This Row],[Color Code]], 3, 2))," , ",HEX2DEC(MID(Table14[[#This Row],[Color Code]], 5, 2)))</f>
        <v>215 , 176 , 183</v>
      </c>
      <c r="D1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36.249137920783717</v>
      </c>
      <c r="E152" t="str">
        <f>Table14[[#This Row],[Color Code]] &amp; " - " &amp;Table14[[#This Row],[Color Name]]</f>
        <v>D7B0B7 - K032</v>
      </c>
    </row>
    <row r="153" spans="1:5" x14ac:dyDescent="0.35">
      <c r="A153" s="17" t="s">
        <v>3809</v>
      </c>
      <c r="B153" t="s">
        <v>6118</v>
      </c>
      <c r="C153" s="9" t="str">
        <f>_xlfn.CONCAT(HEX2DEC(MID(Table14[[#This Row],[Color Code]], 1, 2))," , ",HEX2DEC(MID(Table14[[#This Row],[Color Code]], 3, 2))," , ",HEX2DEC(MID(Table14[[#This Row],[Color Code]], 5, 2)))</f>
        <v>160 , 158 , 152</v>
      </c>
      <c r="D1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36.359317925395686</v>
      </c>
      <c r="E153" t="str">
        <f>Table14[[#This Row],[Color Code]] &amp; " - " &amp;Table14[[#This Row],[Color Name]]</f>
        <v>A09E98 - K123</v>
      </c>
    </row>
    <row r="154" spans="1:5" x14ac:dyDescent="0.35">
      <c r="A154" s="17" t="s">
        <v>2655</v>
      </c>
      <c r="B154" t="s">
        <v>4860</v>
      </c>
      <c r="C154" s="9" t="str">
        <f>_xlfn.CONCAT(HEX2DEC(MID(Table14[[#This Row],[Color Code]], 1, 2))," , ",HEX2DEC(MID(Table14[[#This Row],[Color Code]], 3, 2))," , ",HEX2DEC(MID(Table14[[#This Row],[Color Code]], 5, 2)))</f>
        <v>172 , 166 , 184</v>
      </c>
      <c r="D1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36.359317925395686</v>
      </c>
      <c r="E154" t="str">
        <f>Table14[[#This Row],[Color Code]] &amp; " - " &amp;Table14[[#This Row],[Color Name]]</f>
        <v>ACA6B8 - 7144</v>
      </c>
    </row>
    <row r="155" spans="1:5" x14ac:dyDescent="0.35">
      <c r="A155" s="17" t="s">
        <v>3098</v>
      </c>
      <c r="B155" t="s">
        <v>5350</v>
      </c>
      <c r="C155" s="9" t="str">
        <f>_xlfn.CONCAT(HEX2DEC(MID(Table14[[#This Row],[Color Code]], 1, 2))," , ",HEX2DEC(MID(Table14[[#This Row],[Color Code]], 3, 2))," , ",HEX2DEC(MID(Table14[[#This Row],[Color Code]], 5, 2)))</f>
        <v>173 , 174 , 124</v>
      </c>
      <c r="D1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36.373066958946424</v>
      </c>
      <c r="E155" t="str">
        <f>Table14[[#This Row],[Color Code]] &amp; " - " &amp;Table14[[#This Row],[Color Name]]</f>
        <v>ADAE7C - 7719</v>
      </c>
    </row>
    <row r="156" spans="1:5" x14ac:dyDescent="0.35">
      <c r="A156" s="17" t="s">
        <v>3832</v>
      </c>
      <c r="B156" t="s">
        <v>6144</v>
      </c>
      <c r="C156" s="9" t="str">
        <f>_xlfn.CONCAT(HEX2DEC(MID(Table14[[#This Row],[Color Code]], 1, 2))," , ",HEX2DEC(MID(Table14[[#This Row],[Color Code]], 3, 2))," , ",HEX2DEC(MID(Table14[[#This Row],[Color Code]], 5, 2)))</f>
        <v>159 , 171 , 170</v>
      </c>
      <c r="D1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36.469165057620941</v>
      </c>
      <c r="E156" t="str">
        <f>Table14[[#This Row],[Color Code]] &amp; " - " &amp;Table14[[#This Row],[Color Name]]</f>
        <v>9FABAA - 8337</v>
      </c>
    </row>
    <row r="157" spans="1:5" x14ac:dyDescent="0.35">
      <c r="A157" s="17" t="s">
        <v>3777</v>
      </c>
      <c r="B157" t="s">
        <v>6072</v>
      </c>
      <c r="C157" s="9" t="str">
        <f>_xlfn.CONCAT(HEX2DEC(MID(Table14[[#This Row],[Color Code]], 1, 2))," , ",HEX2DEC(MID(Table14[[#This Row],[Color Code]], 3, 2))," , ",HEX2DEC(MID(Table14[[#This Row],[Color Code]], 5, 2)))</f>
        <v>159 , 165 , 167</v>
      </c>
      <c r="D1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36.510272527057367</v>
      </c>
      <c r="E157" t="str">
        <f>Table14[[#This Row],[Color Code]] &amp; " - " &amp;Table14[[#This Row],[Color Name]]</f>
        <v>9FA5A7 - 8289</v>
      </c>
    </row>
    <row r="158" spans="1:5" x14ac:dyDescent="0.35">
      <c r="A158" s="17" t="s">
        <v>3776</v>
      </c>
      <c r="B158" t="s">
        <v>6071</v>
      </c>
      <c r="C158" s="9" t="str">
        <f>_xlfn.CONCAT(HEX2DEC(MID(Table14[[#This Row],[Color Code]], 1, 2))," , ",HEX2DEC(MID(Table14[[#This Row],[Color Code]], 3, 2))," , ",HEX2DEC(MID(Table14[[#This Row],[Color Code]], 5, 2)))</f>
        <v>187 , 190 , 188</v>
      </c>
      <c r="D1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36.592348927063973</v>
      </c>
      <c r="E158" t="str">
        <f>Table14[[#This Row],[Color Code]] &amp; " - " &amp;Table14[[#This Row],[Color Name]]</f>
        <v>BBBEBC - 6142</v>
      </c>
    </row>
    <row r="159" spans="1:5" x14ac:dyDescent="0.35">
      <c r="A159" s="17" t="s">
        <v>3726</v>
      </c>
      <c r="B159" t="s">
        <v>6015</v>
      </c>
      <c r="C159" s="9" t="str">
        <f>_xlfn.CONCAT(HEX2DEC(MID(Table14[[#This Row],[Color Code]], 1, 2))," , ",HEX2DEC(MID(Table14[[#This Row],[Color Code]], 3, 2))," , ",HEX2DEC(MID(Table14[[#This Row],[Color Code]], 5, 2)))</f>
        <v>184 , 186 , 189</v>
      </c>
      <c r="D1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36.61966684720111</v>
      </c>
      <c r="E159" t="str">
        <f>Table14[[#This Row],[Color Code]] &amp; " - " &amp;Table14[[#This Row],[Color Name]]</f>
        <v>B8BABD - 0686</v>
      </c>
    </row>
    <row r="160" spans="1:5" x14ac:dyDescent="0.35">
      <c r="A160" s="17" t="s">
        <v>3604</v>
      </c>
      <c r="B160" t="s">
        <v>5873</v>
      </c>
      <c r="C160" s="9" t="str">
        <f>_xlfn.CONCAT(HEX2DEC(MID(Table14[[#This Row],[Color Code]], 1, 2))," , ",HEX2DEC(MID(Table14[[#This Row],[Color Code]], 3, 2))," , ",HEX2DEC(MID(Table14[[#This Row],[Color Code]], 5, 2)))</f>
        <v>208 , 142 , 154</v>
      </c>
      <c r="D1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36.687872655688281</v>
      </c>
      <c r="E160" t="str">
        <f>Table14[[#This Row],[Color Code]] &amp; " - " &amp;Table14[[#This Row],[Color Name]]</f>
        <v>D08E9A - 8119</v>
      </c>
    </row>
    <row r="161" spans="1:5" x14ac:dyDescent="0.35">
      <c r="A161" s="17" t="s">
        <v>4102</v>
      </c>
      <c r="B161" t="s">
        <v>6449</v>
      </c>
      <c r="C161" s="9" t="str">
        <f>_xlfn.CONCAT(HEX2DEC(MID(Table14[[#This Row],[Color Code]], 1, 2))," , ",HEX2DEC(MID(Table14[[#This Row],[Color Code]], 3, 2))," , ",HEX2DEC(MID(Table14[[#This Row],[Color Code]], 5, 2)))</f>
        <v>198 , 147 , 132</v>
      </c>
      <c r="D1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36.728735344413913</v>
      </c>
      <c r="E161" t="str">
        <f>Table14[[#This Row],[Color Code]] &amp; " - " &amp;Table14[[#This Row],[Color Name]]</f>
        <v>C69384 - 8616</v>
      </c>
    </row>
    <row r="162" spans="1:5" x14ac:dyDescent="0.35">
      <c r="A162" s="17" t="s">
        <v>4087</v>
      </c>
      <c r="B162" t="s">
        <v>6433</v>
      </c>
      <c r="C162" s="9" t="str">
        <f>_xlfn.CONCAT(HEX2DEC(MID(Table14[[#This Row],[Color Code]], 1, 2))," , ",HEX2DEC(MID(Table14[[#This Row],[Color Code]], 3, 2))," , ",HEX2DEC(MID(Table14[[#This Row],[Color Code]], 5, 2)))</f>
        <v>191 , 150 , 128</v>
      </c>
      <c r="D1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36.810324638611924</v>
      </c>
      <c r="E162" t="str">
        <f>Table14[[#This Row],[Color Code]] &amp; " - " &amp;Table14[[#This Row],[Color Name]]</f>
        <v>BF9680 - 8600</v>
      </c>
    </row>
    <row r="163" spans="1:5" x14ac:dyDescent="0.35">
      <c r="A163" s="17" t="s">
        <v>3727</v>
      </c>
      <c r="B163" t="s">
        <v>6016</v>
      </c>
      <c r="C163" s="9" t="str">
        <f>_xlfn.CONCAT(HEX2DEC(MID(Table14[[#This Row],[Color Code]], 1, 2))," , ",HEX2DEC(MID(Table14[[#This Row],[Color Code]], 3, 2))," , ",HEX2DEC(MID(Table14[[#This Row],[Color Code]], 5, 2)))</f>
        <v>160 , 166 , 171</v>
      </c>
      <c r="D1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36.891733491393431</v>
      </c>
      <c r="E163" t="str">
        <f>Table14[[#This Row],[Color Code]] &amp; " - " &amp;Table14[[#This Row],[Color Name]]</f>
        <v>A0A6AB - 6129</v>
      </c>
    </row>
    <row r="164" spans="1:5" x14ac:dyDescent="0.35">
      <c r="A164" s="17" t="s">
        <v>3628</v>
      </c>
      <c r="B164" t="s">
        <v>5898</v>
      </c>
      <c r="C164" s="9" t="str">
        <f>_xlfn.CONCAT(HEX2DEC(MID(Table14[[#This Row],[Color Code]], 1, 2))," , ",HEX2DEC(MID(Table14[[#This Row],[Color Code]], 3, 2))," , ",HEX2DEC(MID(Table14[[#This Row],[Color Code]], 5, 2)))</f>
        <v>209 , 149 , 175</v>
      </c>
      <c r="D1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36.945906403822335</v>
      </c>
      <c r="E164" t="str">
        <f>Table14[[#This Row],[Color Code]] &amp; " - " &amp;Table14[[#This Row],[Color Name]]</f>
        <v>D195AF - 8135</v>
      </c>
    </row>
    <row r="165" spans="1:5" x14ac:dyDescent="0.35">
      <c r="A165" s="17" t="s">
        <v>4035</v>
      </c>
      <c r="B165" t="s">
        <v>6377</v>
      </c>
      <c r="C165" s="9" t="str">
        <f>_xlfn.CONCAT(HEX2DEC(MID(Table14[[#This Row],[Color Code]], 1, 2))," , ",HEX2DEC(MID(Table14[[#This Row],[Color Code]], 3, 2))," , ",HEX2DEC(MID(Table14[[#This Row],[Color Code]], 5, 2)))</f>
        <v>187 , 152 , 126</v>
      </c>
      <c r="D1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37.349698793966198</v>
      </c>
      <c r="E165" t="str">
        <f>Table14[[#This Row],[Color Code]] &amp; " - " &amp;Table14[[#This Row],[Color Name]]</f>
        <v>BB987E - 8568</v>
      </c>
    </row>
    <row r="166" spans="1:5" x14ac:dyDescent="0.35">
      <c r="A166" s="17" t="s">
        <v>3989</v>
      </c>
      <c r="B166" t="s">
        <v>6329</v>
      </c>
      <c r="C166" s="9" t="str">
        <f>_xlfn.CONCAT(HEX2DEC(MID(Table14[[#This Row],[Color Code]], 1, 2))," , ",HEX2DEC(MID(Table14[[#This Row],[Color Code]], 3, 2))," , ",HEX2DEC(MID(Table14[[#This Row],[Color Code]], 5, 2)))</f>
        <v>203 , 164 , 121</v>
      </c>
      <c r="D1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37.389838191679836</v>
      </c>
      <c r="E166" t="str">
        <f>Table14[[#This Row],[Color Code]] &amp; " - " &amp;Table14[[#This Row],[Color Name]]</f>
        <v>CBA479 - 8520</v>
      </c>
    </row>
    <row r="167" spans="1:5" x14ac:dyDescent="0.35">
      <c r="A167" s="17" t="s">
        <v>3855</v>
      </c>
      <c r="B167" t="s">
        <v>6175</v>
      </c>
      <c r="C167" s="9" t="str">
        <f>_xlfn.CONCAT(HEX2DEC(MID(Table14[[#This Row],[Color Code]], 1, 2))," , ",HEX2DEC(MID(Table14[[#This Row],[Color Code]], 3, 2))," , ",HEX2DEC(MID(Table14[[#This Row],[Color Code]], 5, 2)))</f>
        <v>187 , 197 , 185</v>
      </c>
      <c r="D1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37.536648758246919</v>
      </c>
      <c r="E167" t="str">
        <f>Table14[[#This Row],[Color Code]] &amp; " - " &amp;Table14[[#This Row],[Color Name]]</f>
        <v>BBC5B9 - 8370</v>
      </c>
    </row>
    <row r="168" spans="1:5" x14ac:dyDescent="0.35">
      <c r="A168" s="17" t="s">
        <v>4174</v>
      </c>
      <c r="B168" t="s">
        <v>6529</v>
      </c>
      <c r="C168" s="9" t="str">
        <f>_xlfn.CONCAT(HEX2DEC(MID(Table14[[#This Row],[Color Code]], 1, 2))," , ",HEX2DEC(MID(Table14[[#This Row],[Color Code]], 3, 2))," , ",HEX2DEC(MID(Table14[[#This Row],[Color Code]], 5, 2)))</f>
        <v>227 , 177 , 169</v>
      </c>
      <c r="D1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37.749172176353746</v>
      </c>
      <c r="E168" t="str">
        <f>Table14[[#This Row],[Color Code]] &amp; " - " &amp;Table14[[#This Row],[Color Name]]</f>
        <v>E3B1A9 - K251</v>
      </c>
    </row>
    <row r="169" spans="1:5" x14ac:dyDescent="0.35">
      <c r="A169" s="17" t="s">
        <v>3075</v>
      </c>
      <c r="B169" t="s">
        <v>5325</v>
      </c>
      <c r="C169" s="9" t="str">
        <f>_xlfn.CONCAT(HEX2DEC(MID(Table14[[#This Row],[Color Code]], 1, 2))," , ",HEX2DEC(MID(Table14[[#This Row],[Color Code]], 3, 2))," , ",HEX2DEC(MID(Table14[[#This Row],[Color Code]], 5, 2)))</f>
        <v>158 , 179 , 139</v>
      </c>
      <c r="D1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37.78888725538237</v>
      </c>
      <c r="E169" t="str">
        <f>Table14[[#This Row],[Color Code]] &amp; " - " &amp;Table14[[#This Row],[Color Name]]</f>
        <v>9EB38B - 7679</v>
      </c>
    </row>
    <row r="170" spans="1:5" x14ac:dyDescent="0.35">
      <c r="A170" s="17" t="s">
        <v>3817</v>
      </c>
      <c r="B170" t="s">
        <v>6126</v>
      </c>
      <c r="C170" s="9" t="str">
        <f>_xlfn.CONCAT(HEX2DEC(MID(Table14[[#This Row],[Color Code]], 1, 2))," , ",HEX2DEC(MID(Table14[[#This Row],[Color Code]], 3, 2))," , ",HEX2DEC(MID(Table14[[#This Row],[Color Code]], 5, 2)))</f>
        <v>188 , 193 , 188</v>
      </c>
      <c r="D1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37.802116342871599</v>
      </c>
      <c r="E170" t="str">
        <f>Table14[[#This Row],[Color Code]] &amp; " - " &amp;Table14[[#This Row],[Color Name]]</f>
        <v>BCC1BC - 0740</v>
      </c>
    </row>
    <row r="171" spans="1:5" x14ac:dyDescent="0.35">
      <c r="A171" s="17" t="s">
        <v>4113</v>
      </c>
      <c r="B171" t="s">
        <v>6463</v>
      </c>
      <c r="C171" s="9" t="str">
        <f>_xlfn.CONCAT(HEX2DEC(MID(Table14[[#This Row],[Color Code]], 1, 2))," , ",HEX2DEC(MID(Table14[[#This Row],[Color Code]], 3, 2))," , ",HEX2DEC(MID(Table14[[#This Row],[Color Code]], 5, 2)))</f>
        <v>229 , 169 , 150</v>
      </c>
      <c r="D1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37.815340802378074</v>
      </c>
      <c r="E171" t="str">
        <f>Table14[[#This Row],[Color Code]] &amp; " - " &amp;Table14[[#This Row],[Color Name]]</f>
        <v>E5A996 - 8633</v>
      </c>
    </row>
    <row r="172" spans="1:5" x14ac:dyDescent="0.35">
      <c r="A172" s="17" t="s">
        <v>3305</v>
      </c>
      <c r="B172" t="s">
        <v>5564</v>
      </c>
      <c r="C172" s="9" t="str">
        <f>_xlfn.CONCAT(HEX2DEC(MID(Table14[[#This Row],[Color Code]], 1, 2))," , ",HEX2DEC(MID(Table14[[#This Row],[Color Code]], 3, 2))," , ",HEX2DEC(MID(Table14[[#This Row],[Color Code]], 5, 2)))</f>
        <v>211 , 177 , 122</v>
      </c>
      <c r="D1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38.131351929875237</v>
      </c>
      <c r="E172" t="str">
        <f>Table14[[#This Row],[Color Code]] &amp; " - " &amp;Table14[[#This Row],[Color Name]]</f>
        <v>D3B17A - 7888</v>
      </c>
    </row>
    <row r="173" spans="1:5" x14ac:dyDescent="0.35">
      <c r="A173" s="17" t="s">
        <v>4114</v>
      </c>
      <c r="B173" t="s">
        <v>6464</v>
      </c>
      <c r="C173" s="9" t="str">
        <f>_xlfn.CONCAT(HEX2DEC(MID(Table14[[#This Row],[Color Code]], 1, 2))," , ",HEX2DEC(MID(Table14[[#This Row],[Color Code]], 3, 2))," , ",HEX2DEC(MID(Table14[[#This Row],[Color Code]], 5, 2)))</f>
        <v>215 , 152 , 135</v>
      </c>
      <c r="D1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38.183766184073569</v>
      </c>
      <c r="E173" t="str">
        <f>Table14[[#This Row],[Color Code]] &amp; " - " &amp;Table14[[#This Row],[Color Name]]</f>
        <v>D79887 - 8632</v>
      </c>
    </row>
    <row r="174" spans="1:5" x14ac:dyDescent="0.35">
      <c r="A174" s="17" t="s">
        <v>3529</v>
      </c>
      <c r="B174" t="s">
        <v>5797</v>
      </c>
      <c r="C174" s="9" t="str">
        <f>_xlfn.CONCAT(HEX2DEC(MID(Table14[[#This Row],[Color Code]], 1, 2))," , ",HEX2DEC(MID(Table14[[#This Row],[Color Code]], 3, 2))," , ",HEX2DEC(MID(Table14[[#This Row],[Color Code]], 5, 2)))</f>
        <v>230 , 171 , 155</v>
      </c>
      <c r="D1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38.209946349085598</v>
      </c>
      <c r="E174" t="str">
        <f>Table14[[#This Row],[Color Code]] &amp; " - " &amp;Table14[[#This Row],[Color Name]]</f>
        <v>E6AB9B - 9990</v>
      </c>
    </row>
    <row r="175" spans="1:5" x14ac:dyDescent="0.35">
      <c r="A175" s="17" t="s">
        <v>4093</v>
      </c>
      <c r="B175" t="s">
        <v>6440</v>
      </c>
      <c r="C175" s="9" t="str">
        <f>_xlfn.CONCAT(HEX2DEC(MID(Table14[[#This Row],[Color Code]], 1, 2))," , ",HEX2DEC(MID(Table14[[#This Row],[Color Code]], 3, 2))," , ",HEX2DEC(MID(Table14[[#This Row],[Color Code]], 5, 2)))</f>
        <v>230 , 179 , 158</v>
      </c>
      <c r="D1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38.327535793473601</v>
      </c>
      <c r="E175" t="str">
        <f>Table14[[#This Row],[Color Code]] &amp; " - " &amp;Table14[[#This Row],[Color Name]]</f>
        <v>E6B39E - 8609</v>
      </c>
    </row>
    <row r="176" spans="1:5" x14ac:dyDescent="0.35">
      <c r="A176" s="17" t="s">
        <v>4120</v>
      </c>
      <c r="B176" t="s">
        <v>6470</v>
      </c>
      <c r="C176" s="9" t="str">
        <f>_xlfn.CONCAT(HEX2DEC(MID(Table14[[#This Row],[Color Code]], 1, 2))," , ",HEX2DEC(MID(Table14[[#This Row],[Color Code]], 3, 2))," , ",HEX2DEC(MID(Table14[[#This Row],[Color Code]], 5, 2)))</f>
        <v>224 , 186 , 173</v>
      </c>
      <c r="D1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38.327535793473601</v>
      </c>
      <c r="E176" t="str">
        <f>Table14[[#This Row],[Color Code]] &amp; " - " &amp;Table14[[#This Row],[Color Name]]</f>
        <v>E0BAAD - 8642</v>
      </c>
    </row>
    <row r="177" spans="1:5" x14ac:dyDescent="0.35">
      <c r="A177" s="17" t="s">
        <v>3611</v>
      </c>
      <c r="B177" t="s">
        <v>5881</v>
      </c>
      <c r="C177" s="9" t="str">
        <f>_xlfn.CONCAT(HEX2DEC(MID(Table14[[#This Row],[Color Code]], 1, 2))," , ",HEX2DEC(MID(Table14[[#This Row],[Color Code]], 3, 2))," , ",HEX2DEC(MID(Table14[[#This Row],[Color Code]], 5, 2)))</f>
        <v>202 , 138 , 157</v>
      </c>
      <c r="D1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38.379682124790975</v>
      </c>
      <c r="E177" t="str">
        <f>Table14[[#This Row],[Color Code]] &amp; " - " &amp;Table14[[#This Row],[Color Name]]</f>
        <v>CA8A9D - K016</v>
      </c>
    </row>
    <row r="178" spans="1:5" x14ac:dyDescent="0.35">
      <c r="A178" s="17" t="s">
        <v>3594</v>
      </c>
      <c r="B178" t="s">
        <v>5863</v>
      </c>
      <c r="C178" s="9" t="str">
        <f>_xlfn.CONCAT(HEX2DEC(MID(Table14[[#This Row],[Color Code]], 1, 2))," , ",HEX2DEC(MID(Table14[[#This Row],[Color Code]], 3, 2))," , ",HEX2DEC(MID(Table14[[#This Row],[Color Code]], 5, 2)))</f>
        <v>221 , 171 , 180</v>
      </c>
      <c r="D1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38.496753109840313</v>
      </c>
      <c r="E178" t="str">
        <f>Table14[[#This Row],[Color Code]] &amp; " - " &amp;Table14[[#This Row],[Color Name]]</f>
        <v>DDABB4 - 8113</v>
      </c>
    </row>
    <row r="179" spans="1:5" x14ac:dyDescent="0.35">
      <c r="A179" s="17" t="s">
        <v>4017</v>
      </c>
      <c r="B179" t="s">
        <v>6359</v>
      </c>
      <c r="C179" s="9" t="str">
        <f>_xlfn.CONCAT(HEX2DEC(MID(Table14[[#This Row],[Color Code]], 1, 2))," , ",HEX2DEC(MID(Table14[[#This Row],[Color Code]], 3, 2))," , ",HEX2DEC(MID(Table14[[#This Row],[Color Code]], 5, 2)))</f>
        <v>219 , 195 , 174</v>
      </c>
      <c r="D1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38.600518131237564</v>
      </c>
      <c r="E179" t="str">
        <f>Table14[[#This Row],[Color Code]] &amp; " - " &amp;Table14[[#This Row],[Color Name]]</f>
        <v>DBC3AE - 8554</v>
      </c>
    </row>
    <row r="180" spans="1:5" x14ac:dyDescent="0.35">
      <c r="A180" s="17" t="s">
        <v>3705</v>
      </c>
      <c r="B180" t="s">
        <v>5990</v>
      </c>
      <c r="C180" s="9" t="str">
        <f>_xlfn.CONCAT(HEX2DEC(MID(Table14[[#This Row],[Color Code]], 1, 2))," , ",HEX2DEC(MID(Table14[[#This Row],[Color Code]], 3, 2))," , ",HEX2DEC(MID(Table14[[#This Row],[Color Code]], 5, 2)))</f>
        <v>161 , 152 , 154</v>
      </c>
      <c r="D1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38.613469152615643</v>
      </c>
      <c r="E180" t="str">
        <f>Table14[[#This Row],[Color Code]] &amp; " - " &amp;Table14[[#This Row],[Color Name]]</f>
        <v>A1989A - K076</v>
      </c>
    </row>
    <row r="181" spans="1:5" x14ac:dyDescent="0.35">
      <c r="A181" s="17" t="s">
        <v>4142</v>
      </c>
      <c r="B181" t="s">
        <v>6495</v>
      </c>
      <c r="C181" s="9" t="str">
        <f>_xlfn.CONCAT(HEX2DEC(MID(Table14[[#This Row],[Color Code]], 1, 2))," , ",HEX2DEC(MID(Table14[[#This Row],[Color Code]], 3, 2))," , ",HEX2DEC(MID(Table14[[#This Row],[Color Code]], 5, 2)))</f>
        <v>230 , 170 , 160</v>
      </c>
      <c r="D1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38.652296180175377</v>
      </c>
      <c r="E181" t="str">
        <f>Table14[[#This Row],[Color Code]] &amp; " - " &amp;Table14[[#This Row],[Color Name]]</f>
        <v>E6AAA0 - 8673</v>
      </c>
    </row>
    <row r="182" spans="1:5" x14ac:dyDescent="0.35">
      <c r="A182" s="17" t="s">
        <v>3926</v>
      </c>
      <c r="B182" t="s">
        <v>6254</v>
      </c>
      <c r="C182" s="9" t="str">
        <f>_xlfn.CONCAT(HEX2DEC(MID(Table14[[#This Row],[Color Code]], 1, 2))," , ",HEX2DEC(MID(Table14[[#This Row],[Color Code]], 3, 2))," , ",HEX2DEC(MID(Table14[[#This Row],[Color Code]], 5, 2)))</f>
        <v>209 , 198 , 181</v>
      </c>
      <c r="D1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38.652296180175377</v>
      </c>
      <c r="E182" t="str">
        <f>Table14[[#This Row],[Color Code]] &amp; " - " &amp;Table14[[#This Row],[Color Name]]</f>
        <v>D1C6B5 - 9514</v>
      </c>
    </row>
    <row r="183" spans="1:5" x14ac:dyDescent="0.35">
      <c r="A183" s="17" t="s">
        <v>3802</v>
      </c>
      <c r="B183" t="s">
        <v>6109</v>
      </c>
      <c r="C183" s="9" t="str">
        <f>_xlfn.CONCAT(HEX2DEC(MID(Table14[[#This Row],[Color Code]], 1, 2))," , ",HEX2DEC(MID(Table14[[#This Row],[Color Code]], 3, 2))," , ",HEX2DEC(MID(Table14[[#This Row],[Color Code]], 5, 2)))</f>
        <v>201 , 195 , 187</v>
      </c>
      <c r="D1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38.794329482541649</v>
      </c>
      <c r="E183" t="str">
        <f>Table14[[#This Row],[Color Code]] &amp; " - " &amp;Table14[[#This Row],[Color Name]]</f>
        <v>C9C3BB - K115</v>
      </c>
    </row>
    <row r="184" spans="1:5" x14ac:dyDescent="0.35">
      <c r="A184" s="17" t="s">
        <v>3825</v>
      </c>
      <c r="B184" t="s">
        <v>6136</v>
      </c>
      <c r="C184" s="9" t="str">
        <f>_xlfn.CONCAT(HEX2DEC(MID(Table14[[#This Row],[Color Code]], 1, 2))," , ",HEX2DEC(MID(Table14[[#This Row],[Color Code]], 3, 2))," , ",HEX2DEC(MID(Table14[[#This Row],[Color Code]], 5, 2)))</f>
        <v>156 , 160 , 154</v>
      </c>
      <c r="D1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39.012818406262319</v>
      </c>
      <c r="E184" t="str">
        <f>Table14[[#This Row],[Color Code]] &amp; " - " &amp;Table14[[#This Row],[Color Name]]</f>
        <v>9CA09A - 8329</v>
      </c>
    </row>
    <row r="185" spans="1:5" x14ac:dyDescent="0.35">
      <c r="A185" s="17" t="s">
        <v>3082</v>
      </c>
      <c r="B185" t="s">
        <v>5333</v>
      </c>
      <c r="C185" s="9" t="str">
        <f>_xlfn.CONCAT(HEX2DEC(MID(Table14[[#This Row],[Color Code]], 1, 2))," , ",HEX2DEC(MID(Table14[[#This Row],[Color Code]], 3, 2))," , ",HEX2DEC(MID(Table14[[#This Row],[Color Code]], 5, 2)))</f>
        <v>159 , 169 , 135</v>
      </c>
      <c r="D1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39.05124837953327</v>
      </c>
      <c r="E185" t="str">
        <f>Table14[[#This Row],[Color Code]] &amp; " - " &amp;Table14[[#This Row],[Color Name]]</f>
        <v>9FA987 - 7688</v>
      </c>
    </row>
    <row r="186" spans="1:5" x14ac:dyDescent="0.35">
      <c r="A186" s="17" t="s">
        <v>3090</v>
      </c>
      <c r="B186" t="s">
        <v>5342</v>
      </c>
      <c r="C186" s="9" t="str">
        <f>_xlfn.CONCAT(HEX2DEC(MID(Table14[[#This Row],[Color Code]], 1, 2))," , ",HEX2DEC(MID(Table14[[#This Row],[Color Code]], 3, 2))," , ",HEX2DEC(MID(Table14[[#This Row],[Color Code]], 5, 2)))</f>
        <v>184 , 199 , 125</v>
      </c>
      <c r="D1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39.242833740697165</v>
      </c>
      <c r="E186" t="str">
        <f>Table14[[#This Row],[Color Code]] &amp; " - " &amp;Table14[[#This Row],[Color Name]]</f>
        <v>B8C77D - 7711</v>
      </c>
    </row>
    <row r="187" spans="1:5" x14ac:dyDescent="0.35">
      <c r="A187" s="17" t="s">
        <v>3837</v>
      </c>
      <c r="B187" t="s">
        <v>6151</v>
      </c>
      <c r="C187" s="9" t="str">
        <f>_xlfn.CONCAT(HEX2DEC(MID(Table14[[#This Row],[Color Code]], 1, 2))," , ",HEX2DEC(MID(Table14[[#This Row],[Color Code]], 3, 2))," , ",HEX2DEC(MID(Table14[[#This Row],[Color Code]], 5, 2)))</f>
        <v>158 , 177 , 175</v>
      </c>
      <c r="D1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39.496835316262995</v>
      </c>
      <c r="E187" t="str">
        <f>Table14[[#This Row],[Color Code]] &amp; " - " &amp;Table14[[#This Row],[Color Name]]</f>
        <v>9EB1AF - 8344</v>
      </c>
    </row>
    <row r="188" spans="1:5" x14ac:dyDescent="0.35">
      <c r="A188" s="17" t="s">
        <v>3950</v>
      </c>
      <c r="B188" t="s">
        <v>6280</v>
      </c>
      <c r="C188" s="9" t="str">
        <f>_xlfn.CONCAT(HEX2DEC(MID(Table14[[#This Row],[Color Code]], 1, 2))," , ",HEX2DEC(MID(Table14[[#This Row],[Color Code]], 3, 2))," , ",HEX2DEC(MID(Table14[[#This Row],[Color Code]], 5, 2)))</f>
        <v>164 , 156 , 134</v>
      </c>
      <c r="D1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39.824615503479755</v>
      </c>
      <c r="E188" t="str">
        <f>Table14[[#This Row],[Color Code]] &amp; " - " &amp;Table14[[#This Row],[Color Name]]</f>
        <v>A49C86 - 8480</v>
      </c>
    </row>
    <row r="189" spans="1:5" x14ac:dyDescent="0.35">
      <c r="A189" s="17" t="s">
        <v>3822</v>
      </c>
      <c r="B189" t="s">
        <v>6133</v>
      </c>
      <c r="C189" s="9" t="str">
        <f>_xlfn.CONCAT(HEX2DEC(MID(Table14[[#This Row],[Color Code]], 1, 2))," , ",HEX2DEC(MID(Table14[[#This Row],[Color Code]], 3, 2))," , ",HEX2DEC(MID(Table14[[#This Row],[Color Code]], 5, 2)))</f>
        <v>197 , 197 , 188</v>
      </c>
      <c r="D1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39.97499218261337</v>
      </c>
      <c r="E189" t="str">
        <f>Table14[[#This Row],[Color Code]] &amp; " - " &amp;Table14[[#This Row],[Color Name]]</f>
        <v>C5C5BC - 8331</v>
      </c>
    </row>
    <row r="190" spans="1:5" x14ac:dyDescent="0.35">
      <c r="A190" s="17" t="s">
        <v>3699</v>
      </c>
      <c r="B190" t="s">
        <v>5984</v>
      </c>
      <c r="C190" s="9" t="str">
        <f>_xlfn.CONCAT(HEX2DEC(MID(Table14[[#This Row],[Color Code]], 1, 2))," , ",HEX2DEC(MID(Table14[[#This Row],[Color Code]], 3, 2))," , ",HEX2DEC(MID(Table14[[#This Row],[Color Code]], 5, 2)))</f>
        <v>161 , 150 , 159</v>
      </c>
      <c r="D1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40.024992192379003</v>
      </c>
      <c r="E190" t="str">
        <f>Table14[[#This Row],[Color Code]] &amp; " - " &amp;Table14[[#This Row],[Color Name]]</f>
        <v>A1969F - 8208</v>
      </c>
    </row>
    <row r="191" spans="1:5" x14ac:dyDescent="0.35">
      <c r="A191" s="17" t="s">
        <v>3848</v>
      </c>
      <c r="B191" t="s">
        <v>6166</v>
      </c>
      <c r="C191" s="9" t="str">
        <f>_xlfn.CONCAT(HEX2DEC(MID(Table14[[#This Row],[Color Code]], 1, 2))," , ",HEX2DEC(MID(Table14[[#This Row],[Color Code]], 3, 2))," , ",HEX2DEC(MID(Table14[[#This Row],[Color Code]], 5, 2)))</f>
        <v>153 , 167 , 150</v>
      </c>
      <c r="D1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40.124805295477756</v>
      </c>
      <c r="E191" t="str">
        <f>Table14[[#This Row],[Color Code]] &amp; " - " &amp;Table14[[#This Row],[Color Name]]</f>
        <v>99A796 - K142</v>
      </c>
    </row>
    <row r="192" spans="1:5" x14ac:dyDescent="0.35">
      <c r="A192" s="17" t="s">
        <v>3555</v>
      </c>
      <c r="B192" t="s">
        <v>5824</v>
      </c>
      <c r="C192" s="9" t="str">
        <f>_xlfn.CONCAT(HEX2DEC(MID(Table14[[#This Row],[Color Code]], 1, 2))," , ",HEX2DEC(MID(Table14[[#This Row],[Color Code]], 3, 2))," , ",HEX2DEC(MID(Table14[[#This Row],[Color Code]], 5, 2)))</f>
        <v>229 , 163 , 165</v>
      </c>
      <c r="D1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40.162171256046406</v>
      </c>
      <c r="E192" t="str">
        <f>Table14[[#This Row],[Color Code]] &amp; " - " &amp;Table14[[#This Row],[Color Name]]</f>
        <v>E5A3A5 - 8080</v>
      </c>
    </row>
    <row r="193" spans="1:5" x14ac:dyDescent="0.35">
      <c r="A193" s="17" t="s">
        <v>4092</v>
      </c>
      <c r="B193" t="s">
        <v>6439</v>
      </c>
      <c r="C193" s="9" t="str">
        <f>_xlfn.CONCAT(HEX2DEC(MID(Table14[[#This Row],[Color Code]], 1, 2))," , ",HEX2DEC(MID(Table14[[#This Row],[Color Code]], 3, 2))," , ",HEX2DEC(MID(Table14[[#This Row],[Color Code]], 5, 2)))</f>
        <v>231 , 182 , 162</v>
      </c>
      <c r="D1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40.23679907746142</v>
      </c>
      <c r="E193" t="str">
        <f>Table14[[#This Row],[Color Code]] &amp; " - " &amp;Table14[[#This Row],[Color Name]]</f>
        <v>E7B6A2 - 8610</v>
      </c>
    </row>
    <row r="194" spans="1:5" x14ac:dyDescent="0.35">
      <c r="A194" s="17" t="s">
        <v>3800</v>
      </c>
      <c r="B194" t="s">
        <v>6102</v>
      </c>
      <c r="C194" s="9" t="str">
        <f>_xlfn.CONCAT(HEX2DEC(MID(Table14[[#This Row],[Color Code]], 1, 2))," , ",HEX2DEC(MID(Table14[[#This Row],[Color Code]], 3, 2))," , ",HEX2DEC(MID(Table14[[#This Row],[Color Code]], 5, 2)))</f>
        <v>156 , 157 , 158</v>
      </c>
      <c r="D1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40.36087214122113</v>
      </c>
      <c r="E194" t="str">
        <f>Table14[[#This Row],[Color Code]] &amp; " - " &amp;Table14[[#This Row],[Color Name]]</f>
        <v>9C9D9E - K109</v>
      </c>
    </row>
    <row r="195" spans="1:5" x14ac:dyDescent="0.35">
      <c r="A195" s="17" t="s">
        <v>3471</v>
      </c>
      <c r="B195" t="s">
        <v>5736</v>
      </c>
      <c r="C195" s="9" t="str">
        <f>_xlfn.CONCAT(HEX2DEC(MID(Table14[[#This Row],[Color Code]], 1, 2))," , ",HEX2DEC(MID(Table14[[#This Row],[Color Code]], 3, 2))," , ",HEX2DEC(MID(Table14[[#This Row],[Color Code]], 5, 2)))</f>
        <v>220 , 160 , 130</v>
      </c>
      <c r="D1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40.422765862815474</v>
      </c>
      <c r="E195" t="str">
        <f>Table14[[#This Row],[Color Code]] &amp; " - " &amp;Table14[[#This Row],[Color Name]]</f>
        <v>DCA082 - 8016</v>
      </c>
    </row>
    <row r="196" spans="1:5" x14ac:dyDescent="0.35">
      <c r="A196" s="17" t="s">
        <v>3596</v>
      </c>
      <c r="B196" t="s">
        <v>5865</v>
      </c>
      <c r="C196" s="9" t="str">
        <f>_xlfn.CONCAT(HEX2DEC(MID(Table14[[#This Row],[Color Code]], 1, 2))," , ",HEX2DEC(MID(Table14[[#This Row],[Color Code]], 3, 2))," , ",HEX2DEC(MID(Table14[[#This Row],[Color Code]], 5, 2)))</f>
        <v>199 , 137 , 143</v>
      </c>
      <c r="D1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40.459856648287818</v>
      </c>
      <c r="E196" t="str">
        <f>Table14[[#This Row],[Color Code]] &amp; " - " &amp;Table14[[#This Row],[Color Name]]</f>
        <v>C7898F - K009</v>
      </c>
    </row>
    <row r="197" spans="1:5" x14ac:dyDescent="0.35">
      <c r="A197" s="17" t="s">
        <v>4195</v>
      </c>
      <c r="B197" t="s">
        <v>6551</v>
      </c>
      <c r="C197" s="9" t="str">
        <f>_xlfn.CONCAT(HEX2DEC(MID(Table14[[#This Row],[Color Code]], 1, 2))," , ",HEX2DEC(MID(Table14[[#This Row],[Color Code]], 3, 2))," , ",HEX2DEC(MID(Table14[[#This Row],[Color Code]], 5, 2)))</f>
        <v>214 , 189 , 186</v>
      </c>
      <c r="D1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40.509258201058188</v>
      </c>
      <c r="E197" t="str">
        <f>Table14[[#This Row],[Color Code]] &amp; " - " &amp;Table14[[#This Row],[Color Name]]</f>
        <v>D6BDBA - 8690</v>
      </c>
    </row>
    <row r="198" spans="1:5" x14ac:dyDescent="0.35">
      <c r="A198" s="17" t="s">
        <v>3819</v>
      </c>
      <c r="B198" t="s">
        <v>6128</v>
      </c>
      <c r="C198" s="9" t="str">
        <f>_xlfn.CONCAT(HEX2DEC(MID(Table14[[#This Row],[Color Code]], 1, 2))," , ",HEX2DEC(MID(Table14[[#This Row],[Color Code]], 3, 2))," , ",HEX2DEC(MID(Table14[[#This Row],[Color Code]], 5, 2)))</f>
        <v>154 , 162 , 162</v>
      </c>
      <c r="D1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40.767634221279017</v>
      </c>
      <c r="E198" t="str">
        <f>Table14[[#This Row],[Color Code]] &amp; " - " &amp;Table14[[#This Row],[Color Name]]</f>
        <v>9AA2A2 - 8313</v>
      </c>
    </row>
    <row r="199" spans="1:5" x14ac:dyDescent="0.35">
      <c r="A199" s="17" t="s">
        <v>3053</v>
      </c>
      <c r="B199" t="s">
        <v>5299</v>
      </c>
      <c r="C199" s="9" t="str">
        <f>_xlfn.CONCAT(HEX2DEC(MID(Table14[[#This Row],[Color Code]], 1, 2))," , ",HEX2DEC(MID(Table14[[#This Row],[Color Code]], 3, 2))," , ",HEX2DEC(MID(Table14[[#This Row],[Color Code]], 5, 2)))</f>
        <v>171 , 196 , 127</v>
      </c>
      <c r="D1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40.8166632639171</v>
      </c>
      <c r="E199" t="str">
        <f>Table14[[#This Row],[Color Code]] &amp; " - " &amp;Table14[[#This Row],[Color Name]]</f>
        <v>ABC47F - 9780</v>
      </c>
    </row>
    <row r="200" spans="1:5" x14ac:dyDescent="0.35">
      <c r="A200" s="17" t="s">
        <v>3089</v>
      </c>
      <c r="B200" t="s">
        <v>5341</v>
      </c>
      <c r="C200" s="9" t="str">
        <f>_xlfn.CONCAT(HEX2DEC(MID(Table14[[#This Row],[Color Code]], 1, 2))," , ",HEX2DEC(MID(Table14[[#This Row],[Color Code]], 3, 2))," , ",HEX2DEC(MID(Table14[[#This Row],[Color Code]], 5, 2)))</f>
        <v>204 , 214 , 154</v>
      </c>
      <c r="D2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40.8166632639171</v>
      </c>
      <c r="E200" t="str">
        <f>Table14[[#This Row],[Color Code]] &amp; " - " &amp;Table14[[#This Row],[Color Name]]</f>
        <v>CCD69A - 7712</v>
      </c>
    </row>
    <row r="201" spans="1:5" x14ac:dyDescent="0.35">
      <c r="A201" s="17" t="s">
        <v>3735</v>
      </c>
      <c r="B201" t="s">
        <v>6024</v>
      </c>
      <c r="C201" s="9" t="str">
        <f>_xlfn.CONCAT(HEX2DEC(MID(Table14[[#This Row],[Color Code]], 1, 2))," , ",HEX2DEC(MID(Table14[[#This Row],[Color Code]], 3, 2))," , ",HEX2DEC(MID(Table14[[#This Row],[Color Code]], 5, 2)))</f>
        <v>157 , 154 , 158</v>
      </c>
      <c r="D2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40.926763859362246</v>
      </c>
      <c r="E201" t="str">
        <f>Table14[[#This Row],[Color Code]] &amp; " - " &amp;Table14[[#This Row],[Color Name]]</f>
        <v>9D9A9E - K086</v>
      </c>
    </row>
    <row r="202" spans="1:5" x14ac:dyDescent="0.35">
      <c r="A202" s="17" t="s">
        <v>3296</v>
      </c>
      <c r="B202" t="s">
        <v>5555</v>
      </c>
      <c r="C202" s="9" t="str">
        <f>_xlfn.CONCAT(HEX2DEC(MID(Table14[[#This Row],[Color Code]], 1, 2))," , ",HEX2DEC(MID(Table14[[#This Row],[Color Code]], 3, 2))," , ",HEX2DEC(MID(Table14[[#This Row],[Color Code]], 5, 2)))</f>
        <v>226 , 189 , 137</v>
      </c>
      <c r="D2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40.93897898091744</v>
      </c>
      <c r="E202" t="str">
        <f>Table14[[#This Row],[Color Code]] &amp; " - " &amp;Table14[[#This Row],[Color Name]]</f>
        <v>E2BD89 - 9879</v>
      </c>
    </row>
    <row r="203" spans="1:5" x14ac:dyDescent="0.35">
      <c r="A203" s="17" t="s">
        <v>2683</v>
      </c>
      <c r="B203" t="s">
        <v>4891</v>
      </c>
      <c r="C203" s="9" t="str">
        <f>_xlfn.CONCAT(HEX2DEC(MID(Table14[[#This Row],[Color Code]], 1, 2))," , ",HEX2DEC(MID(Table14[[#This Row],[Color Code]], 3, 2))," , ",HEX2DEC(MID(Table14[[#This Row],[Color Code]], 5, 2)))</f>
        <v>188 , 183 , 195</v>
      </c>
      <c r="D2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40.987803063838392</v>
      </c>
      <c r="E203" t="str">
        <f>Table14[[#This Row],[Color Code]] &amp; " - " &amp;Table14[[#This Row],[Color Name]]</f>
        <v>BCB7C3 - 7185</v>
      </c>
    </row>
    <row r="204" spans="1:5" x14ac:dyDescent="0.35">
      <c r="A204" s="17" t="s">
        <v>3172</v>
      </c>
      <c r="B204" t="s">
        <v>5430</v>
      </c>
      <c r="C204" s="9" t="str">
        <f>_xlfn.CONCAT(HEX2DEC(MID(Table14[[#This Row],[Color Code]], 1, 2))," , ",HEX2DEC(MID(Table14[[#This Row],[Color Code]], 3, 2))," , ",HEX2DEC(MID(Table14[[#This Row],[Color Code]], 5, 2)))</f>
        <v>204 , 201 , 125</v>
      </c>
      <c r="D2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41.47288270665544</v>
      </c>
      <c r="E204" t="str">
        <f>Table14[[#This Row],[Color Code]] &amp; " - " &amp;Table14[[#This Row],[Color Name]]</f>
        <v>CCC97D - 7767</v>
      </c>
    </row>
    <row r="205" spans="1:5" x14ac:dyDescent="0.35">
      <c r="A205" s="17" t="s">
        <v>3650</v>
      </c>
      <c r="B205" t="s">
        <v>5921</v>
      </c>
      <c r="C205" s="9" t="str">
        <f>_xlfn.CONCAT(HEX2DEC(MID(Table14[[#This Row],[Color Code]], 1, 2))," , ",HEX2DEC(MID(Table14[[#This Row],[Color Code]], 3, 2))," , ",HEX2DEC(MID(Table14[[#This Row],[Color Code]], 5, 2)))</f>
        <v>189 , 134 , 162</v>
      </c>
      <c r="D2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41.701318923986086</v>
      </c>
      <c r="E205" t="str">
        <f>Table14[[#This Row],[Color Code]] &amp; " - " &amp;Table14[[#This Row],[Color Name]]</f>
        <v>BD86A2 - 8143</v>
      </c>
    </row>
    <row r="206" spans="1:5" x14ac:dyDescent="0.35">
      <c r="A206" s="17" t="s">
        <v>4208</v>
      </c>
      <c r="B206" t="s">
        <v>6566</v>
      </c>
      <c r="C206" s="9" t="str">
        <f>_xlfn.CONCAT(HEX2DEC(MID(Table14[[#This Row],[Color Code]], 1, 2))," , ",HEX2DEC(MID(Table14[[#This Row],[Color Code]], 3, 2))," , ",HEX2DEC(MID(Table14[[#This Row],[Color Code]], 5, 2)))</f>
        <v>214 , 185 , 189</v>
      </c>
      <c r="D2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41.71330722922842</v>
      </c>
      <c r="E206" t="str">
        <f>Table14[[#This Row],[Color Code]] &amp; " - " &amp;Table14[[#This Row],[Color Name]]</f>
        <v>D6B9BD - 8714</v>
      </c>
    </row>
    <row r="207" spans="1:5" x14ac:dyDescent="0.35">
      <c r="A207" s="17" t="s">
        <v>3252</v>
      </c>
      <c r="B207" t="s">
        <v>5510</v>
      </c>
      <c r="C207" s="9" t="str">
        <f>_xlfn.CONCAT(HEX2DEC(MID(Table14[[#This Row],[Color Code]], 1, 2))," , ",HEX2DEC(MID(Table14[[#This Row],[Color Code]], 3, 2))," , ",HEX2DEC(MID(Table14[[#This Row],[Color Code]], 5, 2)))</f>
        <v>181 , 165 , 116</v>
      </c>
      <c r="D2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41.737273509418415</v>
      </c>
      <c r="E207" t="str">
        <f>Table14[[#This Row],[Color Code]] &amp; " - " &amp;Table14[[#This Row],[Color Name]]</f>
        <v>B5A574 - 7847</v>
      </c>
    </row>
    <row r="208" spans="1:5" x14ac:dyDescent="0.35">
      <c r="A208" s="17" t="s">
        <v>4204</v>
      </c>
      <c r="B208" t="s">
        <v>6561</v>
      </c>
      <c r="C208" s="9" t="str">
        <f>_xlfn.CONCAT(HEX2DEC(MID(Table14[[#This Row],[Color Code]], 1, 2))," , ",HEX2DEC(MID(Table14[[#This Row],[Color Code]], 3, 2))," , ",HEX2DEC(MID(Table14[[#This Row],[Color Code]], 5, 2)))</f>
        <v>179 , 136 , 147</v>
      </c>
      <c r="D2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41.880783182743848</v>
      </c>
      <c r="E208" t="str">
        <f>Table14[[#This Row],[Color Code]] &amp; " - " &amp;Table14[[#This Row],[Color Name]]</f>
        <v>B38893 - 8703</v>
      </c>
    </row>
    <row r="209" spans="1:5" x14ac:dyDescent="0.35">
      <c r="A209" s="17" t="s">
        <v>4151</v>
      </c>
      <c r="B209" t="s">
        <v>6504</v>
      </c>
      <c r="C209" s="9" t="str">
        <f>_xlfn.CONCAT(HEX2DEC(MID(Table14[[#This Row],[Color Code]], 1, 2))," , ",HEX2DEC(MID(Table14[[#This Row],[Color Code]], 3, 2))," , ",HEX2DEC(MID(Table14[[#This Row],[Color Code]], 5, 2)))</f>
        <v>195 , 147 , 124</v>
      </c>
      <c r="D2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41.880783182743848</v>
      </c>
      <c r="E209" t="str">
        <f>Table14[[#This Row],[Color Code]] &amp; " - " &amp;Table14[[#This Row],[Color Name]]</f>
        <v>C3937C - K226</v>
      </c>
    </row>
    <row r="210" spans="1:5" x14ac:dyDescent="0.35">
      <c r="A210" s="17" t="s">
        <v>3203</v>
      </c>
      <c r="B210" t="s">
        <v>5461</v>
      </c>
      <c r="C210" s="9" t="str">
        <f>_xlfn.CONCAT(HEX2DEC(MID(Table14[[#This Row],[Color Code]], 1, 2))," , ",HEX2DEC(MID(Table14[[#This Row],[Color Code]], 3, 2))," , ",HEX2DEC(MID(Table14[[#This Row],[Color Code]], 5, 2)))</f>
        <v>170 , 161 , 122</v>
      </c>
      <c r="D2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42.059481689626182</v>
      </c>
      <c r="E210" t="str">
        <f>Table14[[#This Row],[Color Code]] &amp; " - " &amp;Table14[[#This Row],[Color Name]]</f>
        <v>AAA17A - 7792</v>
      </c>
    </row>
    <row r="211" spans="1:5" x14ac:dyDescent="0.35">
      <c r="A211" s="17" t="s">
        <v>4009</v>
      </c>
      <c r="B211" t="s">
        <v>6351</v>
      </c>
      <c r="C211" s="9" t="str">
        <f>_xlfn.CONCAT(HEX2DEC(MID(Table14[[#This Row],[Color Code]], 1, 2))," , ",HEX2DEC(MID(Table14[[#This Row],[Color Code]], 3, 2))," , ",HEX2DEC(MID(Table14[[#This Row],[Color Code]], 5, 2)))</f>
        <v>225 , 197 , 169</v>
      </c>
      <c r="D2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42.059481689626182</v>
      </c>
      <c r="E211" t="str">
        <f>Table14[[#This Row],[Color Code]] &amp; " - " &amp;Table14[[#This Row],[Color Name]]</f>
        <v>E1C5A9 - 8538</v>
      </c>
    </row>
    <row r="212" spans="1:5" x14ac:dyDescent="0.35">
      <c r="A212" s="17" t="s">
        <v>3831</v>
      </c>
      <c r="B212" t="s">
        <v>6143</v>
      </c>
      <c r="C212" s="9" t="str">
        <f>_xlfn.CONCAT(HEX2DEC(MID(Table14[[#This Row],[Color Code]], 1, 2))," , ",HEX2DEC(MID(Table14[[#This Row],[Color Code]], 3, 2))," , ",HEX2DEC(MID(Table14[[#This Row],[Color Code]], 5, 2)))</f>
        <v>186 , 196 , 191</v>
      </c>
      <c r="D2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42.107006542854599</v>
      </c>
      <c r="E212" t="str">
        <f>Table14[[#This Row],[Color Code]] &amp; " - " &amp;Table14[[#This Row],[Color Name]]</f>
        <v>BAC4BF - 0603</v>
      </c>
    </row>
    <row r="213" spans="1:5" x14ac:dyDescent="0.35">
      <c r="A213" s="17" t="s">
        <v>3096</v>
      </c>
      <c r="B213" t="s">
        <v>5348</v>
      </c>
      <c r="C213" s="9" t="str">
        <f>_xlfn.CONCAT(HEX2DEC(MID(Table14[[#This Row],[Color Code]], 1, 2))," , ",HEX2DEC(MID(Table14[[#This Row],[Color Code]], 3, 2))," , ",HEX2DEC(MID(Table14[[#This Row],[Color Code]], 5, 2)))</f>
        <v>209 , 211 , 169</v>
      </c>
      <c r="D2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42.201895692018383</v>
      </c>
      <c r="E213" t="str">
        <f>Table14[[#This Row],[Color Code]] &amp; " - " &amp;Table14[[#This Row],[Color Name]]</f>
        <v>D1D3A9 - 7721</v>
      </c>
    </row>
    <row r="214" spans="1:5" x14ac:dyDescent="0.35">
      <c r="A214" s="17" t="s">
        <v>3564</v>
      </c>
      <c r="B214" t="s">
        <v>5833</v>
      </c>
      <c r="C214" s="9" t="str">
        <f>_xlfn.CONCAT(HEX2DEC(MID(Table14[[#This Row],[Color Code]], 1, 2))," , ",HEX2DEC(MID(Table14[[#This Row],[Color Code]], 3, 2))," , ",HEX2DEC(MID(Table14[[#This Row],[Color Code]], 5, 2)))</f>
        <v>229 , 155 , 160</v>
      </c>
      <c r="D2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42.355637169094742</v>
      </c>
      <c r="E214" t="str">
        <f>Table14[[#This Row],[Color Code]] &amp; " - " &amp;Table14[[#This Row],[Color Name]]</f>
        <v>E59BA0 - 9408</v>
      </c>
    </row>
    <row r="215" spans="1:5" x14ac:dyDescent="0.35">
      <c r="A215" s="17" t="s">
        <v>3218</v>
      </c>
      <c r="B215" t="s">
        <v>5476</v>
      </c>
      <c r="C215" s="9" t="str">
        <f>_xlfn.CONCAT(HEX2DEC(MID(Table14[[#This Row],[Color Code]], 1, 2))," , ",HEX2DEC(MID(Table14[[#This Row],[Color Code]], 3, 2))," , ",HEX2DEC(MID(Table14[[#This Row],[Color Code]], 5, 2)))</f>
        <v>217 , 203 , 135</v>
      </c>
      <c r="D2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42.532340636273474</v>
      </c>
      <c r="E215" t="str">
        <f>Table14[[#This Row],[Color Code]] &amp; " - " &amp;Table14[[#This Row],[Color Name]]</f>
        <v>D9CB87 - 7824</v>
      </c>
    </row>
    <row r="216" spans="1:5" x14ac:dyDescent="0.35">
      <c r="A216" s="17" t="s">
        <v>3304</v>
      </c>
      <c r="B216" t="s">
        <v>5563</v>
      </c>
      <c r="C216" s="9" t="str">
        <f>_xlfn.CONCAT(HEX2DEC(MID(Table14[[#This Row],[Color Code]], 1, 2))," , ",HEX2DEC(MID(Table14[[#This Row],[Color Code]], 3, 2))," , ",HEX2DEC(MID(Table14[[#This Row],[Color Code]], 5, 2)))</f>
        <v>227 , 199 , 152</v>
      </c>
      <c r="D2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42.544094772365298</v>
      </c>
      <c r="E216" t="str">
        <f>Table14[[#This Row],[Color Code]] &amp; " - " &amp;Table14[[#This Row],[Color Name]]</f>
        <v>E3C798 - 0358</v>
      </c>
    </row>
    <row r="217" spans="1:5" x14ac:dyDescent="0.35">
      <c r="A217" s="17" t="s">
        <v>3836</v>
      </c>
      <c r="B217" t="s">
        <v>6150</v>
      </c>
      <c r="C217" s="9" t="str">
        <f>_xlfn.CONCAT(HEX2DEC(MID(Table14[[#This Row],[Color Code]], 1, 2))," , ",HEX2DEC(MID(Table14[[#This Row],[Color Code]], 3, 2))," , ",HEX2DEC(MID(Table14[[#This Row],[Color Code]], 5, 2)))</f>
        <v>176 , 195 , 189</v>
      </c>
      <c r="D2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42.567593307585526</v>
      </c>
      <c r="E217" t="str">
        <f>Table14[[#This Row],[Color Code]] &amp; " - " &amp;Table14[[#This Row],[Color Name]]</f>
        <v>B0C3BD - 8345</v>
      </c>
    </row>
    <row r="218" spans="1:5" x14ac:dyDescent="0.35">
      <c r="A218" s="17" t="s">
        <v>4164</v>
      </c>
      <c r="B218" t="s">
        <v>6518</v>
      </c>
      <c r="C218" s="9" t="str">
        <f>_xlfn.CONCAT(HEX2DEC(MID(Table14[[#This Row],[Color Code]], 1, 2))," , ",HEX2DEC(MID(Table14[[#This Row],[Color Code]], 3, 2))," , ",HEX2DEC(MID(Table14[[#This Row],[Color Code]], 5, 2)))</f>
        <v>222 , 192 , 180</v>
      </c>
      <c r="D2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42.591078878093711</v>
      </c>
      <c r="E218" t="str">
        <f>Table14[[#This Row],[Color Code]] &amp; " - " &amp;Table14[[#This Row],[Color Name]]</f>
        <v>DEC0B4 - K240</v>
      </c>
    </row>
    <row r="219" spans="1:5" x14ac:dyDescent="0.35">
      <c r="A219" s="17" t="s">
        <v>4229</v>
      </c>
      <c r="B219" t="s">
        <v>6593</v>
      </c>
      <c r="C219" s="9" t="str">
        <f>_xlfn.CONCAT(HEX2DEC(MID(Table14[[#This Row],[Color Code]], 1, 2))," , ",HEX2DEC(MID(Table14[[#This Row],[Color Code]], 3, 2))," , ",HEX2DEC(MID(Table14[[#This Row],[Color Code]], 5, 2)))</f>
        <v>162 , 146 , 146</v>
      </c>
      <c r="D2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42.684891940826091</v>
      </c>
      <c r="E219" t="str">
        <f>Table14[[#This Row],[Color Code]] &amp; " - " &amp;Table14[[#This Row],[Color Name]]</f>
        <v>A29292 - 8744</v>
      </c>
    </row>
    <row r="220" spans="1:5" x14ac:dyDescent="0.35">
      <c r="A220" s="17" t="s">
        <v>3763</v>
      </c>
      <c r="B220" t="s">
        <v>6056</v>
      </c>
      <c r="C220" s="9" t="str">
        <f>_xlfn.CONCAT(HEX2DEC(MID(Table14[[#This Row],[Color Code]], 1, 2))," , ",HEX2DEC(MID(Table14[[#This Row],[Color Code]], 3, 2))," , ",HEX2DEC(MID(Table14[[#This Row],[Color Code]], 5, 2)))</f>
        <v>163 , 184 , 185</v>
      </c>
      <c r="D2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42.684891940826091</v>
      </c>
      <c r="E220" t="str">
        <f>Table14[[#This Row],[Color Code]] &amp; " - " &amp;Table14[[#This Row],[Color Name]]</f>
        <v>A3B8B9 - 9473</v>
      </c>
    </row>
    <row r="221" spans="1:5" x14ac:dyDescent="0.35">
      <c r="A221" s="17" t="s">
        <v>2692</v>
      </c>
      <c r="B221" t="s">
        <v>4900</v>
      </c>
      <c r="C221" s="9" t="str">
        <f>_xlfn.CONCAT(HEX2DEC(MID(Table14[[#This Row],[Color Code]], 1, 2))," , ",HEX2DEC(MID(Table14[[#This Row],[Color Code]], 3, 2))," , ",HEX2DEC(MID(Table14[[#This Row],[Color Code]], 5, 2)))</f>
        <v>163 , 165 , 185</v>
      </c>
      <c r="D2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42.906875905849866</v>
      </c>
      <c r="E221" t="str">
        <f>Table14[[#This Row],[Color Code]] &amp; " - " &amp;Table14[[#This Row],[Color Name]]</f>
        <v>A3A5B9 - 7193</v>
      </c>
    </row>
    <row r="222" spans="1:5" x14ac:dyDescent="0.35">
      <c r="A222" s="17" t="s">
        <v>4233</v>
      </c>
      <c r="B222" t="s">
        <v>6598</v>
      </c>
      <c r="C222" s="9" t="str">
        <f>_xlfn.CONCAT(HEX2DEC(MID(Table14[[#This Row],[Color Code]], 1, 2))," , ",HEX2DEC(MID(Table14[[#This Row],[Color Code]], 3, 2))," , ",HEX2DEC(MID(Table14[[#This Row],[Color Code]], 5, 2)))</f>
        <v>209 , 197 , 188</v>
      </c>
      <c r="D2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43.150898020782833</v>
      </c>
      <c r="E222" t="str">
        <f>Table14[[#This Row],[Color Code]] &amp; " - " &amp;Table14[[#This Row],[Color Name]]</f>
        <v>D1C5BC - 0N05</v>
      </c>
    </row>
    <row r="223" spans="1:5" x14ac:dyDescent="0.35">
      <c r="A223" s="17" t="s">
        <v>3171</v>
      </c>
      <c r="B223" t="s">
        <v>5429</v>
      </c>
      <c r="C223" s="9" t="str">
        <f>_xlfn.CONCAT(HEX2DEC(MID(Table14[[#This Row],[Color Code]], 1, 2))," , ",HEX2DEC(MID(Table14[[#This Row],[Color Code]], 3, 2))," , ",HEX2DEC(MID(Table14[[#This Row],[Color Code]], 5, 2)))</f>
        <v>215 , 211 , 147</v>
      </c>
      <c r="D2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43.46262762420146</v>
      </c>
      <c r="E223" t="str">
        <f>Table14[[#This Row],[Color Code]] &amp; " - " &amp;Table14[[#This Row],[Color Name]]</f>
        <v>D7D393 - 7768</v>
      </c>
    </row>
    <row r="224" spans="1:5" x14ac:dyDescent="0.35">
      <c r="A224" s="17" t="s">
        <v>3068</v>
      </c>
      <c r="B224" t="s">
        <v>5317</v>
      </c>
      <c r="C224" s="9" t="str">
        <f>_xlfn.CONCAT(HEX2DEC(MID(Table14[[#This Row],[Color Code]], 1, 2))," , ",HEX2DEC(MID(Table14[[#This Row],[Color Code]], 3, 2))," , ",HEX2DEC(MID(Table14[[#This Row],[Color Code]], 5, 2)))</f>
        <v>158 , 188 , 131</v>
      </c>
      <c r="D2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43.600458713183279</v>
      </c>
      <c r="E224" t="str">
        <f>Table14[[#This Row],[Color Code]] &amp; " - " &amp;Table14[[#This Row],[Color Name]]</f>
        <v>9EBC83 - 2370</v>
      </c>
    </row>
    <row r="225" spans="1:5" x14ac:dyDescent="0.35">
      <c r="A225" s="17" t="s">
        <v>3642</v>
      </c>
      <c r="B225" t="s">
        <v>5913</v>
      </c>
      <c r="C225" s="9" t="str">
        <f>_xlfn.CONCAT(HEX2DEC(MID(Table14[[#This Row],[Color Code]], 1, 2))," , ",HEX2DEC(MID(Table14[[#This Row],[Color Code]], 3, 2))," , ",HEX2DEC(MID(Table14[[#This Row],[Color Code]], 5, 2)))</f>
        <v>171 , 137 , 149</v>
      </c>
      <c r="D2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43.829214001622255</v>
      </c>
      <c r="E225" t="str">
        <f>Table14[[#This Row],[Color Code]] &amp; " - " &amp;Table14[[#This Row],[Color Name]]</f>
        <v>AB8995 - K035</v>
      </c>
    </row>
    <row r="226" spans="1:5" x14ac:dyDescent="0.35">
      <c r="A226" s="17" t="s">
        <v>3941</v>
      </c>
      <c r="B226" t="s">
        <v>6270</v>
      </c>
      <c r="C226" s="9" t="str">
        <f>_xlfn.CONCAT(HEX2DEC(MID(Table14[[#This Row],[Color Code]], 1, 2))," , ",HEX2DEC(MID(Table14[[#This Row],[Color Code]], 3, 2))," , ",HEX2DEC(MID(Table14[[#This Row],[Color Code]], 5, 2)))</f>
        <v>208 , 199 , 188</v>
      </c>
      <c r="D2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43.829214001622255</v>
      </c>
      <c r="E226" t="str">
        <f>Table14[[#This Row],[Color Code]] &amp; " - " &amp;Table14[[#This Row],[Color Name]]</f>
        <v>D0C7BC - 8474</v>
      </c>
    </row>
    <row r="227" spans="1:5" x14ac:dyDescent="0.35">
      <c r="A227" s="17" t="s">
        <v>3243</v>
      </c>
      <c r="B227" t="s">
        <v>5501</v>
      </c>
      <c r="C227" s="9" t="str">
        <f>_xlfn.CONCAT(HEX2DEC(MID(Table14[[#This Row],[Color Code]], 1, 2))," , ",HEX2DEC(MID(Table14[[#This Row],[Color Code]], 3, 2))," , ",HEX2DEC(MID(Table14[[#This Row],[Color Code]], 5, 2)))</f>
        <v>223 , 206 , 153</v>
      </c>
      <c r="D2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43.886216514983381</v>
      </c>
      <c r="E227" t="str">
        <f>Table14[[#This Row],[Color Code]] &amp; " - " &amp;Table14[[#This Row],[Color Name]]</f>
        <v>DFCE99 - 7840</v>
      </c>
    </row>
    <row r="228" spans="1:5" x14ac:dyDescent="0.35">
      <c r="A228" s="17" t="s">
        <v>3219</v>
      </c>
      <c r="B228" t="s">
        <v>5477</v>
      </c>
      <c r="C228" s="9" t="str">
        <f>_xlfn.CONCAT(HEX2DEC(MID(Table14[[#This Row],[Color Code]], 1, 2))," , ",HEX2DEC(MID(Table14[[#This Row],[Color Code]], 3, 2))," , ",HEX2DEC(MID(Table14[[#This Row],[Color Code]], 5, 2)))</f>
        <v>213 , 198 , 124</v>
      </c>
      <c r="D2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43.94314508543966</v>
      </c>
      <c r="E228" t="str">
        <f>Table14[[#This Row],[Color Code]] &amp; " - " &amp;Table14[[#This Row],[Color Name]]</f>
        <v>D5C67C - 7823</v>
      </c>
    </row>
    <row r="229" spans="1:5" x14ac:dyDescent="0.35">
      <c r="A229" s="17" t="s">
        <v>4176</v>
      </c>
      <c r="B229" t="s">
        <v>6531</v>
      </c>
      <c r="C229" s="9" t="str">
        <f>_xlfn.CONCAT(HEX2DEC(MID(Table14[[#This Row],[Color Code]], 1, 2))," , ",HEX2DEC(MID(Table14[[#This Row],[Color Code]], 3, 2))," , ",HEX2DEC(MID(Table14[[#This Row],[Color Code]], 5, 2)))</f>
        <v>190 , 137 , 133</v>
      </c>
      <c r="D2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43.954521951671822</v>
      </c>
      <c r="E229" t="str">
        <f>Table14[[#This Row],[Color Code]] &amp; " - " &amp;Table14[[#This Row],[Color Name]]</f>
        <v>BE8985 - K253</v>
      </c>
    </row>
    <row r="230" spans="1:5" x14ac:dyDescent="0.35">
      <c r="A230" s="17" t="s">
        <v>3658</v>
      </c>
      <c r="B230" t="s">
        <v>5930</v>
      </c>
      <c r="C230" s="9" t="str">
        <f>_xlfn.CONCAT(HEX2DEC(MID(Table14[[#This Row],[Color Code]], 1, 2))," , ",HEX2DEC(MID(Table14[[#This Row],[Color Code]], 3, 2))," , ",HEX2DEC(MID(Table14[[#This Row],[Color Code]], 5, 2)))</f>
        <v>198 , 152 , 192</v>
      </c>
      <c r="D2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43.977266854592045</v>
      </c>
      <c r="E230" t="str">
        <f>Table14[[#This Row],[Color Code]] &amp; " - " &amp;Table14[[#This Row],[Color Name]]</f>
        <v>C698C0 - 8167</v>
      </c>
    </row>
    <row r="231" spans="1:5" x14ac:dyDescent="0.35">
      <c r="A231" s="17" t="s">
        <v>3080</v>
      </c>
      <c r="B231" t="s">
        <v>5331</v>
      </c>
      <c r="C231" s="9" t="str">
        <f>_xlfn.CONCAT(HEX2DEC(MID(Table14[[#This Row],[Color Code]], 1, 2))," , ",HEX2DEC(MID(Table14[[#This Row],[Color Code]], 3, 2))," , ",HEX2DEC(MID(Table14[[#This Row],[Color Code]], 5, 2)))</f>
        <v>202 , 210 , 180</v>
      </c>
      <c r="D2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44.158804331639232</v>
      </c>
      <c r="E231" t="str">
        <f>Table14[[#This Row],[Color Code]] &amp; " - " &amp;Table14[[#This Row],[Color Name]]</f>
        <v>CAD2B4 - 7690</v>
      </c>
    </row>
    <row r="232" spans="1:5" x14ac:dyDescent="0.35">
      <c r="A232" s="17" t="s">
        <v>4126</v>
      </c>
      <c r="B232" t="s">
        <v>6478</v>
      </c>
      <c r="C232" s="9" t="str">
        <f>_xlfn.CONCAT(HEX2DEC(MID(Table14[[#This Row],[Color Code]], 1, 2))," , ",HEX2DEC(MID(Table14[[#This Row],[Color Code]], 3, 2))," , ",HEX2DEC(MID(Table14[[#This Row],[Color Code]], 5, 2)))</f>
        <v>217 , 196 , 185</v>
      </c>
      <c r="D2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44.339598554790726</v>
      </c>
      <c r="E232" t="str">
        <f>Table14[[#This Row],[Color Code]] &amp; " - " &amp;Table14[[#This Row],[Color Name]]</f>
        <v>D9C4B9 - 0R08</v>
      </c>
    </row>
    <row r="233" spans="1:5" x14ac:dyDescent="0.35">
      <c r="A233" s="17" t="s">
        <v>2642</v>
      </c>
      <c r="B233" t="s">
        <v>4843</v>
      </c>
      <c r="C233" s="9" t="str">
        <f>_xlfn.CONCAT(HEX2DEC(MID(Table14[[#This Row],[Color Code]], 1, 2))," , ",HEX2DEC(MID(Table14[[#This Row],[Color Code]], 3, 2))," , ",HEX2DEC(MID(Table14[[#This Row],[Color Code]], 5, 2)))</f>
        <v>177 , 160 , 194</v>
      </c>
      <c r="D2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44.395945760846224</v>
      </c>
      <c r="E233" t="str">
        <f>Table14[[#This Row],[Color Code]] &amp; " - " &amp;Table14[[#This Row],[Color Name]]</f>
        <v>B1A0C2 - 9610</v>
      </c>
    </row>
    <row r="234" spans="1:5" x14ac:dyDescent="0.35">
      <c r="A234" s="17" t="s">
        <v>3816</v>
      </c>
      <c r="B234" t="s">
        <v>6125</v>
      </c>
      <c r="C234" s="9" t="str">
        <f>_xlfn.CONCAT(HEX2DEC(MID(Table14[[#This Row],[Color Code]], 1, 2))," , ",HEX2DEC(MID(Table14[[#This Row],[Color Code]], 3, 2))," , ",HEX2DEC(MID(Table14[[#This Row],[Color Code]], 5, 2)))</f>
        <v>198 , 199 , 192</v>
      </c>
      <c r="D2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44.50842616853577</v>
      </c>
      <c r="E234" t="str">
        <f>Table14[[#This Row],[Color Code]] &amp; " - " &amp;Table14[[#This Row],[Color Name]]</f>
        <v>C6C7C0 - K130</v>
      </c>
    </row>
    <row r="235" spans="1:5" x14ac:dyDescent="0.35">
      <c r="A235" s="17" t="s">
        <v>3649</v>
      </c>
      <c r="B235" t="s">
        <v>5920</v>
      </c>
      <c r="C235" s="9" t="str">
        <f>_xlfn.CONCAT(HEX2DEC(MID(Table14[[#This Row],[Color Code]], 1, 2))," , ",HEX2DEC(MID(Table14[[#This Row],[Color Code]], 3, 2))," , ",HEX2DEC(MID(Table14[[#This Row],[Color Code]], 5, 2)))</f>
        <v>213 , 170 , 194</v>
      </c>
      <c r="D2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44.57577817604534</v>
      </c>
      <c r="E235" t="str">
        <f>Table14[[#This Row],[Color Code]] &amp; " - " &amp;Table14[[#This Row],[Color Name]]</f>
        <v>D5AAC2 - 8144</v>
      </c>
    </row>
    <row r="236" spans="1:5" x14ac:dyDescent="0.35">
      <c r="A236" s="17" t="s">
        <v>3045</v>
      </c>
      <c r="B236" t="s">
        <v>5290</v>
      </c>
      <c r="C236" s="9" t="str">
        <f>_xlfn.CONCAT(HEX2DEC(MID(Table14[[#This Row],[Color Code]], 1, 2))," , ",HEX2DEC(MID(Table14[[#This Row],[Color Code]], 3, 2))," , ",HEX2DEC(MID(Table14[[#This Row],[Color Code]], 5, 2)))</f>
        <v>188 , 219 , 149</v>
      </c>
      <c r="D2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44.58699361921591</v>
      </c>
      <c r="E236" t="str">
        <f>Table14[[#This Row],[Color Code]] &amp; " - " &amp;Table14[[#This Row],[Color Name]]</f>
        <v>BCDB95 - 9771</v>
      </c>
    </row>
    <row r="237" spans="1:5" x14ac:dyDescent="0.35">
      <c r="A237" s="17" t="s">
        <v>4165</v>
      </c>
      <c r="B237" t="s">
        <v>6519</v>
      </c>
      <c r="C237" s="9" t="str">
        <f>_xlfn.CONCAT(HEX2DEC(MID(Table14[[#This Row],[Color Code]], 1, 2))," , ",HEX2DEC(MID(Table14[[#This Row],[Color Code]], 3, 2))," , ",HEX2DEC(MID(Table14[[#This Row],[Color Code]], 5, 2)))</f>
        <v>226 , 191 , 179</v>
      </c>
      <c r="D2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44.58699361921591</v>
      </c>
      <c r="E237" t="str">
        <f>Table14[[#This Row],[Color Code]] &amp; " - " &amp;Table14[[#This Row],[Color Name]]</f>
        <v>E2BFB3 - K241</v>
      </c>
    </row>
    <row r="238" spans="1:5" x14ac:dyDescent="0.35">
      <c r="A238" s="17" t="s">
        <v>3001</v>
      </c>
      <c r="B238" t="s">
        <v>5245</v>
      </c>
      <c r="C238" s="9" t="str">
        <f>_xlfn.CONCAT(HEX2DEC(MID(Table14[[#This Row],[Color Code]], 1, 2))," , ",HEX2DEC(MID(Table14[[#This Row],[Color Code]], 3, 2))," , ",HEX2DEC(MID(Table14[[#This Row],[Color Code]], 5, 2)))</f>
        <v>152 , 190 , 168</v>
      </c>
      <c r="D2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44.654227123532216</v>
      </c>
      <c r="E238" t="str">
        <f>Table14[[#This Row],[Color Code]] &amp; " - " &amp;Table14[[#This Row],[Color Name]]</f>
        <v>98BEA8 - 7584</v>
      </c>
    </row>
    <row r="239" spans="1:5" x14ac:dyDescent="0.35">
      <c r="A239" s="17" t="s">
        <v>3633</v>
      </c>
      <c r="B239" t="s">
        <v>5903</v>
      </c>
      <c r="C239" s="9" t="str">
        <f>_xlfn.CONCAT(HEX2DEC(MID(Table14[[#This Row],[Color Code]], 1, 2))," , ",HEX2DEC(MID(Table14[[#This Row],[Color Code]], 3, 2))," , ",HEX2DEC(MID(Table14[[#This Row],[Color Code]], 5, 2)))</f>
        <v>176 , 135 , 143</v>
      </c>
      <c r="D2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44.721359549995796</v>
      </c>
      <c r="E239" t="str">
        <f>Table14[[#This Row],[Color Code]] &amp; " - " &amp;Table14[[#This Row],[Color Name]]</f>
        <v>B0878F - K025</v>
      </c>
    </row>
    <row r="240" spans="1:5" x14ac:dyDescent="0.35">
      <c r="A240" s="17" t="s">
        <v>3810</v>
      </c>
      <c r="B240" t="s">
        <v>6119</v>
      </c>
      <c r="C240" s="9" t="str">
        <f>_xlfn.CONCAT(HEX2DEC(MID(Table14[[#This Row],[Color Code]], 1, 2))," , ",HEX2DEC(MID(Table14[[#This Row],[Color Code]], 3, 2))," , ",HEX2DEC(MID(Table14[[#This Row],[Color Code]], 5, 2)))</f>
        <v>154 , 154 , 144</v>
      </c>
      <c r="D2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44.788391353117383</v>
      </c>
      <c r="E240" t="str">
        <f>Table14[[#This Row],[Color Code]] &amp; " - " &amp;Table14[[#This Row],[Color Name]]</f>
        <v>9A9A90 - K124</v>
      </c>
    </row>
    <row r="241" spans="1:5" x14ac:dyDescent="0.35">
      <c r="A241" s="17" t="s">
        <v>2654</v>
      </c>
      <c r="B241" t="s">
        <v>4859</v>
      </c>
      <c r="C241" s="9" t="str">
        <f>_xlfn.CONCAT(HEX2DEC(MID(Table14[[#This Row],[Color Code]], 1, 2))," , ",HEX2DEC(MID(Table14[[#This Row],[Color Code]], 3, 2))," , ",HEX2DEC(MID(Table14[[#This Row],[Color Code]], 5, 2)))</f>
        <v>195 , 183 , 199</v>
      </c>
      <c r="D2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44.82186966202994</v>
      </c>
      <c r="E241" t="str">
        <f>Table14[[#This Row],[Color Code]] &amp; " - " &amp;Table14[[#This Row],[Color Name]]</f>
        <v>C3B7C7 - 7145</v>
      </c>
    </row>
    <row r="242" spans="1:5" x14ac:dyDescent="0.35">
      <c r="A242" s="17" t="s">
        <v>3008</v>
      </c>
      <c r="B242" t="s">
        <v>5252</v>
      </c>
      <c r="C242" s="9" t="str">
        <f>_xlfn.CONCAT(HEX2DEC(MID(Table14[[#This Row],[Color Code]], 1, 2))," , ",HEX2DEC(MID(Table14[[#This Row],[Color Code]], 3, 2))," , ",HEX2DEC(MID(Table14[[#This Row],[Color Code]], 5, 2)))</f>
        <v>180 , 208 , 183</v>
      </c>
      <c r="D2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44.911023145771239</v>
      </c>
      <c r="E242" t="str">
        <f>Table14[[#This Row],[Color Code]] &amp; " - " &amp;Table14[[#This Row],[Color Name]]</f>
        <v>B4D0B7 - 7625</v>
      </c>
    </row>
    <row r="243" spans="1:5" x14ac:dyDescent="0.35">
      <c r="A243" s="17" t="s">
        <v>3971</v>
      </c>
      <c r="B243" t="s">
        <v>6311</v>
      </c>
      <c r="C243" s="9" t="str">
        <f>_xlfn.CONCAT(HEX2DEC(MID(Table14[[#This Row],[Color Code]], 1, 2))," , ",HEX2DEC(MID(Table14[[#This Row],[Color Code]], 3, 2))," , ",HEX2DEC(MID(Table14[[#This Row],[Color Code]], 5, 2)))</f>
        <v>225 , 203 , 167</v>
      </c>
      <c r="D2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44.911023145771239</v>
      </c>
      <c r="E243" t="str">
        <f>Table14[[#This Row],[Color Code]] &amp; " - " &amp;Table14[[#This Row],[Color Name]]</f>
        <v>E1CBA7 - 8506</v>
      </c>
    </row>
    <row r="244" spans="1:5" x14ac:dyDescent="0.35">
      <c r="A244" s="17" t="s">
        <v>3918</v>
      </c>
      <c r="B244" t="s">
        <v>6246</v>
      </c>
      <c r="C244" s="9" t="str">
        <f>_xlfn.CONCAT(HEX2DEC(MID(Table14[[#This Row],[Color Code]], 1, 2))," , ",HEX2DEC(MID(Table14[[#This Row],[Color Code]], 3, 2))," , ",HEX2DEC(MID(Table14[[#This Row],[Color Code]], 5, 2)))</f>
        <v>210 , 201 , 187</v>
      </c>
      <c r="D2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44.988887516807971</v>
      </c>
      <c r="E244" t="str">
        <f>Table14[[#This Row],[Color Code]] &amp; " - " &amp;Table14[[#This Row],[Color Name]]</f>
        <v>D2C9BB - 8442</v>
      </c>
    </row>
    <row r="245" spans="1:5" x14ac:dyDescent="0.35">
      <c r="A245" s="17" t="s">
        <v>3784</v>
      </c>
      <c r="B245" t="s">
        <v>6079</v>
      </c>
      <c r="C245" s="9" t="str">
        <f>_xlfn.CONCAT(HEX2DEC(MID(Table14[[#This Row],[Color Code]], 1, 2))," , ",HEX2DEC(MID(Table14[[#This Row],[Color Code]], 3, 2))," , ",HEX2DEC(MID(Table14[[#This Row],[Color Code]], 5, 2)))</f>
        <v>200 , 198 , 193</v>
      </c>
      <c r="D2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45.133136385587029</v>
      </c>
      <c r="E245" t="str">
        <f>Table14[[#This Row],[Color Code]] &amp; " - " &amp;Table14[[#This Row],[Color Name]]</f>
        <v>C8C6C1 - 8298</v>
      </c>
    </row>
    <row r="246" spans="1:5" x14ac:dyDescent="0.35">
      <c r="A246" s="17" t="s">
        <v>2634</v>
      </c>
      <c r="B246" t="s">
        <v>4834</v>
      </c>
      <c r="C246" s="9" t="str">
        <f>_xlfn.CONCAT(HEX2DEC(MID(Table14[[#This Row],[Color Code]], 1, 2))," , ",HEX2DEC(MID(Table14[[#This Row],[Color Code]], 3, 2))," , ",HEX2DEC(MID(Table14[[#This Row],[Color Code]], 5, 2)))</f>
        <v>178 , 150 , 190</v>
      </c>
      <c r="D2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45.232731511594565</v>
      </c>
      <c r="E246" t="str">
        <f>Table14[[#This Row],[Color Code]] &amp; " - " &amp;Table14[[#This Row],[Color Name]]</f>
        <v>B296BE - 9120</v>
      </c>
    </row>
    <row r="247" spans="1:5" x14ac:dyDescent="0.35">
      <c r="A247" s="17" t="s">
        <v>3750</v>
      </c>
      <c r="B247" t="s">
        <v>6039</v>
      </c>
      <c r="C247" s="9" t="str">
        <f>_xlfn.CONCAT(HEX2DEC(MID(Table14[[#This Row],[Color Code]], 1, 2))," , ",HEX2DEC(MID(Table14[[#This Row],[Color Code]], 3, 2))," , ",HEX2DEC(MID(Table14[[#This Row],[Color Code]], 5, 2)))</f>
        <v>159 , 178 , 186</v>
      </c>
      <c r="D2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45.376205218153707</v>
      </c>
      <c r="E247" t="str">
        <f>Table14[[#This Row],[Color Code]] &amp; " - " &amp;Table14[[#This Row],[Color Name]]</f>
        <v>9FB2BA - 8266</v>
      </c>
    </row>
    <row r="248" spans="1:5" x14ac:dyDescent="0.35">
      <c r="A248" s="17" t="s">
        <v>3161</v>
      </c>
      <c r="B248" t="s">
        <v>5417</v>
      </c>
      <c r="C248" s="9" t="str">
        <f>_xlfn.CONCAT(HEX2DEC(MID(Table14[[#This Row],[Color Code]], 1, 2))," , ",HEX2DEC(MID(Table14[[#This Row],[Color Code]], 3, 2))," , ",HEX2DEC(MID(Table14[[#This Row],[Color Code]], 5, 2)))</f>
        <v>202 , 186 , 112</v>
      </c>
      <c r="D2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45.4972526643093</v>
      </c>
      <c r="E248" t="str">
        <f>Table14[[#This Row],[Color Code]] &amp; " - " &amp;Table14[[#This Row],[Color Name]]</f>
        <v>CABA70 - 9841</v>
      </c>
    </row>
    <row r="249" spans="1:5" x14ac:dyDescent="0.35">
      <c r="A249" s="17" t="s">
        <v>3947</v>
      </c>
      <c r="B249" t="s">
        <v>6277</v>
      </c>
      <c r="C249" s="9" t="str">
        <f>_xlfn.CONCAT(HEX2DEC(MID(Table14[[#This Row],[Color Code]], 1, 2))," , ",HEX2DEC(MID(Table14[[#This Row],[Color Code]], 3, 2))," , ",HEX2DEC(MID(Table14[[#This Row],[Color Code]], 5, 2)))</f>
        <v>213 , 205 , 182</v>
      </c>
      <c r="D2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45.4972526643093</v>
      </c>
      <c r="E249" t="str">
        <f>Table14[[#This Row],[Color Code]] &amp; " - " &amp;Table14[[#This Row],[Color Name]]</f>
        <v>D5CDB6 - 8482</v>
      </c>
    </row>
    <row r="250" spans="1:5" x14ac:dyDescent="0.35">
      <c r="A250" s="17" t="s">
        <v>2729</v>
      </c>
      <c r="B250" t="s">
        <v>4940</v>
      </c>
      <c r="C250" s="9" t="str">
        <f>_xlfn.CONCAT(HEX2DEC(MID(Table14[[#This Row],[Color Code]], 1, 2))," , ",HEX2DEC(MID(Table14[[#This Row],[Color Code]], 3, 2))," , ",HEX2DEC(MID(Table14[[#This Row],[Color Code]], 5, 2)))</f>
        <v>158 , 169 , 185</v>
      </c>
      <c r="D2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45.738386504117088</v>
      </c>
      <c r="E250" t="str">
        <f>Table14[[#This Row],[Color Code]] &amp; " - " &amp;Table14[[#This Row],[Color Name]]</f>
        <v>9EA9B9 - 7232</v>
      </c>
    </row>
    <row r="251" spans="1:5" x14ac:dyDescent="0.35">
      <c r="A251" s="17" t="s">
        <v>3632</v>
      </c>
      <c r="B251" t="s">
        <v>5902</v>
      </c>
      <c r="C251" s="9" t="str">
        <f>_xlfn.CONCAT(HEX2DEC(MID(Table14[[#This Row],[Color Code]], 1, 2))," , ",HEX2DEC(MID(Table14[[#This Row],[Color Code]], 3, 2))," , ",HEX2DEC(MID(Table14[[#This Row],[Color Code]], 5, 2)))</f>
        <v>214 , 188 , 193</v>
      </c>
      <c r="D2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45.793012567421243</v>
      </c>
      <c r="E251" t="str">
        <f>Table14[[#This Row],[Color Code]] &amp; " - " &amp;Table14[[#This Row],[Color Name]]</f>
        <v>D6BCC1 - K024</v>
      </c>
    </row>
    <row r="252" spans="1:5" x14ac:dyDescent="0.35">
      <c r="A252" s="17" t="s">
        <v>3295</v>
      </c>
      <c r="B252" t="s">
        <v>5554</v>
      </c>
      <c r="C252" s="9" t="str">
        <f>_xlfn.CONCAT(HEX2DEC(MID(Table14[[#This Row],[Color Code]], 1, 2))," , ",HEX2DEC(MID(Table14[[#This Row],[Color Code]], 3, 2))," , ",HEX2DEC(MID(Table14[[#This Row],[Color Code]], 5, 2)))</f>
        <v>228 , 203 , 161</v>
      </c>
      <c r="D2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46</v>
      </c>
      <c r="E252" t="str">
        <f>Table14[[#This Row],[Color Code]] &amp; " - " &amp;Table14[[#This Row],[Color Name]]</f>
        <v>E4CBA1 - 9878</v>
      </c>
    </row>
    <row r="253" spans="1:5" x14ac:dyDescent="0.35">
      <c r="A253" s="17" t="s">
        <v>4078</v>
      </c>
      <c r="B253" t="s">
        <v>6424</v>
      </c>
      <c r="C253" s="9" t="str">
        <f>_xlfn.CONCAT(HEX2DEC(MID(Table14[[#This Row],[Color Code]], 1, 2))," , ",HEX2DEC(MID(Table14[[#This Row],[Color Code]], 3, 2))," , ",HEX2DEC(MID(Table14[[#This Row],[Color Code]], 5, 2)))</f>
        <v>234 , 192 , 163</v>
      </c>
      <c r="D2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46.010868281309364</v>
      </c>
      <c r="E253" t="str">
        <f>Table14[[#This Row],[Color Code]] &amp; " - " &amp;Table14[[#This Row],[Color Name]]</f>
        <v>EAC0A3 - 5219</v>
      </c>
    </row>
    <row r="254" spans="1:5" x14ac:dyDescent="0.35">
      <c r="A254" s="17" t="s">
        <v>3872</v>
      </c>
      <c r="B254" t="s">
        <v>6193</v>
      </c>
      <c r="C254" s="9" t="str">
        <f>_xlfn.CONCAT(HEX2DEC(MID(Table14[[#This Row],[Color Code]], 1, 2))," , ",HEX2DEC(MID(Table14[[#This Row],[Color Code]], 3, 2))," , ",HEX2DEC(MID(Table14[[#This Row],[Color Code]], 5, 2)))</f>
        <v>150 , 162 , 141</v>
      </c>
      <c r="D2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46.141087980237309</v>
      </c>
      <c r="E254" t="str">
        <f>Table14[[#This Row],[Color Code]] &amp; " - " &amp;Table14[[#This Row],[Color Name]]</f>
        <v>96A28D - 8384</v>
      </c>
    </row>
    <row r="255" spans="1:5" x14ac:dyDescent="0.35">
      <c r="A255" s="17" t="s">
        <v>3040</v>
      </c>
      <c r="B255" t="s">
        <v>5285</v>
      </c>
      <c r="C255" s="9" t="str">
        <f>_xlfn.CONCAT(HEX2DEC(MID(Table14[[#This Row],[Color Code]], 1, 2))," , ",HEX2DEC(MID(Table14[[#This Row],[Color Code]], 3, 2))," , ",HEX2DEC(MID(Table14[[#This Row],[Color Code]], 5, 2)))</f>
        <v>194 , 221 , 159</v>
      </c>
      <c r="D2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46.216880033165374</v>
      </c>
      <c r="E255" t="str">
        <f>Table14[[#This Row],[Color Code]] &amp; " - " &amp;Table14[[#This Row],[Color Name]]</f>
        <v>C2DD9F - 7664</v>
      </c>
    </row>
    <row r="256" spans="1:5" x14ac:dyDescent="0.35">
      <c r="A256" s="17" t="s">
        <v>3678</v>
      </c>
      <c r="B256" t="s">
        <v>5953</v>
      </c>
      <c r="C256" s="9" t="str">
        <f>_xlfn.CONCAT(HEX2DEC(MID(Table14[[#This Row],[Color Code]], 1, 2))," , ",HEX2DEC(MID(Table14[[#This Row],[Color Code]], 3, 2))," , ",HEX2DEC(MID(Table14[[#This Row],[Color Code]], 5, 2)))</f>
        <v>160 , 142 , 160</v>
      </c>
      <c r="D2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46.238512086787566</v>
      </c>
      <c r="E256" t="str">
        <f>Table14[[#This Row],[Color Code]] &amp; " - " &amp;Table14[[#This Row],[Color Name]]</f>
        <v>A08EA0 - 8200</v>
      </c>
    </row>
    <row r="257" spans="1:5" x14ac:dyDescent="0.35">
      <c r="A257" s="17" t="s">
        <v>3795</v>
      </c>
      <c r="B257" t="s">
        <v>6094</v>
      </c>
      <c r="C257" s="9" t="str">
        <f>_xlfn.CONCAT(HEX2DEC(MID(Table14[[#This Row],[Color Code]], 1, 2))," , ",HEX2DEC(MID(Table14[[#This Row],[Color Code]], 3, 2))," , ",HEX2DEC(MID(Table14[[#This Row],[Color Code]], 5, 2)))</f>
        <v>199 , 199 , 194</v>
      </c>
      <c r="D2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46.324939287601879</v>
      </c>
      <c r="E257" t="str">
        <f>Table14[[#This Row],[Color Code]] &amp; " - " &amp;Table14[[#This Row],[Color Name]]</f>
        <v>C7C7C2 - 8307</v>
      </c>
    </row>
    <row r="258" spans="1:5" x14ac:dyDescent="0.35">
      <c r="A258" s="17" t="s">
        <v>3463</v>
      </c>
      <c r="B258" t="s">
        <v>5728</v>
      </c>
      <c r="C258" s="9" t="str">
        <f>_xlfn.CONCAT(HEX2DEC(MID(Table14[[#This Row],[Color Code]], 1, 2))," , ",HEX2DEC(MID(Table14[[#This Row],[Color Code]], 3, 2))," , ",HEX2DEC(MID(Table14[[#This Row],[Color Code]], 5, 2)))</f>
        <v>238 , 178 , 149</v>
      </c>
      <c r="D2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46.486557196677836</v>
      </c>
      <c r="E258" t="str">
        <f>Table14[[#This Row],[Color Code]] &amp; " - " &amp;Table14[[#This Row],[Color Name]]</f>
        <v>EEB295 - 8008</v>
      </c>
    </row>
    <row r="259" spans="1:5" x14ac:dyDescent="0.35">
      <c r="A259" s="17" t="s">
        <v>3123</v>
      </c>
      <c r="B259" t="s">
        <v>5378</v>
      </c>
      <c r="C259" s="9" t="str">
        <f>_xlfn.CONCAT(HEX2DEC(MID(Table14[[#This Row],[Color Code]], 1, 2))," , ",HEX2DEC(MID(Table14[[#This Row],[Color Code]], 3, 2))," , ",HEX2DEC(MID(Table14[[#This Row],[Color Code]], 5, 2)))</f>
        <v>202 , 219 , 143</v>
      </c>
      <c r="D2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46.690470119715009</v>
      </c>
      <c r="E259" t="str">
        <f>Table14[[#This Row],[Color Code]] &amp; " - " &amp;Table14[[#This Row],[Color Name]]</f>
        <v>CADB8F - 9810</v>
      </c>
    </row>
    <row r="260" spans="1:5" x14ac:dyDescent="0.35">
      <c r="A260" s="17" t="s">
        <v>3662</v>
      </c>
      <c r="B260" t="s">
        <v>5934</v>
      </c>
      <c r="C260" s="9" t="str">
        <f>_xlfn.CONCAT(HEX2DEC(MID(Table14[[#This Row],[Color Code]], 1, 2))," , ",HEX2DEC(MID(Table14[[#This Row],[Color Code]], 3, 2))," , ",HEX2DEC(MID(Table14[[#This Row],[Color Code]], 5, 2)))</f>
        <v>208 , 191 , 196</v>
      </c>
      <c r="D2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46.82947789587238</v>
      </c>
      <c r="E260" t="str">
        <f>Table14[[#This Row],[Color Code]] &amp; " - " &amp;Table14[[#This Row],[Color Name]]</f>
        <v>D0BFC4 - K042</v>
      </c>
    </row>
    <row r="261" spans="1:5" x14ac:dyDescent="0.35">
      <c r="A261" s="17" t="s">
        <v>4129</v>
      </c>
      <c r="B261" t="s">
        <v>6481</v>
      </c>
      <c r="C261" s="9" t="str">
        <f>_xlfn.CONCAT(HEX2DEC(MID(Table14[[#This Row],[Color Code]], 1, 2))," , ",HEX2DEC(MID(Table14[[#This Row],[Color Code]], 3, 2))," , ",HEX2DEC(MID(Table14[[#This Row],[Color Code]], 5, 2)))</f>
        <v>167 , 142 , 133</v>
      </c>
      <c r="D2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46.882832678924167</v>
      </c>
      <c r="E261" t="str">
        <f>Table14[[#This Row],[Color Code]] &amp; " - " &amp;Table14[[#This Row],[Color Name]]</f>
        <v>A78E85 - 4115</v>
      </c>
    </row>
    <row r="262" spans="1:5" x14ac:dyDescent="0.35">
      <c r="A262" s="17" t="s">
        <v>3748</v>
      </c>
      <c r="B262" t="s">
        <v>6037</v>
      </c>
      <c r="C262" s="9" t="str">
        <f>_xlfn.CONCAT(HEX2DEC(MID(Table14[[#This Row],[Color Code]], 1, 2))," , ",HEX2DEC(MID(Table14[[#This Row],[Color Code]], 3, 2))," , ",HEX2DEC(MID(Table14[[#This Row],[Color Code]], 5, 2)))</f>
        <v>193 , 198 , 196</v>
      </c>
      <c r="D2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47.021271782034987</v>
      </c>
      <c r="E262" t="str">
        <f>Table14[[#This Row],[Color Code]] &amp; " - " &amp;Table14[[#This Row],[Color Name]]</f>
        <v>C1C6C4 - K092</v>
      </c>
    </row>
    <row r="263" spans="1:5" x14ac:dyDescent="0.35">
      <c r="A263" s="17" t="s">
        <v>4163</v>
      </c>
      <c r="B263" t="s">
        <v>6517</v>
      </c>
      <c r="C263" s="9" t="str">
        <f>_xlfn.CONCAT(HEX2DEC(MID(Table14[[#This Row],[Color Code]], 1, 2))," , ",HEX2DEC(MID(Table14[[#This Row],[Color Code]], 3, 2))," , ",HEX2DEC(MID(Table14[[#This Row],[Color Code]], 5, 2)))</f>
        <v>217 , 199 , 187</v>
      </c>
      <c r="D2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47.169905660283021</v>
      </c>
      <c r="E263" t="str">
        <f>Table14[[#This Row],[Color Code]] &amp; " - " &amp;Table14[[#This Row],[Color Name]]</f>
        <v>D9C7BB - K239</v>
      </c>
    </row>
    <row r="264" spans="1:5" x14ac:dyDescent="0.35">
      <c r="A264" s="17" t="s">
        <v>4159</v>
      </c>
      <c r="B264" t="s">
        <v>6512</v>
      </c>
      <c r="C264" s="9" t="str">
        <f>_xlfn.CONCAT(HEX2DEC(MID(Table14[[#This Row],[Color Code]], 1, 2))," , ",HEX2DEC(MID(Table14[[#This Row],[Color Code]], 3, 2))," , ",HEX2DEC(MID(Table14[[#This Row],[Color Code]], 5, 2)))</f>
        <v>230 , 190 , 179</v>
      </c>
      <c r="D2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47.381430961928537</v>
      </c>
      <c r="E264" t="str">
        <f>Table14[[#This Row],[Color Code]] &amp; " - " &amp;Table14[[#This Row],[Color Name]]</f>
        <v>E6BEB3 - K234</v>
      </c>
    </row>
    <row r="265" spans="1:5" x14ac:dyDescent="0.35">
      <c r="A265" s="17" t="s">
        <v>3032</v>
      </c>
      <c r="B265" t="s">
        <v>5276</v>
      </c>
      <c r="C265" s="9" t="str">
        <f>_xlfn.CONCAT(HEX2DEC(MID(Table14[[#This Row],[Color Code]], 1, 2))," , ",HEX2DEC(MID(Table14[[#This Row],[Color Code]], 3, 2))," , ",HEX2DEC(MID(Table14[[#This Row],[Color Code]], 5, 2)))</f>
        <v>181 , 220 , 165</v>
      </c>
      <c r="D2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47.391982444291145</v>
      </c>
      <c r="E265" t="str">
        <f>Table14[[#This Row],[Color Code]] &amp; " - " &amp;Table14[[#This Row],[Color Name]]</f>
        <v>B5DCA5 - 7656</v>
      </c>
    </row>
    <row r="266" spans="1:5" x14ac:dyDescent="0.35">
      <c r="A266" s="17" t="s">
        <v>3297</v>
      </c>
      <c r="B266" t="s">
        <v>5556</v>
      </c>
      <c r="C266" s="9" t="str">
        <f>_xlfn.CONCAT(HEX2DEC(MID(Table14[[#This Row],[Color Code]], 1, 2))," , ",HEX2DEC(MID(Table14[[#This Row],[Color Code]], 3, 2))," , ",HEX2DEC(MID(Table14[[#This Row],[Color Code]], 5, 2)))</f>
        <v>212 , 174 , 112</v>
      </c>
      <c r="D2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47.434164902525687</v>
      </c>
      <c r="E266" t="str">
        <f>Table14[[#This Row],[Color Code]] &amp; " - " &amp;Table14[[#This Row],[Color Name]]</f>
        <v>D4AE70 - 9880</v>
      </c>
    </row>
    <row r="267" spans="1:5" x14ac:dyDescent="0.35">
      <c r="A267" s="17" t="s">
        <v>4202</v>
      </c>
      <c r="B267" t="s">
        <v>6559</v>
      </c>
      <c r="C267" s="9" t="str">
        <f>_xlfn.CONCAT(HEX2DEC(MID(Table14[[#This Row],[Color Code]], 1, 2))," , ",HEX2DEC(MID(Table14[[#This Row],[Color Code]], 3, 2))," , ",HEX2DEC(MID(Table14[[#This Row],[Color Code]], 5, 2)))</f>
        <v>223 , 184 , 190</v>
      </c>
      <c r="D2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47.613023428469653</v>
      </c>
      <c r="E267" t="str">
        <f>Table14[[#This Row],[Color Code]] &amp; " - " &amp;Table14[[#This Row],[Color Name]]</f>
        <v>DFB8BE - 8705</v>
      </c>
    </row>
    <row r="268" spans="1:5" x14ac:dyDescent="0.35">
      <c r="A268" s="17" t="s">
        <v>4043</v>
      </c>
      <c r="B268" t="s">
        <v>6385</v>
      </c>
      <c r="C268" s="9" t="str">
        <f>_xlfn.CONCAT(HEX2DEC(MID(Table14[[#This Row],[Color Code]], 1, 2))," , ",HEX2DEC(MID(Table14[[#This Row],[Color Code]], 3, 2))," , ",HEX2DEC(MID(Table14[[#This Row],[Color Code]], 5, 2)))</f>
        <v>177 , 145 , 121</v>
      </c>
      <c r="D2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47.75981574503821</v>
      </c>
      <c r="E268" t="str">
        <f>Table14[[#This Row],[Color Code]] &amp; " - " &amp;Table14[[#This Row],[Color Name]]</f>
        <v>B19179 - 8576</v>
      </c>
    </row>
    <row r="269" spans="1:5" x14ac:dyDescent="0.35">
      <c r="A269" s="17" t="s">
        <v>3979</v>
      </c>
      <c r="B269" t="s">
        <v>6319</v>
      </c>
      <c r="C269" s="9" t="str">
        <f>_xlfn.CONCAT(HEX2DEC(MID(Table14[[#This Row],[Color Code]], 1, 2))," , ",HEX2DEC(MID(Table14[[#This Row],[Color Code]], 3, 2))," , ",HEX2DEC(MID(Table14[[#This Row],[Color Code]], 5, 2)))</f>
        <v>224 , 205 , 174</v>
      </c>
      <c r="D2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47.801673610868477</v>
      </c>
      <c r="E269" t="str">
        <f>Table14[[#This Row],[Color Code]] &amp; " - " &amp;Table14[[#This Row],[Color Name]]</f>
        <v>E0CDAE - 4214</v>
      </c>
    </row>
    <row r="270" spans="1:5" x14ac:dyDescent="0.35">
      <c r="A270" s="17" t="s">
        <v>3886</v>
      </c>
      <c r="B270" t="s">
        <v>6208</v>
      </c>
      <c r="C270" s="9" t="str">
        <f>_xlfn.CONCAT(HEX2DEC(MID(Table14[[#This Row],[Color Code]], 1, 2))," , ",HEX2DEC(MID(Table14[[#This Row],[Color Code]], 3, 2))," , ",HEX2DEC(MID(Table14[[#This Row],[Color Code]], 5, 2)))</f>
        <v>152 , 155 , 138</v>
      </c>
      <c r="D2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47.843494855622744</v>
      </c>
      <c r="E270" t="str">
        <f>Table14[[#This Row],[Color Code]] &amp; " - " &amp;Table14[[#This Row],[Color Name]]</f>
        <v>989B8A - 8400</v>
      </c>
    </row>
    <row r="271" spans="1:5" x14ac:dyDescent="0.35">
      <c r="A271" s="17" t="s">
        <v>3610</v>
      </c>
      <c r="B271" t="s">
        <v>5880</v>
      </c>
      <c r="C271" s="9" t="str">
        <f>_xlfn.CONCAT(HEX2DEC(MID(Table14[[#This Row],[Color Code]], 1, 2))," , ",HEX2DEC(MID(Table14[[#This Row],[Color Code]], 3, 2))," , ",HEX2DEC(MID(Table14[[#This Row],[Color Code]], 5, 2)))</f>
        <v>229 , 146 , 164</v>
      </c>
      <c r="D2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47.864391775097282</v>
      </c>
      <c r="E271" t="str">
        <f>Table14[[#This Row],[Color Code]] &amp; " - " &amp;Table14[[#This Row],[Color Name]]</f>
        <v>E592A4 - K015</v>
      </c>
    </row>
    <row r="272" spans="1:5" x14ac:dyDescent="0.35">
      <c r="A272" s="17" t="s">
        <v>3041</v>
      </c>
      <c r="B272" t="s">
        <v>5286</v>
      </c>
      <c r="C272" s="9" t="str">
        <f>_xlfn.CONCAT(HEX2DEC(MID(Table14[[#This Row],[Color Code]], 1, 2))," , ",HEX2DEC(MID(Table14[[#This Row],[Color Code]], 3, 2))," , ",HEX2DEC(MID(Table14[[#This Row],[Color Code]], 5, 2)))</f>
        <v>172 , 212 , 132</v>
      </c>
      <c r="D2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47.937459256827538</v>
      </c>
      <c r="E272" t="str">
        <f>Table14[[#This Row],[Color Code]] &amp; " - " &amp;Table14[[#This Row],[Color Name]]</f>
        <v>ACD484 - 7663</v>
      </c>
    </row>
    <row r="273" spans="1:5" x14ac:dyDescent="0.35">
      <c r="A273" s="17" t="s">
        <v>2629</v>
      </c>
      <c r="B273" t="s">
        <v>4829</v>
      </c>
      <c r="C273" s="9" t="str">
        <f>_xlfn.CONCAT(HEX2DEC(MID(Table14[[#This Row],[Color Code]], 1, 2))," , ",HEX2DEC(MID(Table14[[#This Row],[Color Code]], 3, 2))," , ",HEX2DEC(MID(Table14[[#This Row],[Color Code]], 5, 2)))</f>
        <v>187 , 149 , 195</v>
      </c>
      <c r="D2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47.968739820845826</v>
      </c>
      <c r="E273" t="str">
        <f>Table14[[#This Row],[Color Code]] &amp; " - " &amp;Table14[[#This Row],[Color Name]]</f>
        <v>BB95C3 - 7111</v>
      </c>
    </row>
    <row r="274" spans="1:5" x14ac:dyDescent="0.35">
      <c r="A274" s="17" t="s">
        <v>3540</v>
      </c>
      <c r="B274" t="s">
        <v>5809</v>
      </c>
      <c r="C274" s="9" t="str">
        <f>_xlfn.CONCAT(HEX2DEC(MID(Table14[[#This Row],[Color Code]], 1, 2))," , ",HEX2DEC(MID(Table14[[#This Row],[Color Code]], 3, 2))," , ",HEX2DEC(MID(Table14[[#This Row],[Color Code]], 5, 2)))</f>
        <v>234 , 152 , 151</v>
      </c>
      <c r="D2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48.052055106935853</v>
      </c>
      <c r="E274" t="str">
        <f>Table14[[#This Row],[Color Code]] &amp; " - " &amp;Table14[[#This Row],[Color Name]]</f>
        <v>EA9897 - 8055</v>
      </c>
    </row>
    <row r="275" spans="1:5" x14ac:dyDescent="0.35">
      <c r="A275" s="17" t="s">
        <v>3907</v>
      </c>
      <c r="B275" t="s">
        <v>6232</v>
      </c>
      <c r="C275" s="9" t="str">
        <f>_xlfn.CONCAT(HEX2DEC(MID(Table14[[#This Row],[Color Code]], 1, 2))," , ",HEX2DEC(MID(Table14[[#This Row],[Color Code]], 3, 2))," , ",HEX2DEC(MID(Table14[[#This Row],[Color Code]], 5, 2)))</f>
        <v>153 , 152 , 138</v>
      </c>
      <c r="D2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48.363209157374989</v>
      </c>
      <c r="E275" t="str">
        <f>Table14[[#This Row],[Color Code]] &amp; " - " &amp;Table14[[#This Row],[Color Name]]</f>
        <v>99988A - 8424</v>
      </c>
    </row>
    <row r="276" spans="1:5" x14ac:dyDescent="0.35">
      <c r="A276" s="17" t="s">
        <v>3744</v>
      </c>
      <c r="B276" t="s">
        <v>6033</v>
      </c>
      <c r="C276" s="9" t="str">
        <f>_xlfn.CONCAT(HEX2DEC(MID(Table14[[#This Row],[Color Code]], 1, 2))," , ",HEX2DEC(MID(Table14[[#This Row],[Color Code]], 3, 2))," , ",HEX2DEC(MID(Table14[[#This Row],[Color Code]], 5, 2)))</f>
        <v>148 , 157 , 164</v>
      </c>
      <c r="D2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48.383881613611777</v>
      </c>
      <c r="E276" t="str">
        <f>Table14[[#This Row],[Color Code]] &amp; " - " &amp;Table14[[#This Row],[Color Name]]</f>
        <v>949DA4 - 8256</v>
      </c>
    </row>
    <row r="277" spans="1:5" x14ac:dyDescent="0.35">
      <c r="A277" s="17" t="s">
        <v>4026</v>
      </c>
      <c r="B277" t="s">
        <v>6368</v>
      </c>
      <c r="C277" s="9" t="str">
        <f>_xlfn.CONCAT(HEX2DEC(MID(Table14[[#This Row],[Color Code]], 1, 2))," , ",HEX2DEC(MID(Table14[[#This Row],[Color Code]], 3, 2))," , ",HEX2DEC(MID(Table14[[#This Row],[Color Code]], 5, 2)))</f>
        <v>231 , 200 , 169</v>
      </c>
      <c r="D2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48.394214530251446</v>
      </c>
      <c r="E277" t="str">
        <f>Table14[[#This Row],[Color Code]] &amp; " - " &amp;Table14[[#This Row],[Color Name]]</f>
        <v>E7C8A9 - 8561</v>
      </c>
    </row>
    <row r="278" spans="1:5" x14ac:dyDescent="0.35">
      <c r="A278" s="17" t="s">
        <v>3770</v>
      </c>
      <c r="B278" t="s">
        <v>6063</v>
      </c>
      <c r="C278" s="9" t="str">
        <f>_xlfn.CONCAT(HEX2DEC(MID(Table14[[#This Row],[Color Code]], 1, 2))," , ",HEX2DEC(MID(Table14[[#This Row],[Color Code]], 3, 2))," , ",HEX2DEC(MID(Table14[[#This Row],[Color Code]], 5, 2)))</f>
        <v>159 , 181 , 190</v>
      </c>
      <c r="D2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48.47679857416329</v>
      </c>
      <c r="E278" t="str">
        <f>Table14[[#This Row],[Color Code]] &amp; " - " &amp;Table14[[#This Row],[Color Name]]</f>
        <v>9FB5BE - 8273</v>
      </c>
    </row>
    <row r="279" spans="1:5" x14ac:dyDescent="0.35">
      <c r="A279" s="17" t="s">
        <v>3627</v>
      </c>
      <c r="B279" t="s">
        <v>5897</v>
      </c>
      <c r="C279" s="9" t="str">
        <f>_xlfn.CONCAT(HEX2DEC(MID(Table14[[#This Row],[Color Code]], 1, 2))," , ",HEX2DEC(MID(Table14[[#This Row],[Color Code]], 3, 2))," , ",HEX2DEC(MID(Table14[[#This Row],[Color Code]], 5, 2)))</f>
        <v>221 , 174 , 194</v>
      </c>
      <c r="D2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48.610698410946533</v>
      </c>
      <c r="E279" t="str">
        <f>Table14[[#This Row],[Color Code]] &amp; " - " &amp;Table14[[#This Row],[Color Name]]</f>
        <v>DDAEC2 - 8136</v>
      </c>
    </row>
    <row r="280" spans="1:5" x14ac:dyDescent="0.35">
      <c r="A280" s="17" t="s">
        <v>2619</v>
      </c>
      <c r="B280" t="s">
        <v>4817</v>
      </c>
      <c r="C280" s="9" t="str">
        <f>_xlfn.CONCAT(HEX2DEC(MID(Table14[[#This Row],[Color Code]], 1, 2))," , ",HEX2DEC(MID(Table14[[#This Row],[Color Code]], 3, 2))," , ",HEX2DEC(MID(Table14[[#This Row],[Color Code]], 5, 2)))</f>
        <v>204 , 161 , 200</v>
      </c>
      <c r="D2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48.631265663151311</v>
      </c>
      <c r="E280" t="str">
        <f>Table14[[#This Row],[Color Code]] &amp; " - " &amp;Table14[[#This Row],[Color Name]]</f>
        <v>CCA1C8 - 9593</v>
      </c>
    </row>
    <row r="281" spans="1:5" x14ac:dyDescent="0.35">
      <c r="A281" s="17" t="s">
        <v>3883</v>
      </c>
      <c r="B281" t="s">
        <v>6205</v>
      </c>
      <c r="C281" s="9" t="str">
        <f>_xlfn.CONCAT(HEX2DEC(MID(Table14[[#This Row],[Color Code]], 1, 2))," , ",HEX2DEC(MID(Table14[[#This Row],[Color Code]], 3, 2))," , ",HEX2DEC(MID(Table14[[#This Row],[Color Code]], 5, 2)))</f>
        <v>206 , 206 , 190</v>
      </c>
      <c r="D2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48.805737367649719</v>
      </c>
      <c r="E281" t="str">
        <f>Table14[[#This Row],[Color Code]] &amp; " - " &amp;Table14[[#This Row],[Color Name]]</f>
        <v>CECEBE - 8403</v>
      </c>
    </row>
    <row r="282" spans="1:5" x14ac:dyDescent="0.35">
      <c r="A282" s="17" t="s">
        <v>4080</v>
      </c>
      <c r="B282" t="s">
        <v>6426</v>
      </c>
      <c r="C282" s="9" t="str">
        <f>_xlfn.CONCAT(HEX2DEC(MID(Table14[[#This Row],[Color Code]], 1, 2))," , ",HEX2DEC(MID(Table14[[#This Row],[Color Code]], 3, 2))," , ",HEX2DEC(MID(Table14[[#This Row],[Color Code]], 5, 2)))</f>
        <v>201 , 147 , 116</v>
      </c>
      <c r="D2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48.846698967279252</v>
      </c>
      <c r="E282" t="str">
        <f>Table14[[#This Row],[Color Code]] &amp; " - " &amp;Table14[[#This Row],[Color Name]]</f>
        <v>C99374 - 8591</v>
      </c>
    </row>
    <row r="283" spans="1:5" x14ac:dyDescent="0.35">
      <c r="A283" s="17" t="s">
        <v>3849</v>
      </c>
      <c r="B283" t="s">
        <v>6167</v>
      </c>
      <c r="C283" s="9" t="str">
        <f>_xlfn.CONCAT(HEX2DEC(MID(Table14[[#This Row],[Color Code]], 1, 2))," , ",HEX2DEC(MID(Table14[[#This Row],[Color Code]], 3, 2))," , ",HEX2DEC(MID(Table14[[#This Row],[Color Code]], 5, 2)))</f>
        <v>148 , 158 , 142</v>
      </c>
      <c r="D2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48.928519290900269</v>
      </c>
      <c r="E283" t="str">
        <f>Table14[[#This Row],[Color Code]] &amp; " - " &amp;Table14[[#This Row],[Color Name]]</f>
        <v>949E8E - K143</v>
      </c>
    </row>
    <row r="284" spans="1:5" x14ac:dyDescent="0.35">
      <c r="A284" s="17" t="s">
        <v>2728</v>
      </c>
      <c r="B284" t="s">
        <v>4939</v>
      </c>
      <c r="C284" s="9" t="str">
        <f>_xlfn.CONCAT(HEX2DEC(MID(Table14[[#This Row],[Color Code]], 1, 2))," , ",HEX2DEC(MID(Table14[[#This Row],[Color Code]], 3, 2))," , ",HEX2DEC(MID(Table14[[#This Row],[Color Code]], 5, 2)))</f>
        <v>176 , 186 , 200</v>
      </c>
      <c r="D2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49.010203019371382</v>
      </c>
      <c r="E284" t="str">
        <f>Table14[[#This Row],[Color Code]] &amp; " - " &amp;Table14[[#This Row],[Color Name]]</f>
        <v>B0BAC8 - 7233</v>
      </c>
    </row>
    <row r="285" spans="1:5" x14ac:dyDescent="0.35">
      <c r="A285" s="17" t="s">
        <v>2691</v>
      </c>
      <c r="B285" t="s">
        <v>4899</v>
      </c>
      <c r="C285" s="9" t="str">
        <f>_xlfn.CONCAT(HEX2DEC(MID(Table14[[#This Row],[Color Code]], 1, 2))," , ",HEX2DEC(MID(Table14[[#This Row],[Color Code]], 3, 2))," , ",HEX2DEC(MID(Table14[[#This Row],[Color Code]], 5, 2)))</f>
        <v>188 , 185 , 203</v>
      </c>
      <c r="D2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49.193495504995376</v>
      </c>
      <c r="E285" t="str">
        <f>Table14[[#This Row],[Color Code]] &amp; " - " &amp;Table14[[#This Row],[Color Name]]</f>
        <v>BCB9CB - 7194</v>
      </c>
    </row>
    <row r="286" spans="1:5" x14ac:dyDescent="0.35">
      <c r="A286" s="17" t="s">
        <v>3995</v>
      </c>
      <c r="B286" t="s">
        <v>6335</v>
      </c>
      <c r="C286" s="9" t="str">
        <f>_xlfn.CONCAT(HEX2DEC(MID(Table14[[#This Row],[Color Code]], 1, 2))," , ",HEX2DEC(MID(Table14[[#This Row],[Color Code]], 3, 2))," , ",HEX2DEC(MID(Table14[[#This Row],[Color Code]], 5, 2)))</f>
        <v>227 , 204 , 174</v>
      </c>
      <c r="D2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49.264591747014407</v>
      </c>
      <c r="E286" t="str">
        <f>Table14[[#This Row],[Color Code]] &amp; " - " &amp;Table14[[#This Row],[Color Name]]</f>
        <v>E3CCAE - 8530</v>
      </c>
    </row>
    <row r="287" spans="1:5" x14ac:dyDescent="0.35">
      <c r="A287" s="17" t="s">
        <v>2620</v>
      </c>
      <c r="B287" t="s">
        <v>4818</v>
      </c>
      <c r="C287" s="9" t="str">
        <f>_xlfn.CONCAT(HEX2DEC(MID(Table14[[#This Row],[Color Code]], 1, 2))," , ",HEX2DEC(MID(Table14[[#This Row],[Color Code]], 3, 2))," , ",HEX2DEC(MID(Table14[[#This Row],[Color Code]], 5, 2)))</f>
        <v>185 , 135 , 183</v>
      </c>
      <c r="D2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49.325449820554098</v>
      </c>
      <c r="E287" t="str">
        <f>Table14[[#This Row],[Color Code]] &amp; " - " &amp;Table14[[#This Row],[Color Name]]</f>
        <v>B987B7 - 9594</v>
      </c>
    </row>
    <row r="288" spans="1:5" x14ac:dyDescent="0.35">
      <c r="A288" s="17" t="s">
        <v>4033</v>
      </c>
      <c r="B288" t="s">
        <v>6375</v>
      </c>
      <c r="C288" s="9" t="str">
        <f>_xlfn.CONCAT(HEX2DEC(MID(Table14[[#This Row],[Color Code]], 1, 2))," , ",HEX2DEC(MID(Table14[[#This Row],[Color Code]], 3, 2))," , ",HEX2DEC(MID(Table14[[#This Row],[Color Code]], 5, 2)))</f>
        <v>229 , 200 , 176</v>
      </c>
      <c r="D2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49.345719165901315</v>
      </c>
      <c r="E288" t="str">
        <f>Table14[[#This Row],[Color Code]] &amp; " - " &amp;Table14[[#This Row],[Color Name]]</f>
        <v>E5C8B0 - 0N22</v>
      </c>
    </row>
    <row r="289" spans="1:5" x14ac:dyDescent="0.35">
      <c r="A289" s="17" t="s">
        <v>3111</v>
      </c>
      <c r="B289" t="s">
        <v>5364</v>
      </c>
      <c r="C289" s="9" t="str">
        <f>_xlfn.CONCAT(HEX2DEC(MID(Table14[[#This Row],[Color Code]], 1, 2))," , ",HEX2DEC(MID(Table14[[#This Row],[Color Code]], 3, 2))," , ",HEX2DEC(MID(Table14[[#This Row],[Color Code]], 5, 2)))</f>
        <v>195 , 215 , 126</v>
      </c>
      <c r="D2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49.497474683058329</v>
      </c>
      <c r="E289" t="str">
        <f>Table14[[#This Row],[Color Code]] &amp; " - " &amp;Table14[[#This Row],[Color Name]]</f>
        <v>C3D77E - 9352</v>
      </c>
    </row>
    <row r="290" spans="1:5" x14ac:dyDescent="0.35">
      <c r="A290" s="17" t="s">
        <v>3470</v>
      </c>
      <c r="B290" t="s">
        <v>5735</v>
      </c>
      <c r="C290" s="9" t="str">
        <f>_xlfn.CONCAT(HEX2DEC(MID(Table14[[#This Row],[Color Code]], 1, 2))," , ",HEX2DEC(MID(Table14[[#This Row],[Color Code]], 3, 2))," , ",HEX2DEC(MID(Table14[[#This Row],[Color Code]], 5, 2)))</f>
        <v>239 , 190 , 159</v>
      </c>
      <c r="D2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49.497474683058329</v>
      </c>
      <c r="E290" t="str">
        <f>Table14[[#This Row],[Color Code]] &amp; " - " &amp;Table14[[#This Row],[Color Name]]</f>
        <v>EFBE9F - 8017</v>
      </c>
    </row>
    <row r="291" spans="1:5" x14ac:dyDescent="0.35">
      <c r="A291" s="17" t="s">
        <v>3502</v>
      </c>
      <c r="B291" t="s">
        <v>5769</v>
      </c>
      <c r="C291" s="9" t="str">
        <f>_xlfn.CONCAT(HEX2DEC(MID(Table14[[#This Row],[Color Code]], 1, 2))," , ",HEX2DEC(MID(Table14[[#This Row],[Color Code]], 3, 2))," , ",HEX2DEC(MID(Table14[[#This Row],[Color Code]], 5, 2)))</f>
        <v>236 , 157 , 141</v>
      </c>
      <c r="D2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49.558046773455466</v>
      </c>
      <c r="E291" t="str">
        <f>Table14[[#This Row],[Color Code]] &amp; " - " &amp;Table14[[#This Row],[Color Name]]</f>
        <v>EC9D8D - 8031</v>
      </c>
    </row>
    <row r="292" spans="1:5" x14ac:dyDescent="0.35">
      <c r="A292" s="17" t="s">
        <v>3982</v>
      </c>
      <c r="B292" t="s">
        <v>6322</v>
      </c>
      <c r="C292" s="9" t="str">
        <f>_xlfn.CONCAT(HEX2DEC(MID(Table14[[#This Row],[Color Code]], 1, 2))," , ",HEX2DEC(MID(Table14[[#This Row],[Color Code]], 3, 2))," , ",HEX2DEC(MID(Table14[[#This Row],[Color Code]], 5, 2)))</f>
        <v>179 , 152 , 113</v>
      </c>
      <c r="D2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49.618544920221112</v>
      </c>
      <c r="E292" t="str">
        <f>Table14[[#This Row],[Color Code]] &amp; " - " &amp;Table14[[#This Row],[Color Name]]</f>
        <v>B39871 - 8511</v>
      </c>
    </row>
    <row r="293" spans="1:5" x14ac:dyDescent="0.35">
      <c r="A293" s="17" t="s">
        <v>4250</v>
      </c>
      <c r="B293" t="s">
        <v>6616</v>
      </c>
      <c r="C293" s="9" t="str">
        <f>_xlfn.CONCAT(HEX2DEC(MID(Table14[[#This Row],[Color Code]], 1, 2))," , ",HEX2DEC(MID(Table14[[#This Row],[Color Code]], 3, 2))," , ",HEX2DEC(MID(Table14[[#This Row],[Color Code]], 5, 2)))</f>
        <v>160 , 144 , 133</v>
      </c>
      <c r="D2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49.689032995219378</v>
      </c>
      <c r="E293" t="str">
        <f>Table14[[#This Row],[Color Code]] &amp; " - " &amp;Table14[[#This Row],[Color Name]]</f>
        <v>A09085 - 8768</v>
      </c>
    </row>
    <row r="294" spans="1:5" x14ac:dyDescent="0.35">
      <c r="A294" s="17" t="s">
        <v>3066</v>
      </c>
      <c r="B294" t="s">
        <v>5315</v>
      </c>
      <c r="C294" s="9" t="str">
        <f>_xlfn.CONCAT(HEX2DEC(MID(Table14[[#This Row],[Color Code]], 1, 2))," , ",HEX2DEC(MID(Table14[[#This Row],[Color Code]], 3, 2))," , ",HEX2DEC(MID(Table14[[#This Row],[Color Code]], 5, 2)))</f>
        <v>199 , 219 , 177</v>
      </c>
      <c r="D2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49.689032995219378</v>
      </c>
      <c r="E294" t="str">
        <f>Table14[[#This Row],[Color Code]] &amp; " - " &amp;Table14[[#This Row],[Color Name]]</f>
        <v>C7DBB1 - 2387</v>
      </c>
    </row>
    <row r="295" spans="1:5" x14ac:dyDescent="0.35">
      <c r="A295" s="17" t="s">
        <v>3487</v>
      </c>
      <c r="B295" t="s">
        <v>5754</v>
      </c>
      <c r="C295" s="9" t="str">
        <f>_xlfn.CONCAT(HEX2DEC(MID(Table14[[#This Row],[Color Code]], 1, 2))," , ",HEX2DEC(MID(Table14[[#This Row],[Color Code]], 3, 2))," , ",HEX2DEC(MID(Table14[[#This Row],[Color Code]], 5, 2)))</f>
        <v>221 , 144 , 129</v>
      </c>
      <c r="D2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49.779513858614571</v>
      </c>
      <c r="E295" t="str">
        <f>Table14[[#This Row],[Color Code]] &amp; " - " &amp;Table14[[#This Row],[Color Name]]</f>
        <v>DD9081 - 9967</v>
      </c>
    </row>
    <row r="296" spans="1:5" x14ac:dyDescent="0.35">
      <c r="A296" s="17" t="s">
        <v>3933</v>
      </c>
      <c r="B296" t="s">
        <v>6261</v>
      </c>
      <c r="C296" s="9" t="str">
        <f>_xlfn.CONCAT(HEX2DEC(MID(Table14[[#This Row],[Color Code]], 1, 2))," , ",HEX2DEC(MID(Table14[[#This Row],[Color Code]], 3, 2))," , ",HEX2DEC(MID(Table14[[#This Row],[Color Code]], 5, 2)))</f>
        <v>214 , 204 , 189</v>
      </c>
      <c r="D2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49.809637621649088</v>
      </c>
      <c r="E296" t="str">
        <f>Table14[[#This Row],[Color Code]] &amp; " - " &amp;Table14[[#This Row],[Color Name]]</f>
        <v>D6CCBD - 8467</v>
      </c>
    </row>
    <row r="297" spans="1:5" x14ac:dyDescent="0.35">
      <c r="A297" s="17" t="s">
        <v>3676</v>
      </c>
      <c r="B297" t="s">
        <v>5951</v>
      </c>
      <c r="C297" s="9" t="str">
        <f>_xlfn.CONCAT(HEX2DEC(MID(Table14[[#This Row],[Color Code]], 1, 2))," , ",HEX2DEC(MID(Table14[[#This Row],[Color Code]], 3, 2))," , ",HEX2DEC(MID(Table14[[#This Row],[Color Code]], 5, 2)))</f>
        <v>209 , 189 , 200</v>
      </c>
      <c r="D2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50.099900199501398</v>
      </c>
      <c r="E297" t="str">
        <f>Table14[[#This Row],[Color Code]] &amp; " - " &amp;Table14[[#This Row],[Color Name]]</f>
        <v>D1BDC8 - 8202</v>
      </c>
    </row>
    <row r="298" spans="1:5" x14ac:dyDescent="0.35">
      <c r="A298" s="17" t="s">
        <v>3619</v>
      </c>
      <c r="B298" t="s">
        <v>5889</v>
      </c>
      <c r="C298" s="9" t="str">
        <f>_xlfn.CONCAT(HEX2DEC(MID(Table14[[#This Row],[Color Code]], 1, 2))," , ",HEX2DEC(MID(Table14[[#This Row],[Color Code]], 3, 2))," , ",HEX2DEC(MID(Table14[[#This Row],[Color Code]], 5, 2)))</f>
        <v>225 , 145 , 178</v>
      </c>
      <c r="D2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50.179677161177509</v>
      </c>
      <c r="E298" t="str">
        <f>Table14[[#This Row],[Color Code]] &amp; " - " &amp;Table14[[#This Row],[Color Name]]</f>
        <v>E191B2 - 8127</v>
      </c>
    </row>
    <row r="299" spans="1:5" x14ac:dyDescent="0.35">
      <c r="A299" s="17" t="s">
        <v>3565</v>
      </c>
      <c r="B299" t="s">
        <v>5834</v>
      </c>
      <c r="C299" s="9" t="str">
        <f>_xlfn.CONCAT(HEX2DEC(MID(Table14[[#This Row],[Color Code]], 1, 2))," , ",HEX2DEC(MID(Table14[[#This Row],[Color Code]], 3, 2))," , ",HEX2DEC(MID(Table14[[#This Row],[Color Code]], 5, 2)))</f>
        <v>219 , 135 , 141</v>
      </c>
      <c r="D2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50.24937810560445</v>
      </c>
      <c r="E299" t="str">
        <f>Table14[[#This Row],[Color Code]] &amp; " - " &amp;Table14[[#This Row],[Color Name]]</f>
        <v>DB878D - 9407</v>
      </c>
    </row>
    <row r="300" spans="1:5" x14ac:dyDescent="0.35">
      <c r="A300" s="17" t="s">
        <v>3572</v>
      </c>
      <c r="B300" t="s">
        <v>5841</v>
      </c>
      <c r="C300" s="9" t="str">
        <f>_xlfn.CONCAT(HEX2DEC(MID(Table14[[#This Row],[Color Code]], 1, 2))," , ",HEX2DEC(MID(Table14[[#This Row],[Color Code]], 3, 2))," , ",HEX2DEC(MID(Table14[[#This Row],[Color Code]], 5, 2)))</f>
        <v>232 , 145 , 160</v>
      </c>
      <c r="D3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50.24937810560445</v>
      </c>
      <c r="E300" t="str">
        <f>Table14[[#This Row],[Color Code]] &amp; " - " &amp;Table14[[#This Row],[Color Name]]</f>
        <v>E891A0 - 8087</v>
      </c>
    </row>
    <row r="301" spans="1:5" x14ac:dyDescent="0.35">
      <c r="A301" s="17" t="s">
        <v>2660</v>
      </c>
      <c r="B301" t="s">
        <v>4867</v>
      </c>
      <c r="C301" s="9" t="str">
        <f>_xlfn.CONCAT(HEX2DEC(MID(Table14[[#This Row],[Color Code]], 1, 2))," , ",HEX2DEC(MID(Table14[[#This Row],[Color Code]], 3, 2))," , ",HEX2DEC(MID(Table14[[#This Row],[Color Code]], 5, 2)))</f>
        <v>187 , 177 , 205</v>
      </c>
      <c r="D3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50.289163842720633</v>
      </c>
      <c r="E301" t="str">
        <f>Table14[[#This Row],[Color Code]] &amp; " - " &amp;Table14[[#This Row],[Color Name]]</f>
        <v>BBB1CD - 7152</v>
      </c>
    </row>
    <row r="302" spans="1:5" x14ac:dyDescent="0.35">
      <c r="A302" s="17" t="s">
        <v>4049</v>
      </c>
      <c r="B302" t="s">
        <v>6392</v>
      </c>
      <c r="C302" s="9" t="str">
        <f>_xlfn.CONCAT(HEX2DEC(MID(Table14[[#This Row],[Color Code]], 1, 2))," , ",HEX2DEC(MID(Table14[[#This Row],[Color Code]], 3, 2))," , ",HEX2DEC(MID(Table14[[#This Row],[Color Code]], 5, 2)))</f>
        <v>175 , 142 , 121</v>
      </c>
      <c r="D3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50.338851794612879</v>
      </c>
      <c r="E302" t="str">
        <f>Table14[[#This Row],[Color Code]] &amp; " - " &amp;Table14[[#This Row],[Color Name]]</f>
        <v>AF8E79 - 8584</v>
      </c>
    </row>
    <row r="303" spans="1:5" x14ac:dyDescent="0.35">
      <c r="A303" s="17" t="s">
        <v>3597</v>
      </c>
      <c r="B303" t="s">
        <v>5866</v>
      </c>
      <c r="C303" s="9" t="str">
        <f>_xlfn.CONCAT(HEX2DEC(MID(Table14[[#This Row],[Color Code]], 1, 2))," , ",HEX2DEC(MID(Table14[[#This Row],[Color Code]], 3, 2))," , ",HEX2DEC(MID(Table14[[#This Row],[Color Code]], 5, 2)))</f>
        <v>193 , 128 , 137</v>
      </c>
      <c r="D3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50.338851794612879</v>
      </c>
      <c r="E303" t="str">
        <f>Table14[[#This Row],[Color Code]] &amp; " - " &amp;Table14[[#This Row],[Color Name]]</f>
        <v>C18089 - 8111</v>
      </c>
    </row>
    <row r="304" spans="1:5" x14ac:dyDescent="0.35">
      <c r="A304" s="17" t="s">
        <v>3046</v>
      </c>
      <c r="B304" t="s">
        <v>5291</v>
      </c>
      <c r="C304" s="9" t="str">
        <f>_xlfn.CONCAT(HEX2DEC(MID(Table14[[#This Row],[Color Code]], 1, 2))," , ",HEX2DEC(MID(Table14[[#This Row],[Color Code]], 3, 2))," , ",HEX2DEC(MID(Table14[[#This Row],[Color Code]], 5, 2)))</f>
        <v>177 , 210 , 122</v>
      </c>
      <c r="D3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50.388490749376487</v>
      </c>
      <c r="E304" t="str">
        <f>Table14[[#This Row],[Color Code]] &amp; " - " &amp;Table14[[#This Row],[Color Name]]</f>
        <v>B1D27A - 9772</v>
      </c>
    </row>
    <row r="305" spans="1:5" x14ac:dyDescent="0.35">
      <c r="A305" s="17" t="s">
        <v>2661</v>
      </c>
      <c r="B305" t="s">
        <v>4868</v>
      </c>
      <c r="C305" s="9" t="str">
        <f>_xlfn.CONCAT(HEX2DEC(MID(Table14[[#This Row],[Color Code]], 1, 2))," , ",HEX2DEC(MID(Table14[[#This Row],[Color Code]], 3, 2))," , ",HEX2DEC(MID(Table14[[#This Row],[Color Code]], 5, 2)))</f>
        <v>160 , 151 , 186</v>
      </c>
      <c r="D3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50.606323715519977</v>
      </c>
      <c r="E305" t="str">
        <f>Table14[[#This Row],[Color Code]] &amp; " - " &amp;Table14[[#This Row],[Color Name]]</f>
        <v>A097BA - 7151</v>
      </c>
    </row>
    <row r="306" spans="1:5" x14ac:dyDescent="0.35">
      <c r="A306" s="17" t="s">
        <v>4143</v>
      </c>
      <c r="B306" t="s">
        <v>6496</v>
      </c>
      <c r="C306" s="9" t="str">
        <f>_xlfn.CONCAT(HEX2DEC(MID(Table14[[#This Row],[Color Code]], 1, 2))," , ",HEX2DEC(MID(Table14[[#This Row],[Color Code]], 3, 2))," , ",HEX2DEC(MID(Table14[[#This Row],[Color Code]], 5, 2)))</f>
        <v>203 , 135 , 126</v>
      </c>
      <c r="D3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50.616202939375057</v>
      </c>
      <c r="E306" t="str">
        <f>Table14[[#This Row],[Color Code]] &amp; " - " &amp;Table14[[#This Row],[Color Name]]</f>
        <v>CB877E - 8672</v>
      </c>
    </row>
    <row r="307" spans="1:5" x14ac:dyDescent="0.35">
      <c r="A307" s="17" t="s">
        <v>3073</v>
      </c>
      <c r="B307" t="s">
        <v>5323</v>
      </c>
      <c r="C307" s="9" t="str">
        <f>_xlfn.CONCAT(HEX2DEC(MID(Table14[[#This Row],[Color Code]], 1, 2))," , ",HEX2DEC(MID(Table14[[#This Row],[Color Code]], 3, 2))," , ",HEX2DEC(MID(Table14[[#This Row],[Color Code]], 5, 2)))</f>
        <v>201 , 215 , 185</v>
      </c>
      <c r="D3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50.803543183522152</v>
      </c>
      <c r="E307" t="str">
        <f>Table14[[#This Row],[Color Code]] &amp; " - " &amp;Table14[[#This Row],[Color Name]]</f>
        <v>C9D7B9 - 2420</v>
      </c>
    </row>
    <row r="308" spans="1:5" x14ac:dyDescent="0.35">
      <c r="A308" s="17" t="s">
        <v>3217</v>
      </c>
      <c r="B308" t="s">
        <v>5475</v>
      </c>
      <c r="C308" s="9" t="str">
        <f>_xlfn.CONCAT(HEX2DEC(MID(Table14[[#This Row],[Color Code]], 1, 2))," , ",HEX2DEC(MID(Table14[[#This Row],[Color Code]], 3, 2))," , ",HEX2DEC(MID(Table14[[#This Row],[Color Code]], 5, 2)))</f>
        <v>225 , 214 , 155</v>
      </c>
      <c r="D3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51.088159097779204</v>
      </c>
      <c r="E308" t="str">
        <f>Table14[[#This Row],[Color Code]] &amp; " - " &amp;Table14[[#This Row],[Color Name]]</f>
        <v>E1D69B - 7825</v>
      </c>
    </row>
    <row r="309" spans="1:5" x14ac:dyDescent="0.35">
      <c r="A309" s="17" t="s">
        <v>2723</v>
      </c>
      <c r="B309" t="s">
        <v>4931</v>
      </c>
      <c r="C309" s="9" t="str">
        <f>_xlfn.CONCAT(HEX2DEC(MID(Table14[[#This Row],[Color Code]], 1, 2))," , ",HEX2DEC(MID(Table14[[#This Row],[Color Code]], 3, 2))," , ",HEX2DEC(MID(Table14[[#This Row],[Color Code]], 5, 2)))</f>
        <v>159 , 169 , 194</v>
      </c>
      <c r="D3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51.43928459844674</v>
      </c>
      <c r="E309" t="str">
        <f>Table14[[#This Row],[Color Code]] &amp; " - " &amp;Table14[[#This Row],[Color Name]]</f>
        <v>9FA9C2 - 7225</v>
      </c>
    </row>
    <row r="310" spans="1:5" x14ac:dyDescent="0.35">
      <c r="A310" s="17" t="s">
        <v>2677</v>
      </c>
      <c r="B310" t="s">
        <v>4884</v>
      </c>
      <c r="C310" s="9" t="str">
        <f>_xlfn.CONCAT(HEX2DEC(MID(Table14[[#This Row],[Color Code]], 1, 2))," , ",HEX2DEC(MID(Table14[[#This Row],[Color Code]], 3, 2))," , ",HEX2DEC(MID(Table14[[#This Row],[Color Code]], 5, 2)))</f>
        <v>181 , 180 , 205</v>
      </c>
      <c r="D3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51.43928459844674</v>
      </c>
      <c r="E310" t="str">
        <f>Table14[[#This Row],[Color Code]] &amp; " - " &amp;Table14[[#This Row],[Color Name]]</f>
        <v>B5B4CD - 7051</v>
      </c>
    </row>
    <row r="311" spans="1:5" x14ac:dyDescent="0.35">
      <c r="A311" s="17" t="s">
        <v>2693</v>
      </c>
      <c r="B311" t="s">
        <v>4901</v>
      </c>
      <c r="C311" s="9" t="str">
        <f>_xlfn.CONCAT(HEX2DEC(MID(Table14[[#This Row],[Color Code]], 1, 2))," , ",HEX2DEC(MID(Table14[[#This Row],[Color Code]], 3, 2))," , ",HEX2DEC(MID(Table14[[#This Row],[Color Code]], 5, 2)))</f>
        <v>150 , 153 , 175</v>
      </c>
      <c r="D3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51.458721321074428</v>
      </c>
      <c r="E311" t="str">
        <f>Table14[[#This Row],[Color Code]] &amp; " - " &amp;Table14[[#This Row],[Color Name]]</f>
        <v>9699AF - 7192</v>
      </c>
    </row>
    <row r="312" spans="1:5" x14ac:dyDescent="0.35">
      <c r="A312" s="17" t="s">
        <v>3556</v>
      </c>
      <c r="B312" t="s">
        <v>5825</v>
      </c>
      <c r="C312" s="9" t="str">
        <f>_xlfn.CONCAT(HEX2DEC(MID(Table14[[#This Row],[Color Code]], 1, 2))," , ",HEX2DEC(MID(Table14[[#This Row],[Color Code]], 3, 2))," , ",HEX2DEC(MID(Table14[[#This Row],[Color Code]], 5, 2)))</f>
        <v>213 , 132 , 136</v>
      </c>
      <c r="D3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51.487862647424002</v>
      </c>
      <c r="E312" t="str">
        <f>Table14[[#This Row],[Color Code]] &amp; " - " &amp;Table14[[#This Row],[Color Name]]</f>
        <v>D58488 - 8079</v>
      </c>
    </row>
    <row r="313" spans="1:5" x14ac:dyDescent="0.35">
      <c r="A313" s="17" t="s">
        <v>2602</v>
      </c>
      <c r="B313" t="s">
        <v>4797</v>
      </c>
      <c r="C313" s="9" t="str">
        <f>_xlfn.CONCAT(HEX2DEC(MID(Table14[[#This Row],[Color Code]], 1, 2))," , ",HEX2DEC(MID(Table14[[#This Row],[Color Code]], 3, 2))," , ",HEX2DEC(MID(Table14[[#This Row],[Color Code]], 5, 2)))</f>
        <v>215 , 134 , 176</v>
      </c>
      <c r="D3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51.487862647424002</v>
      </c>
      <c r="E313" t="str">
        <f>Table14[[#This Row],[Color Code]] &amp; " - " &amp;Table14[[#This Row],[Color Name]]</f>
        <v>D786B0 - 9583</v>
      </c>
    </row>
    <row r="314" spans="1:5" x14ac:dyDescent="0.35">
      <c r="A314" s="17" t="s">
        <v>4166</v>
      </c>
      <c r="B314" t="s">
        <v>6520</v>
      </c>
      <c r="C314" s="9" t="str">
        <f>_xlfn.CONCAT(HEX2DEC(MID(Table14[[#This Row],[Color Code]], 1, 2))," , ",HEX2DEC(MID(Table14[[#This Row],[Color Code]], 3, 2))," , ",HEX2DEC(MID(Table14[[#This Row],[Color Code]], 5, 2)))</f>
        <v>239 , 186 , 173</v>
      </c>
      <c r="D3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51.516987489565032</v>
      </c>
      <c r="E314" t="str">
        <f>Table14[[#This Row],[Color Code]] &amp; " - " &amp;Table14[[#This Row],[Color Name]]</f>
        <v>EFBAAD - K242</v>
      </c>
    </row>
    <row r="315" spans="1:5" x14ac:dyDescent="0.35">
      <c r="A315" s="17" t="s">
        <v>4521</v>
      </c>
      <c r="B315" t="s">
        <v>6158</v>
      </c>
      <c r="C315" s="9" t="str">
        <f>_xlfn.CONCAT(HEX2DEC(MID(Table14[[#This Row],[Color Code]], 1, 2))," , ",HEX2DEC(MID(Table14[[#This Row],[Color Code]], 3, 2))," , ",HEX2DEC(MID(Table14[[#This Row],[Color Code]], 5, 2)))</f>
        <v>144 , 158 , 147</v>
      </c>
      <c r="D3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51.546095875439491</v>
      </c>
      <c r="E315" t="str">
        <f>Table14[[#This Row],[Color Code]] &amp; " - " &amp;Table14[[#This Row],[Color Name]]</f>
        <v>909E93 - K135</v>
      </c>
    </row>
    <row r="316" spans="1:5" x14ac:dyDescent="0.35">
      <c r="A316" s="17" t="s">
        <v>3016</v>
      </c>
      <c r="B316" t="s">
        <v>5260</v>
      </c>
      <c r="C316" s="9" t="str">
        <f>_xlfn.CONCAT(HEX2DEC(MID(Table14[[#This Row],[Color Code]], 1, 2))," , ",HEX2DEC(MID(Table14[[#This Row],[Color Code]], 3, 2))," , ",HEX2DEC(MID(Table14[[#This Row],[Color Code]], 5, 2)))</f>
        <v>151 , 204 , 167</v>
      </c>
      <c r="D3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51.633322573702344</v>
      </c>
      <c r="E316" t="str">
        <f>Table14[[#This Row],[Color Code]] &amp; " - " &amp;Table14[[#This Row],[Color Name]]</f>
        <v>97CCA7 - 7608</v>
      </c>
    </row>
    <row r="317" spans="1:5" x14ac:dyDescent="0.35">
      <c r="A317" s="17" t="s">
        <v>2627</v>
      </c>
      <c r="B317" t="s">
        <v>4827</v>
      </c>
      <c r="C317" s="9" t="str">
        <f>_xlfn.CONCAT(HEX2DEC(MID(Table14[[#This Row],[Color Code]], 1, 2))," , ",HEX2DEC(MID(Table14[[#This Row],[Color Code]], 3, 2))," , ",HEX2DEC(MID(Table14[[#This Row],[Color Code]], 5, 2)))</f>
        <v>200 , 173 , 206</v>
      </c>
      <c r="D3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51.662365412357957</v>
      </c>
      <c r="E317" t="str">
        <f>Table14[[#This Row],[Color Code]] &amp; " - " &amp;Table14[[#This Row],[Color Name]]</f>
        <v>C8ADCE - 9121</v>
      </c>
    </row>
    <row r="318" spans="1:5" x14ac:dyDescent="0.35">
      <c r="A318" s="17" t="s">
        <v>4133</v>
      </c>
      <c r="B318" t="s">
        <v>6485</v>
      </c>
      <c r="C318" s="9" t="str">
        <f>_xlfn.CONCAT(HEX2DEC(MID(Table14[[#This Row],[Color Code]], 1, 2))," , ",HEX2DEC(MID(Table14[[#This Row],[Color Code]], 3, 2))," , ",HEX2DEC(MID(Table14[[#This Row],[Color Code]], 5, 2)))</f>
        <v>217 , 201 , 192</v>
      </c>
      <c r="D3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51.672042731055249</v>
      </c>
      <c r="E318" t="str">
        <f>Table14[[#This Row],[Color Code]] &amp; " - " &amp;Table14[[#This Row],[Color Name]]</f>
        <v>D9C9C0 - 8659</v>
      </c>
    </row>
    <row r="319" spans="1:5" x14ac:dyDescent="0.35">
      <c r="A319" s="17" t="s">
        <v>3000</v>
      </c>
      <c r="B319" t="s">
        <v>5244</v>
      </c>
      <c r="C319" s="9" t="str">
        <f>_xlfn.CONCAT(HEX2DEC(MID(Table14[[#This Row],[Color Code]], 1, 2))," , ",HEX2DEC(MID(Table14[[#This Row],[Color Code]], 3, 2))," , ",HEX2DEC(MID(Table14[[#This Row],[Color Code]], 5, 2)))</f>
        <v>173 , 210 , 188</v>
      </c>
      <c r="D3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51.720402163943</v>
      </c>
      <c r="E319" t="str">
        <f>Table14[[#This Row],[Color Code]] &amp; " - " &amp;Table14[[#This Row],[Color Name]]</f>
        <v>ADD2BC - 7585</v>
      </c>
    </row>
    <row r="320" spans="1:5" x14ac:dyDescent="0.35">
      <c r="A320" s="17" t="s">
        <v>4141</v>
      </c>
      <c r="B320" t="s">
        <v>6494</v>
      </c>
      <c r="C320" s="9" t="str">
        <f>_xlfn.CONCAT(HEX2DEC(MID(Table14[[#This Row],[Color Code]], 1, 2))," , ",HEX2DEC(MID(Table14[[#This Row],[Color Code]], 3, 2))," , ",HEX2DEC(MID(Table14[[#This Row],[Color Code]], 5, 2)))</f>
        <v>237 , 188 , 177</v>
      </c>
      <c r="D3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51.749396131742444</v>
      </c>
      <c r="E320" t="str">
        <f>Table14[[#This Row],[Color Code]] &amp; " - " &amp;Table14[[#This Row],[Color Name]]</f>
        <v>EDBCB1 - 8674</v>
      </c>
    </row>
    <row r="321" spans="1:5" x14ac:dyDescent="0.35">
      <c r="A321" s="17" t="s">
        <v>3209</v>
      </c>
      <c r="B321" t="s">
        <v>5467</v>
      </c>
      <c r="C321" s="9" t="str">
        <f>_xlfn.CONCAT(HEX2DEC(MID(Table14[[#This Row],[Color Code]], 1, 2))," , ",HEX2DEC(MID(Table14[[#This Row],[Color Code]], 3, 2))," , ",HEX2DEC(MID(Table14[[#This Row],[Color Code]], 5, 2)))</f>
        <v>223 , 214 , 169</v>
      </c>
      <c r="D3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51.749396131742444</v>
      </c>
      <c r="E321" t="str">
        <f>Table14[[#This Row],[Color Code]] &amp; " - " &amp;Table14[[#This Row],[Color Name]]</f>
        <v>DFD6A9 - 7810</v>
      </c>
    </row>
    <row r="322" spans="1:5" x14ac:dyDescent="0.35">
      <c r="A322" s="17" t="s">
        <v>3711</v>
      </c>
      <c r="B322" t="s">
        <v>5999</v>
      </c>
      <c r="C322" s="9" t="str">
        <f>_xlfn.CONCAT(HEX2DEC(MID(Table14[[#This Row],[Color Code]], 1, 2))," , ",HEX2DEC(MID(Table14[[#This Row],[Color Code]], 3, 2))," , ",HEX2DEC(MID(Table14[[#This Row],[Color Code]], 5, 2)))</f>
        <v>208 , 199 , 198</v>
      </c>
      <c r="D3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51.778373863998475</v>
      </c>
      <c r="E322" t="str">
        <f>Table14[[#This Row],[Color Code]] &amp; " - " &amp;Table14[[#This Row],[Color Name]]</f>
        <v>D0C7C6 - 8218</v>
      </c>
    </row>
    <row r="323" spans="1:5" x14ac:dyDescent="0.35">
      <c r="A323" s="17" t="s">
        <v>3464</v>
      </c>
      <c r="B323" t="s">
        <v>5729</v>
      </c>
      <c r="C323" s="9" t="str">
        <f>_xlfn.CONCAT(HEX2DEC(MID(Table14[[#This Row],[Color Code]], 1, 2))," , ",HEX2DEC(MID(Table14[[#This Row],[Color Code]], 3, 2))," , ",HEX2DEC(MID(Table14[[#This Row],[Color Code]], 5, 2)))</f>
        <v>225 , 154 , 121</v>
      </c>
      <c r="D3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51.826634079399753</v>
      </c>
      <c r="E323" t="str">
        <f>Table14[[#This Row],[Color Code]] &amp; " - " &amp;Table14[[#This Row],[Color Name]]</f>
        <v>E19A79 - 8007</v>
      </c>
    </row>
    <row r="324" spans="1:5" x14ac:dyDescent="0.35">
      <c r="A324" s="17" t="s">
        <v>3109</v>
      </c>
      <c r="B324" t="s">
        <v>5362</v>
      </c>
      <c r="C324" s="9" t="str">
        <f>_xlfn.CONCAT(HEX2DEC(MID(Table14[[#This Row],[Color Code]], 1, 2))," , ",HEX2DEC(MID(Table14[[#This Row],[Color Code]], 3, 2))," , ",HEX2DEC(MID(Table14[[#This Row],[Color Code]], 5, 2)))</f>
        <v>209 , 224 , 154</v>
      </c>
      <c r="D3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51.874849397371747</v>
      </c>
      <c r="E324" t="str">
        <f>Table14[[#This Row],[Color Code]] &amp; " - " &amp;Table14[[#This Row],[Color Name]]</f>
        <v>D1E09A - 9353</v>
      </c>
    </row>
    <row r="325" spans="1:5" x14ac:dyDescent="0.35">
      <c r="A325" s="17" t="s">
        <v>2810</v>
      </c>
      <c r="B325" t="s">
        <v>5026</v>
      </c>
      <c r="C325" s="9" t="str">
        <f>_xlfn.CONCAT(HEX2DEC(MID(Table14[[#This Row],[Color Code]], 1, 2))," , ",HEX2DEC(MID(Table14[[#This Row],[Color Code]], 3, 2))," , ",HEX2DEC(MID(Table14[[#This Row],[Color Code]], 5, 2)))</f>
        <v>185 , 200 , 200</v>
      </c>
      <c r="D3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51.951900831442153</v>
      </c>
      <c r="E325" t="str">
        <f>Table14[[#This Row],[Color Code]] &amp; " - " &amp;Table14[[#This Row],[Color Name]]</f>
        <v>B9C8C8 - 9474</v>
      </c>
    </row>
    <row r="326" spans="1:5" x14ac:dyDescent="0.35">
      <c r="A326" s="17" t="s">
        <v>4490</v>
      </c>
      <c r="B326" t="s">
        <v>5991</v>
      </c>
      <c r="C326" s="9" t="str">
        <f>_xlfn.CONCAT(HEX2DEC(MID(Table14[[#This Row],[Color Code]], 1, 2))," , ",HEX2DEC(MID(Table14[[#This Row],[Color Code]], 3, 2))," , ",HEX2DEC(MID(Table14[[#This Row],[Color Code]], 5, 2)))</f>
        <v>150 , 145 , 149</v>
      </c>
      <c r="D3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51.96152422706632</v>
      </c>
      <c r="E326" t="str">
        <f>Table14[[#This Row],[Color Code]] &amp; " - " &amp;Table14[[#This Row],[Color Name]]</f>
        <v>969195 - K077</v>
      </c>
    </row>
    <row r="327" spans="1:5" x14ac:dyDescent="0.35">
      <c r="A327" s="17" t="s">
        <v>4187</v>
      </c>
      <c r="B327" t="s">
        <v>6542</v>
      </c>
      <c r="C327" s="9" t="str">
        <f>_xlfn.CONCAT(HEX2DEC(MID(Table14[[#This Row],[Color Code]], 1, 2))," , ",HEX2DEC(MID(Table14[[#This Row],[Color Code]], 3, 2))," , ",HEX2DEC(MID(Table14[[#This Row],[Color Code]], 5, 2)))</f>
        <v>220 , 193 , 195</v>
      </c>
      <c r="D3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52.038447325030752</v>
      </c>
      <c r="E327" t="str">
        <f>Table14[[#This Row],[Color Code]] &amp; " - " &amp;Table14[[#This Row],[Color Name]]</f>
        <v>DCC1C3 - 8698</v>
      </c>
    </row>
    <row r="328" spans="1:5" x14ac:dyDescent="0.35">
      <c r="A328" s="17" t="s">
        <v>2609</v>
      </c>
      <c r="B328" t="s">
        <v>4805</v>
      </c>
      <c r="C328" s="9" t="str">
        <f>_xlfn.CONCAT(HEX2DEC(MID(Table14[[#This Row],[Color Code]], 1, 2))," , ",HEX2DEC(MID(Table14[[#This Row],[Color Code]], 3, 2))," , ",HEX2DEC(MID(Table14[[#This Row],[Color Code]], 5, 2)))</f>
        <v>214 , 147 , 193</v>
      </c>
      <c r="D3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52.076866265166146</v>
      </c>
      <c r="E328" t="str">
        <f>Table14[[#This Row],[Color Code]] &amp; " - " &amp;Table14[[#This Row],[Color Name]]</f>
        <v>D693C1 - 9423</v>
      </c>
    </row>
    <row r="329" spans="1:5" x14ac:dyDescent="0.35">
      <c r="A329" s="17" t="s">
        <v>3501</v>
      </c>
      <c r="B329" t="s">
        <v>5768</v>
      </c>
      <c r="C329" s="9" t="str">
        <f>_xlfn.CONCAT(HEX2DEC(MID(Table14[[#This Row],[Color Code]], 1, 2))," , ",HEX2DEC(MID(Table14[[#This Row],[Color Code]], 3, 2))," , ",HEX2DEC(MID(Table14[[#This Row],[Color Code]], 5, 2)))</f>
        <v>243 , 179 , 165</v>
      </c>
      <c r="D3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52.124850119688595</v>
      </c>
      <c r="E329" t="str">
        <f>Table14[[#This Row],[Color Code]] &amp; " - " &amp;Table14[[#This Row],[Color Name]]</f>
        <v>F3B3A5 - 8032</v>
      </c>
    </row>
    <row r="330" spans="1:5" x14ac:dyDescent="0.35">
      <c r="A330" s="17" t="s">
        <v>3267</v>
      </c>
      <c r="B330" t="s">
        <v>5526</v>
      </c>
      <c r="C330" s="9" t="str">
        <f>_xlfn.CONCAT(HEX2DEC(MID(Table14[[#This Row],[Color Code]], 1, 2))," , ",HEX2DEC(MID(Table14[[#This Row],[Color Code]], 3, 2))," , ",HEX2DEC(MID(Table14[[#This Row],[Color Code]], 5, 2)))</f>
        <v>226 , 202 , 126</v>
      </c>
      <c r="D3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52.211109928826453</v>
      </c>
      <c r="E330" t="str">
        <f>Table14[[#This Row],[Color Code]] &amp; " - " &amp;Table14[[#This Row],[Color Name]]</f>
        <v>E2CA7E - 7855</v>
      </c>
    </row>
    <row r="331" spans="1:5" x14ac:dyDescent="0.35">
      <c r="A331" s="17" t="s">
        <v>2613</v>
      </c>
      <c r="B331" t="s">
        <v>4810</v>
      </c>
      <c r="C331" s="9" t="str">
        <f>_xlfn.CONCAT(HEX2DEC(MID(Table14[[#This Row],[Color Code]], 1, 2))," , ",HEX2DEC(MID(Table14[[#This Row],[Color Code]], 3, 2))," , ",HEX2DEC(MID(Table14[[#This Row],[Color Code]], 5, 2)))</f>
        <v>201 , 131 , 182</v>
      </c>
      <c r="D3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52.40229002629561</v>
      </c>
      <c r="E331" t="str">
        <f>Table14[[#This Row],[Color Code]] &amp; " - " &amp;Table14[[#This Row],[Color Name]]</f>
        <v>C983B6 - 9587</v>
      </c>
    </row>
    <row r="332" spans="1:5" x14ac:dyDescent="0.35">
      <c r="A332" s="17" t="s">
        <v>3353</v>
      </c>
      <c r="B332" t="s">
        <v>5612</v>
      </c>
      <c r="C332" s="9" t="str">
        <f>_xlfn.CONCAT(HEX2DEC(MID(Table14[[#This Row],[Color Code]], 1, 2))," , ",HEX2DEC(MID(Table14[[#This Row],[Color Code]], 3, 2))," , ",HEX2DEC(MID(Table14[[#This Row],[Color Code]], 5, 2)))</f>
        <v>238 , 192 , 136</v>
      </c>
      <c r="D3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52.592775169218825</v>
      </c>
      <c r="E332" t="str">
        <f>Table14[[#This Row],[Color Code]] &amp; " - " &amp;Table14[[#This Row],[Color Name]]</f>
        <v>EEC088 - 7936</v>
      </c>
    </row>
    <row r="333" spans="1:5" x14ac:dyDescent="0.35">
      <c r="A333" s="17" t="s">
        <v>3998</v>
      </c>
      <c r="B333" t="s">
        <v>6338</v>
      </c>
      <c r="C333" s="9" t="str">
        <f>_xlfn.CONCAT(HEX2DEC(MID(Table14[[#This Row],[Color Code]], 1, 2))," , ",HEX2DEC(MID(Table14[[#This Row],[Color Code]], 3, 2))," , ",HEX2DEC(MID(Table14[[#This Row],[Color Code]], 5, 2)))</f>
        <v>180 , 147 , 112</v>
      </c>
      <c r="D3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52.697248505021591</v>
      </c>
      <c r="E333" t="str">
        <f>Table14[[#This Row],[Color Code]] &amp; " - " &amp;Table14[[#This Row],[Color Name]]</f>
        <v>B49370 - 8527</v>
      </c>
    </row>
    <row r="334" spans="1:5" x14ac:dyDescent="0.35">
      <c r="A334" s="17" t="s">
        <v>2813</v>
      </c>
      <c r="B334" t="s">
        <v>5029</v>
      </c>
      <c r="C334" s="9" t="str">
        <f>_xlfn.CONCAT(HEX2DEC(MID(Table14[[#This Row],[Color Code]], 1, 2))," , ",HEX2DEC(MID(Table14[[#This Row],[Color Code]], 3, 2))," , ",HEX2DEC(MID(Table14[[#This Row],[Color Code]], 5, 2)))</f>
        <v>148 , 176 , 184</v>
      </c>
      <c r="D3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52.706735812417755</v>
      </c>
      <c r="E334" t="str">
        <f>Table14[[#This Row],[Color Code]] &amp; " - " &amp;Table14[[#This Row],[Color Name]]</f>
        <v>94B0B8 - 7384</v>
      </c>
    </row>
    <row r="335" spans="1:5" x14ac:dyDescent="0.35">
      <c r="A335" s="17" t="s">
        <v>2812</v>
      </c>
      <c r="B335" t="s">
        <v>5028</v>
      </c>
      <c r="C335" s="9" t="str">
        <f>_xlfn.CONCAT(HEX2DEC(MID(Table14[[#This Row],[Color Code]], 1, 2))," , ",HEX2DEC(MID(Table14[[#This Row],[Color Code]], 3, 2))," , ",HEX2DEC(MID(Table14[[#This Row],[Color Code]], 5, 2)))</f>
        <v>165 , 192 , 197</v>
      </c>
      <c r="D3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52.744667976962376</v>
      </c>
      <c r="E335" t="str">
        <f>Table14[[#This Row],[Color Code]] &amp; " - " &amp;Table14[[#This Row],[Color Name]]</f>
        <v>A5C0C5 - 7385</v>
      </c>
    </row>
    <row r="336" spans="1:5" x14ac:dyDescent="0.35">
      <c r="A336" s="17" t="s">
        <v>2612</v>
      </c>
      <c r="B336" t="s">
        <v>4809</v>
      </c>
      <c r="C336" s="9" t="str">
        <f>_xlfn.CONCAT(HEX2DEC(MID(Table14[[#This Row],[Color Code]], 1, 2))," , ",HEX2DEC(MID(Table14[[#This Row],[Color Code]], 3, 2))," , ",HEX2DEC(MID(Table14[[#This Row],[Color Code]], 5, 2)))</f>
        <v>215 , 163 , 201</v>
      </c>
      <c r="D3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52.810983706043572</v>
      </c>
      <c r="E336" t="str">
        <f>Table14[[#This Row],[Color Code]] &amp; " - " &amp;Table14[[#This Row],[Color Name]]</f>
        <v>D7A3C9 - 9586</v>
      </c>
    </row>
    <row r="337" spans="1:5" x14ac:dyDescent="0.35">
      <c r="A337" s="17" t="s">
        <v>3609</v>
      </c>
      <c r="B337" t="s">
        <v>5879</v>
      </c>
      <c r="C337" s="9" t="str">
        <f>_xlfn.CONCAT(HEX2DEC(MID(Table14[[#This Row],[Color Code]], 1, 2))," , ",HEX2DEC(MID(Table14[[#This Row],[Color Code]], 3, 2))," , ",HEX2DEC(MID(Table14[[#This Row],[Color Code]], 5, 2)))</f>
        <v>233 , 170 , 188</v>
      </c>
      <c r="D3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52.867759551545213</v>
      </c>
      <c r="E337" t="str">
        <f>Table14[[#This Row],[Color Code]] &amp; " - " &amp;Table14[[#This Row],[Color Name]]</f>
        <v>E9AABC - K014</v>
      </c>
    </row>
    <row r="338" spans="1:5" x14ac:dyDescent="0.35">
      <c r="A338" s="17" t="s">
        <v>3138</v>
      </c>
      <c r="B338" t="s">
        <v>5394</v>
      </c>
      <c r="C338" s="9" t="str">
        <f>_xlfn.CONCAT(HEX2DEC(MID(Table14[[#This Row],[Color Code]], 1, 2))," , ",HEX2DEC(MID(Table14[[#This Row],[Color Code]], 3, 2))," , ",HEX2DEC(MID(Table14[[#This Row],[Color Code]], 5, 2)))</f>
        <v>221 , 217 , 141</v>
      </c>
      <c r="D3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52.924474489596967</v>
      </c>
      <c r="E338" t="str">
        <f>Table14[[#This Row],[Color Code]] &amp; " - " &amp;Table14[[#This Row],[Color Name]]</f>
        <v>DDD98D - K286</v>
      </c>
    </row>
    <row r="339" spans="1:5" x14ac:dyDescent="0.35">
      <c r="A339" s="17" t="s">
        <v>3290</v>
      </c>
      <c r="B339" t="s">
        <v>5549</v>
      </c>
      <c r="C339" s="9" t="str">
        <f>_xlfn.CONCAT(HEX2DEC(MID(Table14[[#This Row],[Color Code]], 1, 2))," , ",HEX2DEC(MID(Table14[[#This Row],[Color Code]], 3, 2))," , ",HEX2DEC(MID(Table14[[#This Row],[Color Code]], 5, 2)))</f>
        <v>235 , 203 , 142</v>
      </c>
      <c r="D3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52.933921071464184</v>
      </c>
      <c r="E339" t="str">
        <f>Table14[[#This Row],[Color Code]] &amp; " - " &amp;Table14[[#This Row],[Color Name]]</f>
        <v>EBCB8E - 7880</v>
      </c>
    </row>
    <row r="340" spans="1:5" x14ac:dyDescent="0.35">
      <c r="A340" s="17" t="s">
        <v>3987</v>
      </c>
      <c r="B340" t="s">
        <v>6327</v>
      </c>
      <c r="C340" s="9" t="str">
        <f>_xlfn.CONCAT(HEX2DEC(MID(Table14[[#This Row],[Color Code]], 1, 2))," , ",HEX2DEC(MID(Table14[[#This Row],[Color Code]], 3, 2))," , ",HEX2DEC(MID(Table14[[#This Row],[Color Code]], 5, 2)))</f>
        <v>234 , 205 , 167</v>
      </c>
      <c r="D3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52.990565197967079</v>
      </c>
      <c r="E340" t="str">
        <f>Table14[[#This Row],[Color Code]] &amp; " - " &amp;Table14[[#This Row],[Color Name]]</f>
        <v>EACDA7 - 0315</v>
      </c>
    </row>
    <row r="341" spans="1:5" x14ac:dyDescent="0.35">
      <c r="A341" s="17" t="s">
        <v>2628</v>
      </c>
      <c r="B341" t="s">
        <v>4828</v>
      </c>
      <c r="C341" s="9" t="str">
        <f>_xlfn.CONCAT(HEX2DEC(MID(Table14[[#This Row],[Color Code]], 1, 2))," , ",HEX2DEC(MID(Table14[[#This Row],[Color Code]], 3, 2))," , ",HEX2DEC(MID(Table14[[#This Row],[Color Code]], 5, 2)))</f>
        <v>200 , 168 , 207</v>
      </c>
      <c r="D3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53.075418038862395</v>
      </c>
      <c r="E341" t="str">
        <f>Table14[[#This Row],[Color Code]] &amp; " - " &amp;Table14[[#This Row],[Color Name]]</f>
        <v>C8A8CF - 7112</v>
      </c>
    </row>
    <row r="342" spans="1:5" x14ac:dyDescent="0.35">
      <c r="A342" s="17" t="s">
        <v>3697</v>
      </c>
      <c r="B342" t="s">
        <v>5982</v>
      </c>
      <c r="C342" s="9" t="str">
        <f>_xlfn.CONCAT(HEX2DEC(MID(Table14[[#This Row],[Color Code]], 1, 2))," , ",HEX2DEC(MID(Table14[[#This Row],[Color Code]], 3, 2))," , ",HEX2DEC(MID(Table14[[#This Row],[Color Code]], 5, 2)))</f>
        <v>211 , 196 , 200</v>
      </c>
      <c r="D3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53.169540152233779</v>
      </c>
      <c r="E342" t="str">
        <f>Table14[[#This Row],[Color Code]] &amp; " - " &amp;Table14[[#This Row],[Color Name]]</f>
        <v>D3C4C8 - 8210</v>
      </c>
    </row>
    <row r="343" spans="1:5" x14ac:dyDescent="0.35">
      <c r="A343" s="17" t="s">
        <v>4240</v>
      </c>
      <c r="B343" t="s">
        <v>6606</v>
      </c>
      <c r="C343" s="9" t="str">
        <f>_xlfn.CONCAT(HEX2DEC(MID(Table14[[#This Row],[Color Code]], 1, 2))," , ",HEX2DEC(MID(Table14[[#This Row],[Color Code]], 3, 2))," , ",HEX2DEC(MID(Table14[[#This Row],[Color Code]], 5, 2)))</f>
        <v>217 , 204 , 192</v>
      </c>
      <c r="D3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53.244718047896548</v>
      </c>
      <c r="E343" t="str">
        <f>Table14[[#This Row],[Color Code]] &amp; " - " &amp;Table14[[#This Row],[Color Name]]</f>
        <v>D9CCC0 - 8763</v>
      </c>
    </row>
    <row r="344" spans="1:5" x14ac:dyDescent="0.35">
      <c r="A344" s="17" t="s">
        <v>2899</v>
      </c>
      <c r="B344" t="s">
        <v>5123</v>
      </c>
      <c r="C344" s="9" t="str">
        <f>_xlfn.CONCAT(HEX2DEC(MID(Table14[[#This Row],[Color Code]], 1, 2))," , ",HEX2DEC(MID(Table14[[#This Row],[Color Code]], 3, 2))," , ",HEX2DEC(MID(Table14[[#This Row],[Color Code]], 5, 2)))</f>
        <v>158 , 195 , 191</v>
      </c>
      <c r="D3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53.404119691274758</v>
      </c>
      <c r="E344" t="str">
        <f>Table14[[#This Row],[Color Code]] &amp; " - " &amp;Table14[[#This Row],[Color Name]]</f>
        <v>9EC3BF - 7481</v>
      </c>
    </row>
    <row r="345" spans="1:5" x14ac:dyDescent="0.35">
      <c r="A345" s="17" t="s">
        <v>3657</v>
      </c>
      <c r="B345" t="s">
        <v>5929</v>
      </c>
      <c r="C345" s="9" t="str">
        <f>_xlfn.CONCAT(HEX2DEC(MID(Table14[[#This Row],[Color Code]], 1, 2))," , ",HEX2DEC(MID(Table14[[#This Row],[Color Code]], 3, 2))," , ",HEX2DEC(MID(Table14[[#This Row],[Color Code]], 5, 2)))</f>
        <v>210 , 169 , 205</v>
      </c>
      <c r="D3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53.478967828483754</v>
      </c>
      <c r="E345" t="str">
        <f>Table14[[#This Row],[Color Code]] &amp; " - " &amp;Table14[[#This Row],[Color Name]]</f>
        <v>D2A9CD - 8168</v>
      </c>
    </row>
    <row r="346" spans="1:5" x14ac:dyDescent="0.35">
      <c r="A346" s="17" t="s">
        <v>3897</v>
      </c>
      <c r="B346" t="s">
        <v>6222</v>
      </c>
      <c r="C346" s="9" t="str">
        <f>_xlfn.CONCAT(HEX2DEC(MID(Table14[[#This Row],[Color Code]], 1, 2))," , ",HEX2DEC(MID(Table14[[#This Row],[Color Code]], 3, 2))," , ",HEX2DEC(MID(Table14[[#This Row],[Color Code]], 5, 2)))</f>
        <v>209 , 213 , 189</v>
      </c>
      <c r="D3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53.749418601506754</v>
      </c>
      <c r="E346" t="str">
        <f>Table14[[#This Row],[Color Code]] &amp; " - " &amp;Table14[[#This Row],[Color Name]]</f>
        <v>D1D5BD - 8419</v>
      </c>
    </row>
    <row r="347" spans="1:5" x14ac:dyDescent="0.35">
      <c r="A347" s="17" t="s">
        <v>2970</v>
      </c>
      <c r="B347" t="s">
        <v>5211</v>
      </c>
      <c r="C347" s="9" t="str">
        <f>_xlfn.CONCAT(HEX2DEC(MID(Table14[[#This Row],[Color Code]], 1, 2))," , ",HEX2DEC(MID(Table14[[#This Row],[Color Code]], 3, 2))," , ",HEX2DEC(MID(Table14[[#This Row],[Color Code]], 5, 2)))</f>
        <v>163 , 206 , 188</v>
      </c>
      <c r="D3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53.768020235080257</v>
      </c>
      <c r="E347" t="str">
        <f>Table14[[#This Row],[Color Code]] &amp; " - " &amp;Table14[[#This Row],[Color Name]]</f>
        <v>A3CEBC - 7561</v>
      </c>
    </row>
    <row r="348" spans="1:5" x14ac:dyDescent="0.35">
      <c r="A348" s="17" t="s">
        <v>4148</v>
      </c>
      <c r="B348" t="s">
        <v>6501</v>
      </c>
      <c r="C348" s="9" t="str">
        <f>_xlfn.CONCAT(HEX2DEC(MID(Table14[[#This Row],[Color Code]], 1, 2))," , ",HEX2DEC(MID(Table14[[#This Row],[Color Code]], 3, 2))," , ",HEX2DEC(MID(Table14[[#This Row],[Color Code]], 5, 2)))</f>
        <v>225 , 206 , 184</v>
      </c>
      <c r="D3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53.768020235080257</v>
      </c>
      <c r="E348" t="str">
        <f>Table14[[#This Row],[Color Code]] &amp; " - " &amp;Table14[[#This Row],[Color Name]]</f>
        <v>E1CEB8 - 9531</v>
      </c>
    </row>
    <row r="349" spans="1:5" x14ac:dyDescent="0.35">
      <c r="A349" s="17" t="s">
        <v>2678</v>
      </c>
      <c r="B349" t="s">
        <v>4885</v>
      </c>
      <c r="C349" s="9" t="str">
        <f>_xlfn.CONCAT(HEX2DEC(MID(Table14[[#This Row],[Color Code]], 1, 2))," , ",HEX2DEC(MID(Table14[[#This Row],[Color Code]], 3, 2))," , ",HEX2DEC(MID(Table14[[#This Row],[Color Code]], 5, 2)))</f>
        <v>162 , 163 , 198</v>
      </c>
      <c r="D3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53.786615435440815</v>
      </c>
      <c r="E349" t="str">
        <f>Table14[[#This Row],[Color Code]] &amp; " - " &amp;Table14[[#This Row],[Color Name]]</f>
        <v>A2A3C6 - 7168</v>
      </c>
    </row>
    <row r="350" spans="1:5" x14ac:dyDescent="0.35">
      <c r="A350" s="17" t="s">
        <v>4225</v>
      </c>
      <c r="B350" t="s">
        <v>6589</v>
      </c>
      <c r="C350" s="9" t="str">
        <f>_xlfn.CONCAT(HEX2DEC(MID(Table14[[#This Row],[Color Code]], 1, 2))," , ",HEX2DEC(MID(Table14[[#This Row],[Color Code]], 3, 2))," , ",HEX2DEC(MID(Table14[[#This Row],[Color Code]], 5, 2)))</f>
        <v>212 , 204 , 196</v>
      </c>
      <c r="D3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54.055527006958314</v>
      </c>
      <c r="E350" t="str">
        <f>Table14[[#This Row],[Color Code]] &amp; " - " &amp;Table14[[#This Row],[Color Name]]</f>
        <v>D4CCC4 - K282</v>
      </c>
    </row>
    <row r="351" spans="1:5" x14ac:dyDescent="0.35">
      <c r="A351" s="17" t="s">
        <v>3751</v>
      </c>
      <c r="B351" t="s">
        <v>6040</v>
      </c>
      <c r="C351" s="9" t="str">
        <f>_xlfn.CONCAT(HEX2DEC(MID(Table14[[#This Row],[Color Code]], 1, 2))," , ",HEX2DEC(MID(Table14[[#This Row],[Color Code]], 3, 2))," , ",HEX2DEC(MID(Table14[[#This Row],[Color Code]], 5, 2)))</f>
        <v>142 , 157 , 165</v>
      </c>
      <c r="D3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54.0740233383831</v>
      </c>
      <c r="E351" t="str">
        <f>Table14[[#This Row],[Color Code]] &amp; " - " &amp;Table14[[#This Row],[Color Name]]</f>
        <v>8E9DA5 - 8265</v>
      </c>
    </row>
    <row r="352" spans="1:5" x14ac:dyDescent="0.35">
      <c r="A352" s="17" t="s">
        <v>3104</v>
      </c>
      <c r="B352" t="s">
        <v>5356</v>
      </c>
      <c r="C352" s="9" t="str">
        <f>_xlfn.CONCAT(HEX2DEC(MID(Table14[[#This Row],[Color Code]], 1, 2))," , ",HEX2DEC(MID(Table14[[#This Row],[Color Code]], 3, 2))," , ",HEX2DEC(MID(Table14[[#This Row],[Color Code]], 5, 2)))</f>
        <v>214 , 221 , 173</v>
      </c>
      <c r="D3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54.0740233383831</v>
      </c>
      <c r="E352" t="str">
        <f>Table14[[#This Row],[Color Code]] &amp; " - " &amp;Table14[[#This Row],[Color Name]]</f>
        <v>D6DDAD - 7729</v>
      </c>
    </row>
    <row r="353" spans="1:5" x14ac:dyDescent="0.35">
      <c r="A353" s="17" t="s">
        <v>3110</v>
      </c>
      <c r="B353" t="s">
        <v>5363</v>
      </c>
      <c r="C353" s="9" t="str">
        <f>_xlfn.CONCAT(HEX2DEC(MID(Table14[[#This Row],[Color Code]], 1, 2))," , ",HEX2DEC(MID(Table14[[#This Row],[Color Code]], 3, 2))," , ",HEX2DEC(MID(Table14[[#This Row],[Color Code]], 5, 2)))</f>
        <v>203 , 228 , 155</v>
      </c>
      <c r="D3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54.12947441089743</v>
      </c>
      <c r="E353" t="str">
        <f>Table14[[#This Row],[Color Code]] &amp; " - " &amp;Table14[[#This Row],[Color Name]]</f>
        <v>CBE49B - 9796</v>
      </c>
    </row>
    <row r="354" spans="1:5" x14ac:dyDescent="0.35">
      <c r="A354" s="17" t="s">
        <v>4226</v>
      </c>
      <c r="B354" t="s">
        <v>6590</v>
      </c>
      <c r="C354" s="9" t="str">
        <f>_xlfn.CONCAT(HEX2DEC(MID(Table14[[#This Row],[Color Code]], 1, 2))," , ",HEX2DEC(MID(Table14[[#This Row],[Color Code]], 3, 2))," , ",HEX2DEC(MID(Table14[[#This Row],[Color Code]], 5, 2)))</f>
        <v>216 , 201 , 196</v>
      </c>
      <c r="D3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54.157178656204017</v>
      </c>
      <c r="E354" t="str">
        <f>Table14[[#This Row],[Color Code]] &amp; " - " &amp;Table14[[#This Row],[Color Name]]</f>
        <v>D8C9C4 - 8747</v>
      </c>
    </row>
    <row r="355" spans="1:5" x14ac:dyDescent="0.35">
      <c r="A355" s="17" t="s">
        <v>4211</v>
      </c>
      <c r="B355" t="s">
        <v>6569</v>
      </c>
      <c r="C355" s="9" t="str">
        <f>_xlfn.CONCAT(HEX2DEC(MID(Table14[[#This Row],[Color Code]], 1, 2))," , ",HEX2DEC(MID(Table14[[#This Row],[Color Code]], 3, 2))," , ",HEX2DEC(MID(Table14[[#This Row],[Color Code]], 5, 2)))</f>
        <v>168 , 129 , 139</v>
      </c>
      <c r="D3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54.295487841992909</v>
      </c>
      <c r="E355" t="str">
        <f>Table14[[#This Row],[Color Code]] &amp; " - " &amp;Table14[[#This Row],[Color Name]]</f>
        <v>A8818B - 8711</v>
      </c>
    </row>
    <row r="356" spans="1:5" x14ac:dyDescent="0.35">
      <c r="A356" s="17" t="s">
        <v>3585</v>
      </c>
      <c r="B356" t="s">
        <v>5854</v>
      </c>
      <c r="C356" s="9" t="str">
        <f>_xlfn.CONCAT(HEX2DEC(MID(Table14[[#This Row],[Color Code]], 1, 2))," , ",HEX2DEC(MID(Table14[[#This Row],[Color Code]], 3, 2))," , ",HEX2DEC(MID(Table14[[#This Row],[Color Code]], 5, 2)))</f>
        <v>229 , 190 , 192</v>
      </c>
      <c r="D3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54.433445601027316</v>
      </c>
      <c r="E356" t="str">
        <f>Table14[[#This Row],[Color Code]] &amp; " - " &amp;Table14[[#This Row],[Color Name]]</f>
        <v>E5BEC0 - 8106</v>
      </c>
    </row>
    <row r="357" spans="1:5" x14ac:dyDescent="0.35">
      <c r="A357" s="17" t="s">
        <v>3530</v>
      </c>
      <c r="B357" t="s">
        <v>5798</v>
      </c>
      <c r="C357" s="9" t="str">
        <f>_xlfn.CONCAT(HEX2DEC(MID(Table14[[#This Row],[Color Code]], 1, 2))," , ",HEX2DEC(MID(Table14[[#This Row],[Color Code]], 3, 2))," , ",HEX2DEC(MID(Table14[[#This Row],[Color Code]], 5, 2)))</f>
        <v>244 , 160 , 148</v>
      </c>
      <c r="D3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54.571054598569013</v>
      </c>
      <c r="E357" t="str">
        <f>Table14[[#This Row],[Color Code]] &amp; " - " &amp;Table14[[#This Row],[Color Name]]</f>
        <v>F4A094 - 9991</v>
      </c>
    </row>
    <row r="358" spans="1:5" x14ac:dyDescent="0.35">
      <c r="A358" s="17" t="s">
        <v>3112</v>
      </c>
      <c r="B358" t="s">
        <v>5365</v>
      </c>
      <c r="C358" s="9" t="str">
        <f>_xlfn.CONCAT(HEX2DEC(MID(Table14[[#This Row],[Color Code]], 1, 2))," , ",HEX2DEC(MID(Table14[[#This Row],[Color Code]], 3, 2))," , ",HEX2DEC(MID(Table14[[#This Row],[Color Code]], 5, 2)))</f>
        <v>188 , 215 , 118</v>
      </c>
      <c r="D3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54.63515351859094</v>
      </c>
      <c r="E358" t="str">
        <f>Table14[[#This Row],[Color Code]] &amp; " - " &amp;Table14[[#This Row],[Color Name]]</f>
        <v>BCD776 - 9797</v>
      </c>
    </row>
    <row r="359" spans="1:5" x14ac:dyDescent="0.35">
      <c r="A359" s="17" t="s">
        <v>3643</v>
      </c>
      <c r="B359" t="s">
        <v>5914</v>
      </c>
      <c r="C359" s="9" t="str">
        <f>_xlfn.CONCAT(HEX2DEC(MID(Table14[[#This Row],[Color Code]], 1, 2))," , ",HEX2DEC(MID(Table14[[#This Row],[Color Code]], 3, 2))," , ",HEX2DEC(MID(Table14[[#This Row],[Color Code]], 5, 2)))</f>
        <v>163 , 130 , 144</v>
      </c>
      <c r="D3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54.653453687758834</v>
      </c>
      <c r="E359" t="str">
        <f>Table14[[#This Row],[Color Code]] &amp; " - " &amp;Table14[[#This Row],[Color Name]]</f>
        <v>A38290 - K036</v>
      </c>
    </row>
    <row r="360" spans="1:5" x14ac:dyDescent="0.35">
      <c r="A360" s="17" t="s">
        <v>2646</v>
      </c>
      <c r="B360" t="s">
        <v>4849</v>
      </c>
      <c r="C360" s="9" t="str">
        <f>_xlfn.CONCAT(HEX2DEC(MID(Table14[[#This Row],[Color Code]], 1, 2))," , ",HEX2DEC(MID(Table14[[#This Row],[Color Code]], 3, 2))," , ",HEX2DEC(MID(Table14[[#This Row],[Color Code]], 5, 2)))</f>
        <v>173 , 152 , 201</v>
      </c>
      <c r="D3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54.827000647491197</v>
      </c>
      <c r="E360" t="str">
        <f>Table14[[#This Row],[Color Code]] &amp; " - " &amp;Table14[[#This Row],[Color Name]]</f>
        <v>AD98C9 - 9616</v>
      </c>
    </row>
    <row r="361" spans="1:5" x14ac:dyDescent="0.35">
      <c r="A361" s="17" t="s">
        <v>3875</v>
      </c>
      <c r="B361" t="s">
        <v>6197</v>
      </c>
      <c r="C361" s="9" t="str">
        <f>_xlfn.CONCAT(HEX2DEC(MID(Table14[[#This Row],[Color Code]], 1, 2))," , ",HEX2DEC(MID(Table14[[#This Row],[Color Code]], 3, 2))," , ",HEX2DEC(MID(Table14[[#This Row],[Color Code]], 5, 2)))</f>
        <v>205 , 209 , 196</v>
      </c>
      <c r="D3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54.827000647491197</v>
      </c>
      <c r="E361" t="str">
        <f>Table14[[#This Row],[Color Code]] &amp; " - " &amp;Table14[[#This Row],[Color Name]]</f>
        <v>CDD1C4 - 8395</v>
      </c>
    </row>
    <row r="362" spans="1:5" x14ac:dyDescent="0.35">
      <c r="A362" s="17" t="s">
        <v>3539</v>
      </c>
      <c r="B362" t="s">
        <v>5808</v>
      </c>
      <c r="C362" s="9" t="str">
        <f>_xlfn.CONCAT(HEX2DEC(MID(Table14[[#This Row],[Color Code]], 1, 2))," , ",HEX2DEC(MID(Table14[[#This Row],[Color Code]], 3, 2))," , ",HEX2DEC(MID(Table14[[#This Row],[Color Code]], 5, 2)))</f>
        <v>243 , 178 , 175</v>
      </c>
      <c r="D3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54.86346689738081</v>
      </c>
      <c r="E362" t="str">
        <f>Table14[[#This Row],[Color Code]] &amp; " - " &amp;Table14[[#This Row],[Color Name]]</f>
        <v>F3B2AF - 8056</v>
      </c>
    </row>
    <row r="363" spans="1:5" x14ac:dyDescent="0.35">
      <c r="A363" s="17" t="s">
        <v>2971</v>
      </c>
      <c r="B363" t="s">
        <v>5212</v>
      </c>
      <c r="C363" s="9" t="str">
        <f>_xlfn.CONCAT(HEX2DEC(MID(Table14[[#This Row],[Color Code]], 1, 2))," , ",HEX2DEC(MID(Table14[[#This Row],[Color Code]], 3, 2))," , ",HEX2DEC(MID(Table14[[#This Row],[Color Code]], 5, 2)))</f>
        <v>139 , 184 , 166</v>
      </c>
      <c r="D3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54.872579673275794</v>
      </c>
      <c r="E363" t="str">
        <f>Table14[[#This Row],[Color Code]] &amp; " - " &amp;Table14[[#This Row],[Color Name]]</f>
        <v>8BB8A6 - 7560</v>
      </c>
    </row>
    <row r="364" spans="1:5" x14ac:dyDescent="0.35">
      <c r="A364" s="17" t="s">
        <v>3163</v>
      </c>
      <c r="B364" t="s">
        <v>5419</v>
      </c>
      <c r="C364" s="9" t="str">
        <f>_xlfn.CONCAT(HEX2DEC(MID(Table14[[#This Row],[Color Code]], 1, 2))," , ",HEX2DEC(MID(Table14[[#This Row],[Color Code]], 3, 2))," , ",HEX2DEC(MID(Table14[[#This Row],[Color Code]], 5, 2)))</f>
        <v>168 , 169 , 106</v>
      </c>
      <c r="D3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54.890800686453829</v>
      </c>
      <c r="E364" t="str">
        <f>Table14[[#This Row],[Color Code]] &amp; " - " &amp;Table14[[#This Row],[Color Name]]</f>
        <v>A8A96A - 9842</v>
      </c>
    </row>
    <row r="365" spans="1:5" x14ac:dyDescent="0.35">
      <c r="A365" s="17" t="s">
        <v>3472</v>
      </c>
      <c r="B365" t="s">
        <v>5737</v>
      </c>
      <c r="C365" s="9" t="str">
        <f>_xlfn.CONCAT(HEX2DEC(MID(Table14[[#This Row],[Color Code]], 1, 2))," , ",HEX2DEC(MID(Table14[[#This Row],[Color Code]], 3, 2))," , ",HEX2DEC(MID(Table14[[#This Row],[Color Code]], 5, 2)))</f>
        <v>207 , 143 , 113</v>
      </c>
      <c r="D3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54.890800686453829</v>
      </c>
      <c r="E365" t="str">
        <f>Table14[[#This Row],[Color Code]] &amp; " - " &amp;Table14[[#This Row],[Color Name]]</f>
        <v>CF8F71 - 8015</v>
      </c>
    </row>
    <row r="366" spans="1:5" x14ac:dyDescent="0.35">
      <c r="A366" s="17" t="s">
        <v>3602</v>
      </c>
      <c r="B366" t="s">
        <v>5871</v>
      </c>
      <c r="C366" s="9" t="str">
        <f>_xlfn.CONCAT(HEX2DEC(MID(Table14[[#This Row],[Color Code]], 1, 2))," , ",HEX2DEC(MID(Table14[[#This Row],[Color Code]], 3, 2))," , ",HEX2DEC(MID(Table14[[#This Row],[Color Code]], 5, 2)))</f>
        <v>233 , 182 , 191</v>
      </c>
      <c r="D3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55.009090157900268</v>
      </c>
      <c r="E366" t="str">
        <f>Table14[[#This Row],[Color Code]] &amp; " - " &amp;Table14[[#This Row],[Color Name]]</f>
        <v>E9B6BF - 8121</v>
      </c>
    </row>
    <row r="367" spans="1:5" x14ac:dyDescent="0.35">
      <c r="A367" s="17" t="s">
        <v>3803</v>
      </c>
      <c r="B367" t="s">
        <v>6110</v>
      </c>
      <c r="C367" s="9" t="str">
        <f>_xlfn.CONCAT(HEX2DEC(MID(Table14[[#This Row],[Color Code]], 1, 2))," , ",HEX2DEC(MID(Table14[[#This Row],[Color Code]], 3, 2))," , ",HEX2DEC(MID(Table14[[#This Row],[Color Code]], 5, 2)))</f>
        <v>148 , 144 , 143</v>
      </c>
      <c r="D3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55.145262715848951</v>
      </c>
      <c r="E367" t="str">
        <f>Table14[[#This Row],[Color Code]] &amp; " - " &amp;Table14[[#This Row],[Color Name]]</f>
        <v>94908F - K116</v>
      </c>
    </row>
    <row r="368" spans="1:5" x14ac:dyDescent="0.35">
      <c r="A368" s="17" t="s">
        <v>3354</v>
      </c>
      <c r="B368" t="s">
        <v>5613</v>
      </c>
      <c r="C368" s="9" t="str">
        <f>_xlfn.CONCAT(HEX2DEC(MID(Table14[[#This Row],[Color Code]], 1, 2))," , ",HEX2DEC(MID(Table14[[#This Row],[Color Code]], 3, 2))," , ",HEX2DEC(MID(Table14[[#This Row],[Color Code]], 5, 2)))</f>
        <v>231 , 178 , 116</v>
      </c>
      <c r="D3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55.235857918565905</v>
      </c>
      <c r="E368" t="str">
        <f>Table14[[#This Row],[Color Code]] &amp; " - " &amp;Table14[[#This Row],[Color Name]]</f>
        <v>E7B274 - 7935</v>
      </c>
    </row>
    <row r="369" spans="1:5" x14ac:dyDescent="0.35">
      <c r="A369" s="17" t="s">
        <v>2700</v>
      </c>
      <c r="B369" t="s">
        <v>4908</v>
      </c>
      <c r="C369" s="9" t="str">
        <f>_xlfn.CONCAT(HEX2DEC(MID(Table14[[#This Row],[Color Code]], 1, 2))," , ",HEX2DEC(MID(Table14[[#This Row],[Color Code]], 3, 2))," , ",HEX2DEC(MID(Table14[[#This Row],[Color Code]], 5, 2)))</f>
        <v>159 , 164 , 198</v>
      </c>
      <c r="D3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55.308227236099334</v>
      </c>
      <c r="E369" t="str">
        <f>Table14[[#This Row],[Color Code]] &amp; " - " &amp;Table14[[#This Row],[Color Name]]</f>
        <v>9FA4C6 - 7201</v>
      </c>
    </row>
    <row r="370" spans="1:5" x14ac:dyDescent="0.35">
      <c r="A370" s="17" t="s">
        <v>3150</v>
      </c>
      <c r="B370" t="s">
        <v>5406</v>
      </c>
      <c r="C370" s="9" t="str">
        <f>_xlfn.CONCAT(HEX2DEC(MID(Table14[[#This Row],[Color Code]], 1, 2))," , ",HEX2DEC(MID(Table14[[#This Row],[Color Code]], 3, 2))," , ",HEX2DEC(MID(Table14[[#This Row],[Color Code]], 5, 2)))</f>
        <v>207 , 216 , 121</v>
      </c>
      <c r="D3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55.335341329027692</v>
      </c>
      <c r="E370" t="str">
        <f>Table14[[#This Row],[Color Code]] &amp; " - " &amp;Table14[[#This Row],[Color Name]]</f>
        <v>CFD879 - 7743</v>
      </c>
    </row>
    <row r="371" spans="1:5" x14ac:dyDescent="0.35">
      <c r="A371" s="17" t="s">
        <v>2635</v>
      </c>
      <c r="B371" t="s">
        <v>4835</v>
      </c>
      <c r="C371" s="9" t="str">
        <f>_xlfn.CONCAT(HEX2DEC(MID(Table14[[#This Row],[Color Code]], 1, 2))," , ",HEX2DEC(MID(Table14[[#This Row],[Color Code]], 3, 2))," , ",HEX2DEC(MID(Table14[[#This Row],[Color Code]], 5, 2)))</f>
        <v>167 , 133 , 181</v>
      </c>
      <c r="D3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55.362442142665635</v>
      </c>
      <c r="E371" t="str">
        <f>Table14[[#This Row],[Color Code]] &amp; " - " &amp;Table14[[#This Row],[Color Name]]</f>
        <v>A785B5 - 9603</v>
      </c>
    </row>
    <row r="372" spans="1:5" x14ac:dyDescent="0.35">
      <c r="A372" s="17" t="s">
        <v>3554</v>
      </c>
      <c r="B372" t="s">
        <v>5823</v>
      </c>
      <c r="C372" s="9" t="str">
        <f>_xlfn.CONCAT(HEX2DEC(MID(Table14[[#This Row],[Color Code]], 1, 2))," , ",HEX2DEC(MID(Table14[[#This Row],[Color Code]], 3, 2))," , ",HEX2DEC(MID(Table14[[#This Row],[Color Code]], 5, 2)))</f>
        <v>240 , 181 , 182</v>
      </c>
      <c r="D3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55.398555937858163</v>
      </c>
      <c r="E372" t="str">
        <f>Table14[[#This Row],[Color Code]] &amp; " - " &amp;Table14[[#This Row],[Color Name]]</f>
        <v>F0B5B6 - 8081</v>
      </c>
    </row>
    <row r="373" spans="1:5" x14ac:dyDescent="0.35">
      <c r="A373" s="17" t="s">
        <v>3769</v>
      </c>
      <c r="B373" t="s">
        <v>6062</v>
      </c>
      <c r="C373" s="9" t="str">
        <f>_xlfn.CONCAT(HEX2DEC(MID(Table14[[#This Row],[Color Code]], 1, 2))," , ",HEX2DEC(MID(Table14[[#This Row],[Color Code]], 3, 2))," , ",HEX2DEC(MID(Table14[[#This Row],[Color Code]], 5, 2)))</f>
        <v>180 , 198 , 204</v>
      </c>
      <c r="D3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55.443665102516448</v>
      </c>
      <c r="E373" t="str">
        <f>Table14[[#This Row],[Color Code]] &amp; " - " &amp;Table14[[#This Row],[Color Name]]</f>
        <v>B4C6CC - 8274</v>
      </c>
    </row>
    <row r="374" spans="1:5" x14ac:dyDescent="0.35">
      <c r="A374" s="17" t="s">
        <v>3742</v>
      </c>
      <c r="B374" t="s">
        <v>6031</v>
      </c>
      <c r="C374" s="9" t="str">
        <f>_xlfn.CONCAT(HEX2DEC(MID(Table14[[#This Row],[Color Code]], 1, 2))," , ",HEX2DEC(MID(Table14[[#This Row],[Color Code]], 3, 2))," , ",HEX2DEC(MID(Table14[[#This Row],[Color Code]], 5, 2)))</f>
        <v>199 , 202 , 203</v>
      </c>
      <c r="D3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55.515763527128037</v>
      </c>
      <c r="E374" t="str">
        <f>Table14[[#This Row],[Color Code]] &amp; " - " &amp;Table14[[#This Row],[Color Name]]</f>
        <v>C7CACB - 8258</v>
      </c>
    </row>
    <row r="375" spans="1:5" x14ac:dyDescent="0.35">
      <c r="A375" s="17" t="s">
        <v>4565</v>
      </c>
      <c r="B375" t="s">
        <v>6583</v>
      </c>
      <c r="C375" s="9" t="str">
        <f>_xlfn.CONCAT(HEX2DEC(MID(Table14[[#This Row],[Color Code]], 1, 2))," , ",HEX2DEC(MID(Table14[[#This Row],[Color Code]], 3, 2))," , ",HEX2DEC(MID(Table14[[#This Row],[Color Code]], 5, 2)))</f>
        <v>152 , 142 , 135</v>
      </c>
      <c r="D3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55.578772926361012</v>
      </c>
      <c r="E375" t="str">
        <f>Table14[[#This Row],[Color Code]] &amp; " - " &amp;Table14[[#This Row],[Color Name]]</f>
        <v>988E87 - K276</v>
      </c>
    </row>
    <row r="376" spans="1:5" x14ac:dyDescent="0.35">
      <c r="A376" s="17" t="s">
        <v>3485</v>
      </c>
      <c r="B376" t="s">
        <v>5752</v>
      </c>
      <c r="C376" s="9" t="str">
        <f>_xlfn.CONCAT(HEX2DEC(MID(Table14[[#This Row],[Color Code]], 1, 2))," , ",HEX2DEC(MID(Table14[[#This Row],[Color Code]], 3, 2))," , ",HEX2DEC(MID(Table14[[#This Row],[Color Code]], 5, 2)))</f>
        <v>247 , 176 , 147</v>
      </c>
      <c r="D3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55.587768438749187</v>
      </c>
      <c r="E376" t="str">
        <f>Table14[[#This Row],[Color Code]] &amp; " - " &amp;Table14[[#This Row],[Color Name]]</f>
        <v>F7B093 - 9965</v>
      </c>
    </row>
    <row r="377" spans="1:5" x14ac:dyDescent="0.35">
      <c r="A377" s="17" t="s">
        <v>3131</v>
      </c>
      <c r="B377" t="s">
        <v>5386</v>
      </c>
      <c r="C377" s="9" t="str">
        <f>_xlfn.CONCAT(HEX2DEC(MID(Table14[[#This Row],[Color Code]], 1, 2))," , ",HEX2DEC(MID(Table14[[#This Row],[Color Code]], 3, 2))," , ",HEX2DEC(MID(Table14[[#This Row],[Color Code]], 5, 2)))</f>
        <v>213 , 220 , 130</v>
      </c>
      <c r="D3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55.596762495670554</v>
      </c>
      <c r="E377" t="str">
        <f>Table14[[#This Row],[Color Code]] &amp; " - " &amp;Table14[[#This Row],[Color Name]]</f>
        <v>D5DC82 - 9818</v>
      </c>
    </row>
    <row r="378" spans="1:5" x14ac:dyDescent="0.35">
      <c r="A378" s="17" t="s">
        <v>3249</v>
      </c>
      <c r="B378" t="s">
        <v>5507</v>
      </c>
      <c r="C378" s="9" t="str">
        <f>_xlfn.CONCAT(HEX2DEC(MID(Table14[[#This Row],[Color Code]], 1, 2))," , ",HEX2DEC(MID(Table14[[#This Row],[Color Code]], 3, 2))," , ",HEX2DEC(MID(Table14[[#This Row],[Color Code]], 5, 2)))</f>
        <v>226 , 212 , 179</v>
      </c>
      <c r="D3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55.686623169303417</v>
      </c>
      <c r="E378" t="str">
        <f>Table14[[#This Row],[Color Code]] &amp; " - " &amp;Table14[[#This Row],[Color Name]]</f>
        <v>E2D4B3 - 7850</v>
      </c>
    </row>
    <row r="379" spans="1:5" x14ac:dyDescent="0.35">
      <c r="A379" s="17" t="s">
        <v>3830</v>
      </c>
      <c r="B379" t="s">
        <v>6142</v>
      </c>
      <c r="C379" s="9" t="str">
        <f>_xlfn.CONCAT(HEX2DEC(MID(Table14[[#This Row],[Color Code]], 1, 2))," , ",HEX2DEC(MID(Table14[[#This Row],[Color Code]], 3, 2))," , ",HEX2DEC(MID(Table14[[#This Row],[Color Code]], 5, 2)))</f>
        <v>197 , 206 , 201</v>
      </c>
      <c r="D3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55.695601262577284</v>
      </c>
      <c r="E379" t="str">
        <f>Table14[[#This Row],[Color Code]] &amp; " - " &amp;Table14[[#This Row],[Color Name]]</f>
        <v>C5CEC9 - 8339</v>
      </c>
    </row>
    <row r="380" spans="1:5" x14ac:dyDescent="0.35">
      <c r="A380" s="17" t="s">
        <v>3771</v>
      </c>
      <c r="B380" t="s">
        <v>6064</v>
      </c>
      <c r="C380" s="9" t="str">
        <f>_xlfn.CONCAT(HEX2DEC(MID(Table14[[#This Row],[Color Code]], 1, 2))," , ",HEX2DEC(MID(Table14[[#This Row],[Color Code]], 3, 2))," , ",HEX2DEC(MID(Table14[[#This Row],[Color Code]], 5, 2)))</f>
        <v>141 , 163 , 174</v>
      </c>
      <c r="D3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55.731499172371095</v>
      </c>
      <c r="E380" t="str">
        <f>Table14[[#This Row],[Color Code]] &amp; " - " &amp;Table14[[#This Row],[Color Name]]</f>
        <v>8DA3AE - 8272</v>
      </c>
    </row>
    <row r="381" spans="1:5" x14ac:dyDescent="0.35">
      <c r="A381" s="17" t="s">
        <v>3306</v>
      </c>
      <c r="B381" t="s">
        <v>5565</v>
      </c>
      <c r="C381" s="9" t="str">
        <f>_xlfn.CONCAT(HEX2DEC(MID(Table14[[#This Row],[Color Code]], 1, 2))," , ",HEX2DEC(MID(Table14[[#This Row],[Color Code]], 3, 2))," , ",HEX2DEC(MID(Table14[[#This Row],[Color Code]], 5, 2)))</f>
        <v>198 , 162 , 101</v>
      </c>
      <c r="D3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55.865910893853687</v>
      </c>
      <c r="E381" t="str">
        <f>Table14[[#This Row],[Color Code]] &amp; " - " &amp;Table14[[#This Row],[Color Name]]</f>
        <v>C6A265 - 7887</v>
      </c>
    </row>
    <row r="382" spans="1:5" x14ac:dyDescent="0.35">
      <c r="A382" s="17" t="s">
        <v>3749</v>
      </c>
      <c r="B382" t="s">
        <v>6038</v>
      </c>
      <c r="C382" s="9" t="str">
        <f>_xlfn.CONCAT(HEX2DEC(MID(Table14[[#This Row],[Color Code]], 1, 2))," , ",HEX2DEC(MID(Table14[[#This Row],[Color Code]], 3, 2))," , ",HEX2DEC(MID(Table14[[#This Row],[Color Code]], 5, 2)))</f>
        <v>191 , 202 , 204</v>
      </c>
      <c r="D3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55.955339334151127</v>
      </c>
      <c r="E382" t="str">
        <f>Table14[[#This Row],[Color Code]] &amp; " - " &amp;Table14[[#This Row],[Color Name]]</f>
        <v>BFCACC - 8267</v>
      </c>
    </row>
    <row r="383" spans="1:5" x14ac:dyDescent="0.35">
      <c r="A383" s="17" t="s">
        <v>4190</v>
      </c>
      <c r="B383" t="s">
        <v>6545</v>
      </c>
      <c r="C383" s="9" t="str">
        <f>_xlfn.CONCAT(HEX2DEC(MID(Table14[[#This Row],[Color Code]], 1, 2))," , ",HEX2DEC(MID(Table14[[#This Row],[Color Code]], 3, 2))," , ",HEX2DEC(MID(Table14[[#This Row],[Color Code]], 5, 2)))</f>
        <v>164 , 130 , 137</v>
      </c>
      <c r="D3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55.97320787662612</v>
      </c>
      <c r="E383" t="str">
        <f>Table14[[#This Row],[Color Code]] &amp; " - " &amp;Table14[[#This Row],[Color Name]]</f>
        <v>A48289 - 8695</v>
      </c>
    </row>
    <row r="384" spans="1:5" x14ac:dyDescent="0.35">
      <c r="A384" s="17" t="s">
        <v>3095</v>
      </c>
      <c r="B384" t="s">
        <v>5347</v>
      </c>
      <c r="C384" s="9" t="str">
        <f>_xlfn.CONCAT(HEX2DEC(MID(Table14[[#This Row],[Color Code]], 1, 2))," , ",HEX2DEC(MID(Table14[[#This Row],[Color Code]], 3, 2))," , ",HEX2DEC(MID(Table14[[#This Row],[Color Code]], 5, 2)))</f>
        <v>217 , 218 , 181</v>
      </c>
      <c r="D3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56.124860801609124</v>
      </c>
      <c r="E384" t="str">
        <f>Table14[[#This Row],[Color Code]] &amp; " - " &amp;Table14[[#This Row],[Color Name]]</f>
        <v>D9DAB5 - 7722</v>
      </c>
    </row>
    <row r="385" spans="1:5" x14ac:dyDescent="0.35">
      <c r="A385" s="17" t="s">
        <v>4077</v>
      </c>
      <c r="B385" t="s">
        <v>6423</v>
      </c>
      <c r="C385" s="9" t="str">
        <f>_xlfn.CONCAT(HEX2DEC(MID(Table14[[#This Row],[Color Code]], 1, 2))," , ",HEX2DEC(MID(Table14[[#This Row],[Color Code]], 3, 2))," , ",HEX2DEC(MID(Table14[[#This Row],[Color Code]], 5, 2)))</f>
        <v>239 , 201 , 172</v>
      </c>
      <c r="D3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56.338264084013097</v>
      </c>
      <c r="E385" t="str">
        <f>Table14[[#This Row],[Color Code]] &amp; " - " &amp;Table14[[#This Row],[Color Name]]</f>
        <v>EFC9AC - 0572</v>
      </c>
    </row>
    <row r="386" spans="1:5" x14ac:dyDescent="0.35">
      <c r="A386" s="17" t="s">
        <v>3058</v>
      </c>
      <c r="B386" t="s">
        <v>5306</v>
      </c>
      <c r="C386" s="9" t="str">
        <f>_xlfn.CONCAT(HEX2DEC(MID(Table14[[#This Row],[Color Code]], 1, 2))," , ",HEX2DEC(MID(Table14[[#This Row],[Color Code]], 3, 2))," , ",HEX2DEC(MID(Table14[[#This Row],[Color Code]], 5, 2)))</f>
        <v>204 , 228 , 170</v>
      </c>
      <c r="D3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56.373752757821613</v>
      </c>
      <c r="E386" t="str">
        <f>Table14[[#This Row],[Color Code]] &amp; " - " &amp;Table14[[#This Row],[Color Name]]</f>
        <v>CCE4AA - 9787</v>
      </c>
    </row>
    <row r="387" spans="1:5" x14ac:dyDescent="0.35">
      <c r="A387" s="17" t="s">
        <v>3390</v>
      </c>
      <c r="B387" t="s">
        <v>5649</v>
      </c>
      <c r="C387" s="9" t="str">
        <f>_xlfn.CONCAT(HEX2DEC(MID(Table14[[#This Row],[Color Code]], 1, 2))," , ",HEX2DEC(MID(Table14[[#This Row],[Color Code]], 3, 2))," , ",HEX2DEC(MID(Table14[[#This Row],[Color Code]], 5, 2)))</f>
        <v>239 , 178 , 124</v>
      </c>
      <c r="D3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56.382621436041795</v>
      </c>
      <c r="E387" t="str">
        <f>Table14[[#This Row],[Color Code]] &amp; " - " &amp;Table14[[#This Row],[Color Name]]</f>
        <v>EFB27C - 7967</v>
      </c>
    </row>
    <row r="388" spans="1:5" x14ac:dyDescent="0.35">
      <c r="A388" s="17" t="s">
        <v>3153</v>
      </c>
      <c r="B388" t="s">
        <v>5409</v>
      </c>
      <c r="C388" s="9" t="str">
        <f>_xlfn.CONCAT(HEX2DEC(MID(Table14[[#This Row],[Color Code]], 1, 2))," , ",HEX2DEC(MID(Table14[[#This Row],[Color Code]], 3, 2))," , ",HEX2DEC(MID(Table14[[#This Row],[Color Code]], 5, 2)))</f>
        <v>216 , 226 , 157</v>
      </c>
      <c r="D3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56.400354608814297</v>
      </c>
      <c r="E388" t="str">
        <f>Table14[[#This Row],[Color Code]] &amp; " - " &amp;Table14[[#This Row],[Color Name]]</f>
        <v>D8E29D - 9833</v>
      </c>
    </row>
    <row r="389" spans="1:5" x14ac:dyDescent="0.35">
      <c r="A389" s="17" t="s">
        <v>3579</v>
      </c>
      <c r="B389" t="s">
        <v>5848</v>
      </c>
      <c r="C389" s="9" t="str">
        <f>_xlfn.CONCAT(HEX2DEC(MID(Table14[[#This Row],[Color Code]], 1, 2))," , ",HEX2DEC(MID(Table14[[#This Row],[Color Code]], 3, 2))," , ",HEX2DEC(MID(Table14[[#This Row],[Color Code]], 5, 2)))</f>
        <v>238 , 145 , 168</v>
      </c>
      <c r="D3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56.435804238089851</v>
      </c>
      <c r="E389" t="str">
        <f>Table14[[#This Row],[Color Code]] &amp; " - " &amp;Table14[[#This Row],[Color Name]]</f>
        <v>EE91A8 - 8095</v>
      </c>
    </row>
    <row r="390" spans="1:5" x14ac:dyDescent="0.35">
      <c r="A390" s="17" t="s">
        <v>4381</v>
      </c>
      <c r="B390" t="s">
        <v>6765</v>
      </c>
      <c r="C390" s="9" t="str">
        <f>_xlfn.CONCAT(HEX2DEC(MID(Table14[[#This Row],[Color Code]], 1, 2))," , ",HEX2DEC(MID(Table14[[#This Row],[Color Code]], 3, 2))," , ",HEX2DEC(MID(Table14[[#This Row],[Color Code]], 5, 2)))</f>
        <v>220 , 126 , 156</v>
      </c>
      <c r="D3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56.444663166680336</v>
      </c>
      <c r="E390" t="str">
        <f>Table14[[#This Row],[Color Code]] &amp; " - " &amp;Table14[[#This Row],[Color Name]]</f>
        <v>DC7E9C - X204</v>
      </c>
    </row>
    <row r="391" spans="1:5" x14ac:dyDescent="0.35">
      <c r="A391" s="17" t="s">
        <v>4144</v>
      </c>
      <c r="B391" t="s">
        <v>6497</v>
      </c>
      <c r="C391" s="9" t="str">
        <f>_xlfn.CONCAT(HEX2DEC(MID(Table14[[#This Row],[Color Code]], 1, 2))," , ",HEX2DEC(MID(Table14[[#This Row],[Color Code]], 3, 2))," , ",HEX2DEC(MID(Table14[[#This Row],[Color Code]], 5, 2)))</f>
        <v>202 , 131 , 121</v>
      </c>
      <c r="D3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56.49778756730214</v>
      </c>
      <c r="E391" t="str">
        <f>Table14[[#This Row],[Color Code]] &amp; " - " &amp;Table14[[#This Row],[Color Name]]</f>
        <v>CA8379 - K223</v>
      </c>
    </row>
    <row r="392" spans="1:5" x14ac:dyDescent="0.35">
      <c r="A392" s="17" t="s">
        <v>3685</v>
      </c>
      <c r="B392" t="s">
        <v>5961</v>
      </c>
      <c r="C392" s="9" t="str">
        <f>_xlfn.CONCAT(HEX2DEC(MID(Table14[[#This Row],[Color Code]], 1, 2))," , ",HEX2DEC(MID(Table14[[#This Row],[Color Code]], 3, 2))," , ",HEX2DEC(MID(Table14[[#This Row],[Color Code]], 5, 2)))</f>
        <v>149 , 139 , 148</v>
      </c>
      <c r="D3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56.515484603779164</v>
      </c>
      <c r="E392" t="str">
        <f>Table14[[#This Row],[Color Code]] &amp; " - " &amp;Table14[[#This Row],[Color Name]]</f>
        <v>958B94 - K057</v>
      </c>
    </row>
    <row r="393" spans="1:5" x14ac:dyDescent="0.35">
      <c r="A393" s="17" t="s">
        <v>3266</v>
      </c>
      <c r="B393" t="s">
        <v>5525</v>
      </c>
      <c r="C393" s="9" t="str">
        <f>_xlfn.CONCAT(HEX2DEC(MID(Table14[[#This Row],[Color Code]], 1, 2))," , ",HEX2DEC(MID(Table14[[#This Row],[Color Code]], 3, 2))," , ",HEX2DEC(MID(Table14[[#This Row],[Color Code]], 5, 2)))</f>
        <v>234 , 209 , 138</v>
      </c>
      <c r="D3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56.648036153074187</v>
      </c>
      <c r="E393" t="str">
        <f>Table14[[#This Row],[Color Code]] &amp; " - " &amp;Table14[[#This Row],[Color Name]]</f>
        <v>EAD18A - 9873</v>
      </c>
    </row>
    <row r="394" spans="1:5" x14ac:dyDescent="0.35">
      <c r="A394" s="17" t="s">
        <v>2614</v>
      </c>
      <c r="B394" t="s">
        <v>4811</v>
      </c>
      <c r="C394" s="9" t="str">
        <f>_xlfn.CONCAT(HEX2DEC(MID(Table14[[#This Row],[Color Code]], 1, 2))," , ",HEX2DEC(MID(Table14[[#This Row],[Color Code]], 3, 2))," , ",HEX2DEC(MID(Table14[[#This Row],[Color Code]], 5, 2)))</f>
        <v>187 , 123 , 177</v>
      </c>
      <c r="D3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56.683330883073552</v>
      </c>
      <c r="E394" t="str">
        <f>Table14[[#This Row],[Color Code]] &amp; " - " &amp;Table14[[#This Row],[Color Name]]</f>
        <v>BB7BB1 - 9588</v>
      </c>
    </row>
    <row r="395" spans="1:5" x14ac:dyDescent="0.35">
      <c r="A395" s="17" t="s">
        <v>3958</v>
      </c>
      <c r="B395" t="s">
        <v>6289</v>
      </c>
      <c r="C395" s="9" t="str">
        <f>_xlfn.CONCAT(HEX2DEC(MID(Table14[[#This Row],[Color Code]], 1, 2))," , ",HEX2DEC(MID(Table14[[#This Row],[Color Code]], 3, 2))," , ",HEX2DEC(MID(Table14[[#This Row],[Color Code]], 5, 2)))</f>
        <v>161 , 144 , 119</v>
      </c>
      <c r="D3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56.727418414731339</v>
      </c>
      <c r="E395" t="str">
        <f>Table14[[#This Row],[Color Code]] &amp; " - " &amp;Table14[[#This Row],[Color Name]]</f>
        <v>A19077 - 8495</v>
      </c>
    </row>
    <row r="396" spans="1:5" x14ac:dyDescent="0.35">
      <c r="A396" s="17" t="s">
        <v>3033</v>
      </c>
      <c r="B396" t="s">
        <v>5277</v>
      </c>
      <c r="C396" s="9" t="str">
        <f>_xlfn.CONCAT(HEX2DEC(MID(Table14[[#This Row],[Color Code]], 1, 2))," , ",HEX2DEC(MID(Table14[[#This Row],[Color Code]], 3, 2))," , ",HEX2DEC(MID(Table14[[#This Row],[Color Code]], 5, 2)))</f>
        <v>149 , 204 , 132</v>
      </c>
      <c r="D3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56.736231810017131</v>
      </c>
      <c r="E396" t="str">
        <f>Table14[[#This Row],[Color Code]] &amp; " - " &amp;Table14[[#This Row],[Color Name]]</f>
        <v>95CC84 - 7655</v>
      </c>
    </row>
    <row r="397" spans="1:5" x14ac:dyDescent="0.35">
      <c r="A397" s="17" t="s">
        <v>3389</v>
      </c>
      <c r="B397" t="s">
        <v>5648</v>
      </c>
      <c r="C397" s="9" t="str">
        <f>_xlfn.CONCAT(HEX2DEC(MID(Table14[[#This Row],[Color Code]], 1, 2))," , ",HEX2DEC(MID(Table14[[#This Row],[Color Code]], 3, 2))," , ",HEX2DEC(MID(Table14[[#This Row],[Color Code]], 5, 2)))</f>
        <v>245 , 192 , 144</v>
      </c>
      <c r="D3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56.736231810017131</v>
      </c>
      <c r="E397" t="str">
        <f>Table14[[#This Row],[Color Code]] &amp; " - " &amp;Table14[[#This Row],[Color Name]]</f>
        <v>F5C090 - 7968</v>
      </c>
    </row>
    <row r="398" spans="1:5" x14ac:dyDescent="0.35">
      <c r="A398" s="17" t="s">
        <v>3670</v>
      </c>
      <c r="B398" t="s">
        <v>5943</v>
      </c>
      <c r="C398" s="9" t="str">
        <f>_xlfn.CONCAT(HEX2DEC(MID(Table14[[#This Row],[Color Code]], 1, 2))," , ",HEX2DEC(MID(Table14[[#This Row],[Color Code]], 3, 2))," , ",HEX2DEC(MID(Table14[[#This Row],[Color Code]], 5, 2)))</f>
        <v>216 , 198 , 201</v>
      </c>
      <c r="D3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56.753854494650845</v>
      </c>
      <c r="E398" t="str">
        <f>Table14[[#This Row],[Color Code]] &amp; " - " &amp;Table14[[#This Row],[Color Name]]</f>
        <v>D8C6C9 - K047</v>
      </c>
    </row>
    <row r="399" spans="1:5" x14ac:dyDescent="0.35">
      <c r="A399" s="17" t="s">
        <v>3974</v>
      </c>
      <c r="B399" t="s">
        <v>6314</v>
      </c>
      <c r="C399" s="9" t="str">
        <f>_xlfn.CONCAT(HEX2DEC(MID(Table14[[#This Row],[Color Code]], 1, 2))," , ",HEX2DEC(MID(Table14[[#This Row],[Color Code]], 3, 2))," , ",HEX2DEC(MID(Table14[[#This Row],[Color Code]], 5, 2)))</f>
        <v>178 , 150 , 106</v>
      </c>
      <c r="D3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56.762663785273503</v>
      </c>
      <c r="E399" t="str">
        <f>Table14[[#This Row],[Color Code]] &amp; " - " &amp;Table14[[#This Row],[Color Name]]</f>
        <v>B2966A - 8503</v>
      </c>
    </row>
    <row r="400" spans="1:5" x14ac:dyDescent="0.35">
      <c r="A400" s="17" t="s">
        <v>4112</v>
      </c>
      <c r="B400" t="s">
        <v>6462</v>
      </c>
      <c r="C400" s="9" t="str">
        <f>_xlfn.CONCAT(HEX2DEC(MID(Table14[[#This Row],[Color Code]], 1, 2))," , ",HEX2DEC(MID(Table14[[#This Row],[Color Code]], 3, 2))," , ",HEX2DEC(MID(Table14[[#This Row],[Color Code]], 5, 2)))</f>
        <v>240 , 195 , 178</v>
      </c>
      <c r="D4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56.859475903318</v>
      </c>
      <c r="E400" t="str">
        <f>Table14[[#This Row],[Color Code]] &amp; " - " &amp;Table14[[#This Row],[Color Name]]</f>
        <v>F0C3B2 - 5132</v>
      </c>
    </row>
    <row r="401" spans="1:5" x14ac:dyDescent="0.35">
      <c r="A401" s="17" t="s">
        <v>3455</v>
      </c>
      <c r="B401" t="s">
        <v>5720</v>
      </c>
      <c r="C401" s="9" t="str">
        <f>_xlfn.CONCAT(HEX2DEC(MID(Table14[[#This Row],[Color Code]], 1, 2))," , ",HEX2DEC(MID(Table14[[#This Row],[Color Code]], 3, 2))," , ",HEX2DEC(MID(Table14[[#This Row],[Color Code]], 5, 2)))</f>
        <v>248 , 181 , 146</v>
      </c>
      <c r="D4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57.035076926396798</v>
      </c>
      <c r="E401" t="str">
        <f>Table14[[#This Row],[Color Code]] &amp; " - " &amp;Table14[[#This Row],[Color Name]]</f>
        <v>F8B592 - 8000</v>
      </c>
    </row>
    <row r="402" spans="1:5" x14ac:dyDescent="0.35">
      <c r="A402" s="17" t="s">
        <v>3196</v>
      </c>
      <c r="B402" t="s">
        <v>5454</v>
      </c>
      <c r="C402" s="9" t="str">
        <f>_xlfn.CONCAT(HEX2DEC(MID(Table14[[#This Row],[Color Code]], 1, 2))," , ",HEX2DEC(MID(Table14[[#This Row],[Color Code]], 3, 2))," , ",HEX2DEC(MID(Table14[[#This Row],[Color Code]], 5, 2)))</f>
        <v>159 , 153 , 114</v>
      </c>
      <c r="D4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57.043842787806646</v>
      </c>
      <c r="E402" t="str">
        <f>Table14[[#This Row],[Color Code]] &amp; " - " &amp;Table14[[#This Row],[Color Name]]</f>
        <v>9F9972 - 2430</v>
      </c>
    </row>
    <row r="403" spans="1:5" x14ac:dyDescent="0.35">
      <c r="A403" s="17" t="s">
        <v>3548</v>
      </c>
      <c r="B403" t="s">
        <v>5817</v>
      </c>
      <c r="C403" s="9" t="str">
        <f>_xlfn.CONCAT(HEX2DEC(MID(Table14[[#This Row],[Color Code]], 1, 2))," , ",HEX2DEC(MID(Table14[[#This Row],[Color Code]], 3, 2))," , ",HEX2DEC(MID(Table14[[#This Row],[Color Code]], 5, 2)))</f>
        <v>242 , 148 , 149</v>
      </c>
      <c r="D4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57.140178508646613</v>
      </c>
      <c r="E403" t="str">
        <f>Table14[[#This Row],[Color Code]] &amp; " - " &amp;Table14[[#This Row],[Color Name]]</f>
        <v>F29495 - 8063</v>
      </c>
    </row>
    <row r="404" spans="1:5" x14ac:dyDescent="0.35">
      <c r="A404" s="17" t="s">
        <v>3920</v>
      </c>
      <c r="B404" t="s">
        <v>6248</v>
      </c>
      <c r="C404" s="9" t="str">
        <f>_xlfn.CONCAT(HEX2DEC(MID(Table14[[#This Row],[Color Code]], 1, 2))," , ",HEX2DEC(MID(Table14[[#This Row],[Color Code]], 3, 2))," , ",HEX2DEC(MID(Table14[[#This Row],[Color Code]], 5, 2)))</f>
        <v>149 , 143 , 135</v>
      </c>
      <c r="D4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57.210138961551209</v>
      </c>
      <c r="E404" t="str">
        <f>Table14[[#This Row],[Color Code]] &amp; " - " &amp;Table14[[#This Row],[Color Name]]</f>
        <v>958F87 - 8440</v>
      </c>
    </row>
    <row r="405" spans="1:5" x14ac:dyDescent="0.35">
      <c r="A405" s="17" t="s">
        <v>3799</v>
      </c>
      <c r="B405" t="s">
        <v>6101</v>
      </c>
      <c r="C405" s="9" t="str">
        <f>_xlfn.CONCAT(HEX2DEC(MID(Table14[[#This Row],[Color Code]], 1, 2))," , ",HEX2DEC(MID(Table14[[#This Row],[Color Code]], 3, 2))," , ",HEX2DEC(MID(Table14[[#This Row],[Color Code]], 5, 2)))</f>
        <v>202 , 201 , 205</v>
      </c>
      <c r="D4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57.23635208501674</v>
      </c>
      <c r="E405" t="str">
        <f>Table14[[#This Row],[Color Code]] &amp; " - " &amp;Table14[[#This Row],[Color Name]]</f>
        <v>CAC9CD - K108</v>
      </c>
    </row>
    <row r="406" spans="1:5" x14ac:dyDescent="0.35">
      <c r="A406" s="17" t="s">
        <v>3900</v>
      </c>
      <c r="B406" t="s">
        <v>6225</v>
      </c>
      <c r="C406" s="9" t="str">
        <f>_xlfn.CONCAT(HEX2DEC(MID(Table14[[#This Row],[Color Code]], 1, 2))," , ",HEX2DEC(MID(Table14[[#This Row],[Color Code]], 3, 2))," , ",HEX2DEC(MID(Table14[[#This Row],[Color Code]], 5, 2)))</f>
        <v>146 , 154 , 128</v>
      </c>
      <c r="D4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57.323642591866054</v>
      </c>
      <c r="E406" t="str">
        <f>Table14[[#This Row],[Color Code]] &amp; " - " &amp;Table14[[#This Row],[Color Name]]</f>
        <v>929A80 - 8416</v>
      </c>
    </row>
    <row r="407" spans="1:5" x14ac:dyDescent="0.35">
      <c r="A407" s="17" t="s">
        <v>3212</v>
      </c>
      <c r="B407" t="s">
        <v>5470</v>
      </c>
      <c r="C407" s="9" t="str">
        <f>_xlfn.CONCAT(HEX2DEC(MID(Table14[[#This Row],[Color Code]], 1, 2))," , ",HEX2DEC(MID(Table14[[#This Row],[Color Code]], 3, 2))," , ",HEX2DEC(MID(Table14[[#This Row],[Color Code]], 5, 2)))</f>
        <v>180 , 164 , 100</v>
      </c>
      <c r="D4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57.358521598799946</v>
      </c>
      <c r="E407" t="str">
        <f>Table14[[#This Row],[Color Code]] &amp; " - " &amp;Table14[[#This Row],[Color Name]]</f>
        <v>B4A464 - 7807</v>
      </c>
    </row>
    <row r="408" spans="1:5" x14ac:dyDescent="0.35">
      <c r="A408" s="17" t="s">
        <v>3937</v>
      </c>
      <c r="B408" t="s">
        <v>6265</v>
      </c>
      <c r="C408" s="9" t="str">
        <f>_xlfn.CONCAT(HEX2DEC(MID(Table14[[#This Row],[Color Code]], 1, 2))," , ",HEX2DEC(MID(Table14[[#This Row],[Color Code]], 3, 2))," , ",HEX2DEC(MID(Table14[[#This Row],[Color Code]], 5, 2)))</f>
        <v>152 , 143 , 129</v>
      </c>
      <c r="D4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57.445626465380286</v>
      </c>
      <c r="E408" t="str">
        <f>Table14[[#This Row],[Color Code]] &amp; " - " &amp;Table14[[#This Row],[Color Name]]</f>
        <v>988F81 - 8464</v>
      </c>
    </row>
    <row r="409" spans="1:5" x14ac:dyDescent="0.35">
      <c r="A409" s="17" t="s">
        <v>3186</v>
      </c>
      <c r="B409" t="s">
        <v>5444</v>
      </c>
      <c r="C409" s="9" t="str">
        <f>_xlfn.CONCAT(HEX2DEC(MID(Table14[[#This Row],[Color Code]], 1, 2))," , ",HEX2DEC(MID(Table14[[#This Row],[Color Code]], 3, 2))," , ",HEX2DEC(MID(Table14[[#This Row],[Color Code]], 5, 2)))</f>
        <v>225 , 222 , 157</v>
      </c>
      <c r="D4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57.463031594234565</v>
      </c>
      <c r="E409" t="str">
        <f>Table14[[#This Row],[Color Code]] &amp; " - " &amp;Table14[[#This Row],[Color Name]]</f>
        <v>E1DE9D - 7777</v>
      </c>
    </row>
    <row r="410" spans="1:5" x14ac:dyDescent="0.35">
      <c r="A410" s="17" t="s">
        <v>2608</v>
      </c>
      <c r="B410" t="s">
        <v>4804</v>
      </c>
      <c r="C410" s="9" t="str">
        <f>_xlfn.CONCAT(HEX2DEC(MID(Table14[[#This Row],[Color Code]], 1, 2))," , ",HEX2DEC(MID(Table14[[#This Row],[Color Code]], 3, 2))," , ",HEX2DEC(MID(Table14[[#This Row],[Color Code]], 5, 2)))</f>
        <v>220 , 160 , 203</v>
      </c>
      <c r="D4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57.55866572463264</v>
      </c>
      <c r="E410" t="str">
        <f>Table14[[#This Row],[Color Code]] &amp; " - " &amp;Table14[[#This Row],[Color Name]]</f>
        <v>DCA0CB - 9424</v>
      </c>
    </row>
    <row r="411" spans="1:5" x14ac:dyDescent="0.35">
      <c r="A411" s="17" t="s">
        <v>4040</v>
      </c>
      <c r="B411" t="s">
        <v>6382</v>
      </c>
      <c r="C411" s="9" t="str">
        <f>_xlfn.CONCAT(HEX2DEC(MID(Table14[[#This Row],[Color Code]], 1, 2))," , ",HEX2DEC(MID(Table14[[#This Row],[Color Code]], 3, 2))," , ",HEX2DEC(MID(Table14[[#This Row],[Color Code]], 5, 2)))</f>
        <v>231 , 206 , 184</v>
      </c>
      <c r="D4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57.645468165329355</v>
      </c>
      <c r="E411" t="str">
        <f>Table14[[#This Row],[Color Code]] &amp; " - " &amp;Table14[[#This Row],[Color Name]]</f>
        <v>E7CEB8 - 8579</v>
      </c>
    </row>
    <row r="412" spans="1:5" x14ac:dyDescent="0.35">
      <c r="A412" s="17" t="s">
        <v>3911</v>
      </c>
      <c r="B412" t="s">
        <v>6237</v>
      </c>
      <c r="C412" s="9" t="str">
        <f>_xlfn.CONCAT(HEX2DEC(MID(Table14[[#This Row],[Color Code]], 1, 2))," , ",HEX2DEC(MID(Table14[[#This Row],[Color Code]], 3, 2))," , ",HEX2DEC(MID(Table14[[#This Row],[Color Code]], 5, 2)))</f>
        <v>214 , 208 , 197</v>
      </c>
      <c r="D4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57.766772456144714</v>
      </c>
      <c r="E412" t="str">
        <f>Table14[[#This Row],[Color Code]] &amp; " - " &amp;Table14[[#This Row],[Color Name]]</f>
        <v>D6D0C5 - 8435</v>
      </c>
    </row>
    <row r="413" spans="1:5" x14ac:dyDescent="0.35">
      <c r="A413" s="17" t="s">
        <v>3525</v>
      </c>
      <c r="B413" t="s">
        <v>5793</v>
      </c>
      <c r="C413" s="9" t="str">
        <f>_xlfn.CONCAT(HEX2DEC(MID(Table14[[#This Row],[Color Code]], 1, 2))," , ",HEX2DEC(MID(Table14[[#This Row],[Color Code]], 3, 2))," , ",HEX2DEC(MID(Table14[[#This Row],[Color Code]], 5, 2)))</f>
        <v>243 , 150 , 143</v>
      </c>
      <c r="D4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58.051701094799967</v>
      </c>
      <c r="E413" t="str">
        <f>Table14[[#This Row],[Color Code]] &amp; " - " &amp;Table14[[#This Row],[Color Name]]</f>
        <v>F3968F - 8047</v>
      </c>
    </row>
    <row r="414" spans="1:5" x14ac:dyDescent="0.35">
      <c r="A414" s="17" t="s">
        <v>2679</v>
      </c>
      <c r="B414" t="s">
        <v>4886</v>
      </c>
      <c r="C414" s="9" t="str">
        <f>_xlfn.CONCAT(HEX2DEC(MID(Table14[[#This Row],[Color Code]], 1, 2))," , ",HEX2DEC(MID(Table14[[#This Row],[Color Code]], 3, 2))," , ",HEX2DEC(MID(Table14[[#This Row],[Color Code]], 5, 2)))</f>
        <v>155 , 157 , 196</v>
      </c>
      <c r="D4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58.086142925830423</v>
      </c>
      <c r="E414" t="str">
        <f>Table14[[#This Row],[Color Code]] &amp; " - " &amp;Table14[[#This Row],[Color Name]]</f>
        <v>9B9DC4 - 7167</v>
      </c>
    </row>
    <row r="415" spans="1:5" x14ac:dyDescent="0.35">
      <c r="A415" s="17" t="s">
        <v>4020</v>
      </c>
      <c r="B415" t="s">
        <v>6362</v>
      </c>
      <c r="C415" s="9" t="str">
        <f>_xlfn.CONCAT(HEX2DEC(MID(Table14[[#This Row],[Color Code]], 1, 2))," , ",HEX2DEC(MID(Table14[[#This Row],[Color Code]], 3, 2))," , ",HEX2DEC(MID(Table14[[#This Row],[Color Code]], 5, 2)))</f>
        <v>164 , 139 , 119</v>
      </c>
      <c r="D4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58.103356185335798</v>
      </c>
      <c r="E415" t="str">
        <f>Table14[[#This Row],[Color Code]] &amp; " - " &amp;Table14[[#This Row],[Color Name]]</f>
        <v>A48B77 - 3211</v>
      </c>
    </row>
    <row r="416" spans="1:5" x14ac:dyDescent="0.35">
      <c r="A416" s="17" t="s">
        <v>4247</v>
      </c>
      <c r="B416" t="s">
        <v>6613</v>
      </c>
      <c r="C416" s="9" t="str">
        <f>_xlfn.CONCAT(HEX2DEC(MID(Table14[[#This Row],[Color Code]], 1, 2))," , ",HEX2DEC(MID(Table14[[#This Row],[Color Code]], 3, 2))," , ",HEX2DEC(MID(Table14[[#This Row],[Color Code]], 5, 2)))</f>
        <v>218 , 207 , 196</v>
      </c>
      <c r="D4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58.146367040426526</v>
      </c>
      <c r="E416" t="str">
        <f>Table14[[#This Row],[Color Code]] &amp; " - " &amp;Table14[[#This Row],[Color Name]]</f>
        <v>DACFC4 - 8771</v>
      </c>
    </row>
    <row r="417" spans="1:5" x14ac:dyDescent="0.35">
      <c r="A417" s="17" t="s">
        <v>4119</v>
      </c>
      <c r="B417" t="s">
        <v>6469</v>
      </c>
      <c r="C417" s="9" t="str">
        <f>_xlfn.CONCAT(HEX2DEC(MID(Table14[[#This Row],[Color Code]], 1, 2))," , ",HEX2DEC(MID(Table14[[#This Row],[Color Code]], 3, 2))," , ",HEX2DEC(MID(Table14[[#This Row],[Color Code]], 5, 2)))</f>
        <v>232 , 200 , 189</v>
      </c>
      <c r="D4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58.146367040426526</v>
      </c>
      <c r="E417" t="str">
        <f>Table14[[#This Row],[Color Code]] &amp; " - " &amp;Table14[[#This Row],[Color Name]]</f>
        <v>E8C8BD - 8643</v>
      </c>
    </row>
    <row r="418" spans="1:5" x14ac:dyDescent="0.35">
      <c r="A418" s="17" t="s">
        <v>2670</v>
      </c>
      <c r="B418" t="s">
        <v>4877</v>
      </c>
      <c r="C418" s="9" t="str">
        <f>_xlfn.CONCAT(HEX2DEC(MID(Table14[[#This Row],[Color Code]], 1, 2))," , ",HEX2DEC(MID(Table14[[#This Row],[Color Code]], 3, 2))," , ",HEX2DEC(MID(Table14[[#This Row],[Color Code]], 5, 2)))</f>
        <v>180 , 173 , 212</v>
      </c>
      <c r="D4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58.283788483591216</v>
      </c>
      <c r="E418" t="str">
        <f>Table14[[#This Row],[Color Code]] &amp; " - " &amp;Table14[[#This Row],[Color Name]]</f>
        <v>B4ADD4 - 7160</v>
      </c>
    </row>
    <row r="419" spans="1:5" x14ac:dyDescent="0.35">
      <c r="A419" s="17" t="s">
        <v>2601</v>
      </c>
      <c r="B419" t="s">
        <v>4796</v>
      </c>
      <c r="C419" s="9" t="str">
        <f>_xlfn.CONCAT(HEX2DEC(MID(Table14[[#This Row],[Color Code]], 1, 2))," , ",HEX2DEC(MID(Table14[[#This Row],[Color Code]], 3, 2))," , ",HEX2DEC(MID(Table14[[#This Row],[Color Code]], 5, 2)))</f>
        <v>225 , 165 , 202</v>
      </c>
      <c r="D4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58.292366567158687</v>
      </c>
      <c r="E419" t="str">
        <f>Table14[[#This Row],[Color Code]] &amp; " - " &amp;Table14[[#This Row],[Color Name]]</f>
        <v>E1A5CA - 9416</v>
      </c>
    </row>
    <row r="420" spans="1:5" x14ac:dyDescent="0.35">
      <c r="A420" s="17" t="s">
        <v>3571</v>
      </c>
      <c r="B420" t="s">
        <v>5840</v>
      </c>
      <c r="C420" s="9" t="str">
        <f>_xlfn.CONCAT(HEX2DEC(MID(Table14[[#This Row],[Color Code]], 1, 2))," , ",HEX2DEC(MID(Table14[[#This Row],[Color Code]], 3, 2))," , ",HEX2DEC(MID(Table14[[#This Row],[Color Code]], 5, 2)))</f>
        <v>243 , 171 , 183</v>
      </c>
      <c r="D4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58.318093247293334</v>
      </c>
      <c r="E420" t="str">
        <f>Table14[[#This Row],[Color Code]] &amp; " - " &amp;Table14[[#This Row],[Color Name]]</f>
        <v>F3ABB7 - 8088</v>
      </c>
    </row>
    <row r="421" spans="1:5" x14ac:dyDescent="0.35">
      <c r="A421" s="17" t="s">
        <v>2671</v>
      </c>
      <c r="B421" t="s">
        <v>4878</v>
      </c>
      <c r="C421" s="9" t="str">
        <f>_xlfn.CONCAT(HEX2DEC(MID(Table14[[#This Row],[Color Code]], 1, 2))," , ",HEX2DEC(MID(Table14[[#This Row],[Color Code]], 3, 2))," , ",HEX2DEC(MID(Table14[[#This Row],[Color Code]], 5, 2)))</f>
        <v>164 , 157 , 203</v>
      </c>
      <c r="D4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58.412327466040935</v>
      </c>
      <c r="E421" t="str">
        <f>Table14[[#This Row],[Color Code]] &amp; " - " &amp;Table14[[#This Row],[Color Name]]</f>
        <v>A49DCB - 7159</v>
      </c>
    </row>
    <row r="422" spans="1:5" x14ac:dyDescent="0.35">
      <c r="A422" s="17" t="s">
        <v>2630</v>
      </c>
      <c r="B422" t="s">
        <v>4830</v>
      </c>
      <c r="C422" s="9" t="str">
        <f>_xlfn.CONCAT(HEX2DEC(MID(Table14[[#This Row],[Color Code]], 1, 2))," , ",HEX2DEC(MID(Table14[[#This Row],[Color Code]], 3, 2))," , ",HEX2DEC(MID(Table14[[#This Row],[Color Code]], 5, 2)))</f>
        <v>170 , 126 , 178</v>
      </c>
      <c r="D4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58.42944463196617</v>
      </c>
      <c r="E422" t="str">
        <f>Table14[[#This Row],[Color Code]] &amp; " - " &amp;Table14[[#This Row],[Color Name]]</f>
        <v>AA7EB2 - 7110</v>
      </c>
    </row>
    <row r="423" spans="1:5" x14ac:dyDescent="0.35">
      <c r="A423" s="17" t="s">
        <v>3116</v>
      </c>
      <c r="B423" t="s">
        <v>5370</v>
      </c>
      <c r="C423" s="9" t="str">
        <f>_xlfn.CONCAT(HEX2DEC(MID(Table14[[#This Row],[Color Code]], 1, 2))," , ",HEX2DEC(MID(Table14[[#This Row],[Color Code]], 3, 2))," , ",HEX2DEC(MID(Table14[[#This Row],[Color Code]], 5, 2)))</f>
        <v>211 , 227 , 136</v>
      </c>
      <c r="D4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58.532042506647585</v>
      </c>
      <c r="E423" t="str">
        <f>Table14[[#This Row],[Color Code]] &amp; " - " &amp;Table14[[#This Row],[Color Name]]</f>
        <v>D3E388 - 9802</v>
      </c>
    </row>
    <row r="424" spans="1:5" x14ac:dyDescent="0.35">
      <c r="A424" s="17" t="s">
        <v>3462</v>
      </c>
      <c r="B424" t="s">
        <v>5727</v>
      </c>
      <c r="C424" s="9" t="str">
        <f>_xlfn.CONCAT(HEX2DEC(MID(Table14[[#This Row],[Color Code]], 1, 2))," , ",HEX2DEC(MID(Table14[[#This Row],[Color Code]], 3, 2))," , ",HEX2DEC(MID(Table14[[#This Row],[Color Code]], 5, 2)))</f>
        <v>244 , 198 , 169</v>
      </c>
      <c r="D4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58.557663887829406</v>
      </c>
      <c r="E424" t="str">
        <f>Table14[[#This Row],[Color Code]] &amp; " - " &amp;Table14[[#This Row],[Color Name]]</f>
        <v>F4C6A9 - 8009</v>
      </c>
    </row>
    <row r="425" spans="1:5" x14ac:dyDescent="0.35">
      <c r="A425" s="17" t="s">
        <v>3456</v>
      </c>
      <c r="B425" t="s">
        <v>5721</v>
      </c>
      <c r="C425" s="9" t="str">
        <f>_xlfn.CONCAT(HEX2DEC(MID(Table14[[#This Row],[Color Code]], 1, 2))," , ",HEX2DEC(MID(Table14[[#This Row],[Color Code]], 3, 2))," , ",HEX2DEC(MID(Table14[[#This Row],[Color Code]], 5, 2)))</f>
        <v>240 , 162 , 124</v>
      </c>
      <c r="D4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58.600341295934449</v>
      </c>
      <c r="E425" t="str">
        <f>Table14[[#This Row],[Color Code]] &amp; " - " &amp;Table14[[#This Row],[Color Name]]</f>
        <v>F0A27C - 7999</v>
      </c>
    </row>
    <row r="426" spans="1:5" x14ac:dyDescent="0.35">
      <c r="A426" s="17" t="s">
        <v>3031</v>
      </c>
      <c r="B426" t="s">
        <v>5275</v>
      </c>
      <c r="C426" s="9" t="str">
        <f>_xlfn.CONCAT(HEX2DEC(MID(Table14[[#This Row],[Color Code]], 1, 2))," , ",HEX2DEC(MID(Table14[[#This Row],[Color Code]], 3, 2))," , ",HEX2DEC(MID(Table14[[#This Row],[Color Code]], 5, 2)))</f>
        <v>193 , 227 , 182</v>
      </c>
      <c r="D4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58.600341295934449</v>
      </c>
      <c r="E426" t="str">
        <f>Table14[[#This Row],[Color Code]] &amp; " - " &amp;Table14[[#This Row],[Color Name]]</f>
        <v>C1E3B6 - 7657</v>
      </c>
    </row>
    <row r="427" spans="1:5" x14ac:dyDescent="0.35">
      <c r="A427" s="17" t="s">
        <v>3524</v>
      </c>
      <c r="B427" t="s">
        <v>5792</v>
      </c>
      <c r="C427" s="9" t="str">
        <f>_xlfn.CONCAT(HEX2DEC(MID(Table14[[#This Row],[Color Code]], 1, 2))," , ",HEX2DEC(MID(Table14[[#This Row],[Color Code]], 3, 2))," , ",HEX2DEC(MID(Table14[[#This Row],[Color Code]], 5, 2)))</f>
        <v>249 , 175 , 169</v>
      </c>
      <c r="D4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58.694122363316758</v>
      </c>
      <c r="E427" t="str">
        <f>Table14[[#This Row],[Color Code]] &amp; " - " &amp;Table14[[#This Row],[Color Name]]</f>
        <v>F9AFA9 - 5206</v>
      </c>
    </row>
    <row r="428" spans="1:5" x14ac:dyDescent="0.35">
      <c r="A428" s="17" t="s">
        <v>4025</v>
      </c>
      <c r="B428" t="s">
        <v>6367</v>
      </c>
      <c r="C428" s="9" t="str">
        <f>_xlfn.CONCAT(HEX2DEC(MID(Table14[[#This Row],[Color Code]], 1, 2))," , ",HEX2DEC(MID(Table14[[#This Row],[Color Code]], 3, 2))," , ",HEX2DEC(MID(Table14[[#This Row],[Color Code]], 5, 2)))</f>
        <v>235 , 207 , 179</v>
      </c>
      <c r="D4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58.728187440104094</v>
      </c>
      <c r="E428" t="str">
        <f>Table14[[#This Row],[Color Code]] &amp; " - " &amp;Table14[[#This Row],[Color Name]]</f>
        <v>EBCFB3 - 3122</v>
      </c>
    </row>
    <row r="429" spans="1:5" x14ac:dyDescent="0.35">
      <c r="A429" s="17" t="s">
        <v>2850</v>
      </c>
      <c r="B429" t="s">
        <v>5067</v>
      </c>
      <c r="C429" s="9" t="str">
        <f>_xlfn.CONCAT(HEX2DEC(MID(Table14[[#This Row],[Color Code]], 1, 2))," , ",HEX2DEC(MID(Table14[[#This Row],[Color Code]], 3, 2))," , ",HEX2DEC(MID(Table14[[#This Row],[Color Code]], 5, 2)))</f>
        <v>146 , 182 , 191</v>
      </c>
      <c r="D4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58.830264320330912</v>
      </c>
      <c r="E429" t="str">
        <f>Table14[[#This Row],[Color Code]] &amp; " - " &amp;Table14[[#This Row],[Color Name]]</f>
        <v>92B6BF - 7416</v>
      </c>
    </row>
    <row r="430" spans="1:5" x14ac:dyDescent="0.35">
      <c r="A430" s="17" t="s">
        <v>4091</v>
      </c>
      <c r="B430" t="s">
        <v>6438</v>
      </c>
      <c r="C430" s="9" t="str">
        <f>_xlfn.CONCAT(HEX2DEC(MID(Table14[[#This Row],[Color Code]], 1, 2))," , ",HEX2DEC(MID(Table14[[#This Row],[Color Code]], 3, 2))," , ",HEX2DEC(MID(Table14[[#This Row],[Color Code]], 5, 2)))</f>
        <v>239 , 199 , 181</v>
      </c>
      <c r="D4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58.830264320330912</v>
      </c>
      <c r="E430" t="str">
        <f>Table14[[#This Row],[Color Code]] &amp; " - " &amp;Table14[[#This Row],[Color Name]]</f>
        <v>EFC7B5 - 8611</v>
      </c>
    </row>
    <row r="431" spans="1:5" x14ac:dyDescent="0.35">
      <c r="A431" s="17" t="s">
        <v>3835</v>
      </c>
      <c r="B431" t="s">
        <v>6149</v>
      </c>
      <c r="C431" s="9" t="str">
        <f>_xlfn.CONCAT(HEX2DEC(MID(Table14[[#This Row],[Color Code]], 1, 2))," , ",HEX2DEC(MID(Table14[[#This Row],[Color Code]], 3, 2))," , ",HEX2DEC(MID(Table14[[#This Row],[Color Code]], 5, 2)))</f>
        <v>194 , 209 , 203</v>
      </c>
      <c r="D4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58.855755878248644</v>
      </c>
      <c r="E431" t="str">
        <f>Table14[[#This Row],[Color Code]] &amp; " - " &amp;Table14[[#This Row],[Color Name]]</f>
        <v>C2D1CB - 8346</v>
      </c>
    </row>
    <row r="432" spans="1:5" x14ac:dyDescent="0.35">
      <c r="A432" s="17" t="s">
        <v>3010</v>
      </c>
      <c r="B432" t="s">
        <v>5254</v>
      </c>
      <c r="C432" s="9" t="str">
        <f>_xlfn.CONCAT(HEX2DEC(MID(Table14[[#This Row],[Color Code]], 1, 2))," , ",HEX2DEC(MID(Table14[[#This Row],[Color Code]], 3, 2))," , ",HEX2DEC(MID(Table14[[#This Row],[Color Code]], 5, 2)))</f>
        <v>136 , 166 , 139</v>
      </c>
      <c r="D4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58.932164392630277</v>
      </c>
      <c r="E432" t="str">
        <f>Table14[[#This Row],[Color Code]] &amp; " - " &amp;Table14[[#This Row],[Color Name]]</f>
        <v>88A68B - 2463</v>
      </c>
    </row>
    <row r="433" spans="1:5" x14ac:dyDescent="0.35">
      <c r="A433" s="17" t="s">
        <v>2722</v>
      </c>
      <c r="B433" t="s">
        <v>4930</v>
      </c>
      <c r="C433" s="9" t="str">
        <f>_xlfn.CONCAT(HEX2DEC(MID(Table14[[#This Row],[Color Code]], 1, 2))," , ",HEX2DEC(MID(Table14[[#This Row],[Color Code]], 3, 2))," , ",HEX2DEC(MID(Table14[[#This Row],[Color Code]], 5, 2)))</f>
        <v>183 , 191 , 211</v>
      </c>
      <c r="D4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58.932164392630277</v>
      </c>
      <c r="E433" t="str">
        <f>Table14[[#This Row],[Color Code]] &amp; " - " &amp;Table14[[#This Row],[Color Name]]</f>
        <v>B7BFD3 - 7226</v>
      </c>
    </row>
    <row r="434" spans="1:5" x14ac:dyDescent="0.35">
      <c r="A434" s="17" t="s">
        <v>2603</v>
      </c>
      <c r="B434" t="s">
        <v>4798</v>
      </c>
      <c r="C434" s="9" t="str">
        <f>_xlfn.CONCAT(HEX2DEC(MID(Table14[[#This Row],[Color Code]], 1, 2))," , ",HEX2DEC(MID(Table14[[#This Row],[Color Code]], 3, 2))," , ",HEX2DEC(MID(Table14[[#This Row],[Color Code]], 5, 2)))</f>
        <v>207 , 120 , 170</v>
      </c>
      <c r="D4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58.949130612757983</v>
      </c>
      <c r="E434" t="str">
        <f>Table14[[#This Row],[Color Code]] &amp; " - " &amp;Table14[[#This Row],[Color Name]]</f>
        <v>CF78AA - 9414</v>
      </c>
    </row>
    <row r="435" spans="1:5" x14ac:dyDescent="0.35">
      <c r="A435" s="17" t="s">
        <v>2647</v>
      </c>
      <c r="B435" t="s">
        <v>4850</v>
      </c>
      <c r="C435" s="9" t="str">
        <f>_xlfn.CONCAT(HEX2DEC(MID(Table14[[#This Row],[Color Code]], 1, 2))," , ",HEX2DEC(MID(Table14[[#This Row],[Color Code]], 3, 2))," , ",HEX2DEC(MID(Table14[[#This Row],[Color Code]], 5, 2)))</f>
        <v>165 , 132 , 185</v>
      </c>
      <c r="D4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58.974570791146924</v>
      </c>
      <c r="E435" t="str">
        <f>Table14[[#This Row],[Color Code]] &amp; " - " &amp;Table14[[#This Row],[Color Name]]</f>
        <v>A584B9 - 9617</v>
      </c>
    </row>
    <row r="436" spans="1:5" x14ac:dyDescent="0.35">
      <c r="A436" s="17" t="s">
        <v>2975</v>
      </c>
      <c r="B436" t="s">
        <v>5217</v>
      </c>
      <c r="C436" s="9" t="str">
        <f>_xlfn.CONCAT(HEX2DEC(MID(Table14[[#This Row],[Color Code]], 1, 2))," , ",HEX2DEC(MID(Table14[[#This Row],[Color Code]], 3, 2))," , ",HEX2DEC(MID(Table14[[#This Row],[Color Code]], 5, 2)))</f>
        <v>135 , 172 , 170</v>
      </c>
      <c r="D4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59.016946718718003</v>
      </c>
      <c r="E436" t="str">
        <f>Table14[[#This Row],[Color Code]] &amp; " - " &amp;Table14[[#This Row],[Color Name]]</f>
        <v>87ACAA - 9744</v>
      </c>
    </row>
    <row r="437" spans="1:5" x14ac:dyDescent="0.35">
      <c r="A437" s="17" t="s">
        <v>3790</v>
      </c>
      <c r="B437" t="s">
        <v>6087</v>
      </c>
      <c r="C437" s="9" t="str">
        <f>_xlfn.CONCAT(HEX2DEC(MID(Table14[[#This Row],[Color Code]], 1, 2))," , ",HEX2DEC(MID(Table14[[#This Row],[Color Code]], 3, 2))," , ",HEX2DEC(MID(Table14[[#This Row],[Color Code]], 5, 2)))</f>
        <v>142 , 146 , 143</v>
      </c>
      <c r="D4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59.033888572581766</v>
      </c>
      <c r="E437" t="str">
        <f>Table14[[#This Row],[Color Code]] &amp; " - " &amp;Table14[[#This Row],[Color Name]]</f>
        <v>8E928F - K104</v>
      </c>
    </row>
    <row r="438" spans="1:5" x14ac:dyDescent="0.35">
      <c r="A438" s="17" t="s">
        <v>3782</v>
      </c>
      <c r="B438" t="s">
        <v>6077</v>
      </c>
      <c r="C438" s="9" t="str">
        <f>_xlfn.CONCAT(HEX2DEC(MID(Table14[[#This Row],[Color Code]], 1, 2))," , ",HEX2DEC(MID(Table14[[#This Row],[Color Code]], 3, 2))," , ",HEX2DEC(MID(Table14[[#This Row],[Color Code]], 5, 2)))</f>
        <v>212 , 209 , 199</v>
      </c>
      <c r="D4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59.093146810776631</v>
      </c>
      <c r="E438" t="str">
        <f>Table14[[#This Row],[Color Code]] &amp; " - " &amp;Table14[[#This Row],[Color Name]]</f>
        <v>D4D1C7 - K101</v>
      </c>
    </row>
    <row r="439" spans="1:5" x14ac:dyDescent="0.35">
      <c r="A439" s="17" t="s">
        <v>2610</v>
      </c>
      <c r="B439" t="s">
        <v>4806</v>
      </c>
      <c r="C439" s="9" t="str">
        <f>_xlfn.CONCAT(HEX2DEC(MID(Table14[[#This Row],[Color Code]], 1, 2))," , ",HEX2DEC(MID(Table14[[#This Row],[Color Code]], 3, 2))," , ",HEX2DEC(MID(Table14[[#This Row],[Color Code]], 5, 2)))</f>
        <v>204 , 121 , 176</v>
      </c>
      <c r="D4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59.169248769948062</v>
      </c>
      <c r="E439" t="str">
        <f>Table14[[#This Row],[Color Code]] &amp; " - " &amp;Table14[[#This Row],[Color Name]]</f>
        <v>CC79B0 - 9422</v>
      </c>
    </row>
    <row r="440" spans="1:5" x14ac:dyDescent="0.35">
      <c r="A440" s="17" t="s">
        <v>3860</v>
      </c>
      <c r="B440" t="s">
        <v>6181</v>
      </c>
      <c r="C440" s="9" t="str">
        <f>_xlfn.CONCAT(HEX2DEC(MID(Table14[[#This Row],[Color Code]], 1, 2))," , ",HEX2DEC(MID(Table14[[#This Row],[Color Code]], 3, 2))," , ",HEX2DEC(MID(Table14[[#This Row],[Color Code]], 5, 2)))</f>
        <v>143 , 154 , 129</v>
      </c>
      <c r="D4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59.312730505347666</v>
      </c>
      <c r="E440" t="str">
        <f>Table14[[#This Row],[Color Code]] &amp; " - " &amp;Table14[[#This Row],[Color Name]]</f>
        <v>8F9A81 - K149</v>
      </c>
    </row>
    <row r="441" spans="1:5" x14ac:dyDescent="0.35">
      <c r="A441" s="17" t="s">
        <v>3405</v>
      </c>
      <c r="B441" t="s">
        <v>5664</v>
      </c>
      <c r="C441" s="9" t="str">
        <f>_xlfn.CONCAT(HEX2DEC(MID(Table14[[#This Row],[Color Code]], 1, 2))," , ",HEX2DEC(MID(Table14[[#This Row],[Color Code]], 3, 2))," , ",HEX2DEC(MID(Table14[[#This Row],[Color Code]], 5, 2)))</f>
        <v>239 , 171 , 119</v>
      </c>
      <c r="D4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59.338014796587188</v>
      </c>
      <c r="E441" t="str">
        <f>Table14[[#This Row],[Color Code]] &amp; " - " &amp;Table14[[#This Row],[Color Name]]</f>
        <v>EFAB77 - 7983</v>
      </c>
    </row>
    <row r="442" spans="1:5" x14ac:dyDescent="0.35">
      <c r="A442" s="17" t="s">
        <v>3651</v>
      </c>
      <c r="B442" t="s">
        <v>5922</v>
      </c>
      <c r="C442" s="9" t="str">
        <f>_xlfn.CONCAT(HEX2DEC(MID(Table14[[#This Row],[Color Code]], 1, 2))," , ",HEX2DEC(MID(Table14[[#This Row],[Color Code]], 3, 2))," , ",HEX2DEC(MID(Table14[[#This Row],[Color Code]], 5, 2)))</f>
        <v>177 , 118 , 147</v>
      </c>
      <c r="D4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59.481089431852205</v>
      </c>
      <c r="E442" t="str">
        <f>Table14[[#This Row],[Color Code]] &amp; " - " &amp;Table14[[#This Row],[Color Name]]</f>
        <v>B17693 - 8142</v>
      </c>
    </row>
    <row r="443" spans="1:5" x14ac:dyDescent="0.35">
      <c r="A443" s="17" t="s">
        <v>3265</v>
      </c>
      <c r="B443" t="s">
        <v>5524</v>
      </c>
      <c r="C443" s="9" t="str">
        <f>_xlfn.CONCAT(HEX2DEC(MID(Table14[[#This Row],[Color Code]], 1, 2))," , ",HEX2DEC(MID(Table14[[#This Row],[Color Code]], 3, 2))," , ",HEX2DEC(MID(Table14[[#This Row],[Color Code]], 5, 2)))</f>
        <v>236 , 215 , 152</v>
      </c>
      <c r="D4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59.539902586416787</v>
      </c>
      <c r="E443" t="str">
        <f>Table14[[#This Row],[Color Code]] &amp; " - " &amp;Table14[[#This Row],[Color Name]]</f>
        <v>ECD798 - 7856</v>
      </c>
    </row>
    <row r="444" spans="1:5" x14ac:dyDescent="0.35">
      <c r="A444" s="17" t="s">
        <v>2621</v>
      </c>
      <c r="B444" t="s">
        <v>4819</v>
      </c>
      <c r="C444" s="9" t="str">
        <f>_xlfn.CONCAT(HEX2DEC(MID(Table14[[#This Row],[Color Code]], 1, 2))," , ",HEX2DEC(MID(Table14[[#This Row],[Color Code]], 3, 2))," , ",HEX2DEC(MID(Table14[[#This Row],[Color Code]], 5, 2)))</f>
        <v>167 , 121 , 159</v>
      </c>
      <c r="D4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59.640590204993778</v>
      </c>
      <c r="E444" t="str">
        <f>Table14[[#This Row],[Color Code]] &amp; " - " &amp;Table14[[#This Row],[Color Name]]</f>
        <v>A7799F - 9595</v>
      </c>
    </row>
    <row r="445" spans="1:5" x14ac:dyDescent="0.35">
      <c r="A445" s="17" t="s">
        <v>3563</v>
      </c>
      <c r="B445" t="s">
        <v>5832</v>
      </c>
      <c r="C445" s="9" t="str">
        <f>_xlfn.CONCAT(HEX2DEC(MID(Table14[[#This Row],[Color Code]], 1, 2))," , ",HEX2DEC(MID(Table14[[#This Row],[Color Code]], 3, 2))," , ",HEX2DEC(MID(Table14[[#This Row],[Color Code]], 5, 2)))</f>
        <v>243 , 183 , 185</v>
      </c>
      <c r="D4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59.70762095411272</v>
      </c>
      <c r="E445" t="str">
        <f>Table14[[#This Row],[Color Code]] &amp; " - " &amp;Table14[[#This Row],[Color Name]]</f>
        <v>F3B7B9 - 9409</v>
      </c>
    </row>
    <row r="446" spans="1:5" x14ac:dyDescent="0.35">
      <c r="A446" s="17" t="s">
        <v>3149</v>
      </c>
      <c r="B446" t="s">
        <v>5405</v>
      </c>
      <c r="C446" s="9" t="str">
        <f>_xlfn.CONCAT(HEX2DEC(MID(Table14[[#This Row],[Color Code]], 1, 2))," , ",HEX2DEC(MID(Table14[[#This Row],[Color Code]], 3, 2))," , ",HEX2DEC(MID(Table14[[#This Row],[Color Code]], 5, 2)))</f>
        <v>223 , 226 , 157</v>
      </c>
      <c r="D4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59.715994507334464</v>
      </c>
      <c r="E446" t="str">
        <f>Table14[[#This Row],[Color Code]] &amp; " - " &amp;Table14[[#This Row],[Color Name]]</f>
        <v>DFE29D - 7744</v>
      </c>
    </row>
    <row r="447" spans="1:5" x14ac:dyDescent="0.35">
      <c r="A447" s="17" t="s">
        <v>2662</v>
      </c>
      <c r="B447" t="s">
        <v>4869</v>
      </c>
      <c r="C447" s="9" t="str">
        <f>_xlfn.CONCAT(HEX2DEC(MID(Table14[[#This Row],[Color Code]], 1, 2))," , ",HEX2DEC(MID(Table14[[#This Row],[Color Code]], 3, 2))," , ",HEX2DEC(MID(Table14[[#This Row],[Color Code]], 5, 2)))</f>
        <v>151 , 140 , 181</v>
      </c>
      <c r="D4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59.849812029780011</v>
      </c>
      <c r="E447" t="str">
        <f>Table14[[#This Row],[Color Code]] &amp; " - " &amp;Table14[[#This Row],[Color Name]]</f>
        <v>978CB5 - 9626</v>
      </c>
    </row>
    <row r="448" spans="1:5" x14ac:dyDescent="0.35">
      <c r="A448" s="17" t="s">
        <v>2947</v>
      </c>
      <c r="B448" t="s">
        <v>5180</v>
      </c>
      <c r="C448" s="9" t="str">
        <f>_xlfn.CONCAT(HEX2DEC(MID(Table14[[#This Row],[Color Code]], 1, 2))," , ",HEX2DEC(MID(Table14[[#This Row],[Color Code]], 3, 2))," , ",HEX2DEC(MID(Table14[[#This Row],[Color Code]], 5, 2)))</f>
        <v>153 , 204 , 190</v>
      </c>
      <c r="D4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59.89156868875618</v>
      </c>
      <c r="E448" t="str">
        <f>Table14[[#This Row],[Color Code]] &amp; " - " &amp;Table14[[#This Row],[Color Name]]</f>
        <v>99CCBE - 7545</v>
      </c>
    </row>
    <row r="449" spans="1:5" x14ac:dyDescent="0.35">
      <c r="A449" s="17" t="s">
        <v>2727</v>
      </c>
      <c r="B449" t="s">
        <v>4938</v>
      </c>
      <c r="C449" s="9" t="str">
        <f>_xlfn.CONCAT(HEX2DEC(MID(Table14[[#This Row],[Color Code]], 1, 2))," , ",HEX2DEC(MID(Table14[[#This Row],[Color Code]], 3, 2))," , ",HEX2DEC(MID(Table14[[#This Row],[Color Code]], 5, 2)))</f>
        <v>194 , 201 , 209</v>
      </c>
      <c r="D4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59.966657402259798</v>
      </c>
      <c r="E449" t="str">
        <f>Table14[[#This Row],[Color Code]] &amp; " - " &amp;Table14[[#This Row],[Color Name]]</f>
        <v>C2C9D1 - 0720</v>
      </c>
    </row>
    <row r="450" spans="1:5" x14ac:dyDescent="0.35">
      <c r="A450" s="17" t="s">
        <v>4243</v>
      </c>
      <c r="B450" t="s">
        <v>6609</v>
      </c>
      <c r="C450" s="9" t="str">
        <f>_xlfn.CONCAT(HEX2DEC(MID(Table14[[#This Row],[Color Code]], 1, 2))," , ",HEX2DEC(MID(Table14[[#This Row],[Color Code]], 3, 2))," , ",HEX2DEC(MID(Table14[[#This Row],[Color Code]], 5, 2)))</f>
        <v>150 , 140 , 130</v>
      </c>
      <c r="D4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60.116553460756549</v>
      </c>
      <c r="E450" t="str">
        <f>Table14[[#This Row],[Color Code]] &amp; " - " &amp;Table14[[#This Row],[Color Name]]</f>
        <v>968C82 - 8760</v>
      </c>
    </row>
    <row r="451" spans="1:5" x14ac:dyDescent="0.35">
      <c r="A451" s="17" t="s">
        <v>3547</v>
      </c>
      <c r="B451" t="s">
        <v>5816</v>
      </c>
      <c r="C451" s="9" t="str">
        <f>_xlfn.CONCAT(HEX2DEC(MID(Table14[[#This Row],[Color Code]], 1, 2))," , ",HEX2DEC(MID(Table14[[#This Row],[Color Code]], 3, 2))," , ",HEX2DEC(MID(Table14[[#This Row],[Color Code]], 5, 2)))</f>
        <v>250 , 173 , 171</v>
      </c>
      <c r="D4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60.199667773169644</v>
      </c>
      <c r="E451" t="str">
        <f>Table14[[#This Row],[Color Code]] &amp; " - " &amp;Table14[[#This Row],[Color Name]]</f>
        <v>FAADAB - 8064</v>
      </c>
    </row>
    <row r="452" spans="1:5" x14ac:dyDescent="0.35">
      <c r="A452" s="17" t="s">
        <v>2653</v>
      </c>
      <c r="B452" t="s">
        <v>4858</v>
      </c>
      <c r="C452" s="9" t="str">
        <f>_xlfn.CONCAT(HEX2DEC(MID(Table14[[#This Row],[Color Code]], 1, 2))," , ",HEX2DEC(MID(Table14[[#This Row],[Color Code]], 3, 2))," , ",HEX2DEC(MID(Table14[[#This Row],[Color Code]], 5, 2)))</f>
        <v>207 , 197 , 209</v>
      </c>
      <c r="D4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60.207972893961475</v>
      </c>
      <c r="E452" t="str">
        <f>Table14[[#This Row],[Color Code]] &amp; " - " &amp;Table14[[#This Row],[Color Name]]</f>
        <v>CFC5D1 - 7146</v>
      </c>
    </row>
    <row r="453" spans="1:5" x14ac:dyDescent="0.35">
      <c r="A453" s="17" t="s">
        <v>4478</v>
      </c>
      <c r="B453" t="s">
        <v>5946</v>
      </c>
      <c r="C453" s="9" t="str">
        <f>_xlfn.CONCAT(HEX2DEC(MID(Table14[[#This Row],[Color Code]], 1, 2))," , ",HEX2DEC(MID(Table14[[#This Row],[Color Code]], 3, 2))," , ",HEX2DEC(MID(Table14[[#This Row],[Color Code]], 5, 2)))</f>
        <v>153 , 130 , 146</v>
      </c>
      <c r="D4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60.224579699654193</v>
      </c>
      <c r="E453" t="str">
        <f>Table14[[#This Row],[Color Code]] &amp; " - " &amp;Table14[[#This Row],[Color Name]]</f>
        <v>998292 - K050</v>
      </c>
    </row>
    <row r="454" spans="1:5" x14ac:dyDescent="0.35">
      <c r="A454" s="17" t="s">
        <v>4069</v>
      </c>
      <c r="B454" t="s">
        <v>6414</v>
      </c>
      <c r="C454" s="9" t="str">
        <f>_xlfn.CONCAT(HEX2DEC(MID(Table14[[#This Row],[Color Code]], 1, 2))," , ",HEX2DEC(MID(Table14[[#This Row],[Color Code]], 3, 2))," , ",HEX2DEC(MID(Table14[[#This Row],[Color Code]], 5, 2)))</f>
        <v>170 , 139 , 112</v>
      </c>
      <c r="D4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60.241181927316134</v>
      </c>
      <c r="E454" t="str">
        <f>Table14[[#This Row],[Color Code]] &amp; " - " &amp;Table14[[#This Row],[Color Name]]</f>
        <v>AA8B70 - K206</v>
      </c>
    </row>
    <row r="455" spans="1:5" x14ac:dyDescent="0.35">
      <c r="A455" s="17" t="s">
        <v>3659</v>
      </c>
      <c r="B455" t="s">
        <v>5931</v>
      </c>
      <c r="C455" s="9" t="str">
        <f>_xlfn.CONCAT(HEX2DEC(MID(Table14[[#This Row],[Color Code]], 1, 2))," , ",HEX2DEC(MID(Table14[[#This Row],[Color Code]], 3, 2))," , ",HEX2DEC(MID(Table14[[#This Row],[Color Code]], 5, 2)))</f>
        <v>175 , 118 , 165</v>
      </c>
      <c r="D4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60.315835400000886</v>
      </c>
      <c r="E455" t="str">
        <f>Table14[[#This Row],[Color Code]] &amp; " - " &amp;Table14[[#This Row],[Color Name]]</f>
        <v>AF76A5 - 8166</v>
      </c>
    </row>
    <row r="456" spans="1:5" x14ac:dyDescent="0.35">
      <c r="A456" s="17" t="s">
        <v>4032</v>
      </c>
      <c r="B456" t="s">
        <v>6374</v>
      </c>
      <c r="C456" s="9" t="str">
        <f>_xlfn.CONCAT(HEX2DEC(MID(Table14[[#This Row],[Color Code]], 1, 2))," , ",HEX2DEC(MID(Table14[[#This Row],[Color Code]], 3, 2))," , ",HEX2DEC(MID(Table14[[#This Row],[Color Code]], 5, 2)))</f>
        <v>233 , 208 , 185</v>
      </c>
      <c r="D4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60.580524923443839</v>
      </c>
      <c r="E456" t="str">
        <f>Table14[[#This Row],[Color Code]] &amp; " - " &amp;Table14[[#This Row],[Color Name]]</f>
        <v>E9D0B9 - 8571</v>
      </c>
    </row>
    <row r="457" spans="1:5" x14ac:dyDescent="0.35">
      <c r="A457" s="17" t="s">
        <v>3764</v>
      </c>
      <c r="B457" t="s">
        <v>6057</v>
      </c>
      <c r="C457" s="9" t="str">
        <f>_xlfn.CONCAT(HEX2DEC(MID(Table14[[#This Row],[Color Code]], 1, 2))," , ",HEX2DEC(MID(Table14[[#This Row],[Color Code]], 3, 2))," , ",HEX2DEC(MID(Table14[[#This Row],[Color Code]], 5, 2)))</f>
        <v>135 , 155 , 160</v>
      </c>
      <c r="D4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60.613529842766951</v>
      </c>
      <c r="E457" t="str">
        <f>Table14[[#This Row],[Color Code]] &amp; " - " &amp;Table14[[#This Row],[Color Name]]</f>
        <v>879BA0 - 9472</v>
      </c>
    </row>
    <row r="458" spans="1:5" x14ac:dyDescent="0.35">
      <c r="A458" s="17" t="s">
        <v>3486</v>
      </c>
      <c r="B458" t="s">
        <v>5753</v>
      </c>
      <c r="C458" s="9" t="str">
        <f>_xlfn.CONCAT(HEX2DEC(MID(Table14[[#This Row],[Color Code]], 1, 2))," , ",HEX2DEC(MID(Table14[[#This Row],[Color Code]], 3, 2))," , ",HEX2DEC(MID(Table14[[#This Row],[Color Code]], 5, 2)))</f>
        <v>245 , 161 , 129</v>
      </c>
      <c r="D4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60.671245248470051</v>
      </c>
      <c r="E458" t="str">
        <f>Table14[[#This Row],[Color Code]] &amp; " - " &amp;Table14[[#This Row],[Color Name]]</f>
        <v>F5A181 - 9966</v>
      </c>
    </row>
    <row r="459" spans="1:5" x14ac:dyDescent="0.35">
      <c r="A459" s="17" t="s">
        <v>3015</v>
      </c>
      <c r="B459" t="s">
        <v>5259</v>
      </c>
      <c r="C459" s="9" t="str">
        <f>_xlfn.CONCAT(HEX2DEC(MID(Table14[[#This Row],[Color Code]], 1, 2))," , ",HEX2DEC(MID(Table14[[#This Row],[Color Code]], 3, 2))," , ",HEX2DEC(MID(Table14[[#This Row],[Color Code]], 5, 2)))</f>
        <v>164 , 219 , 186</v>
      </c>
      <c r="D4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60.671245248470051</v>
      </c>
      <c r="E459" t="str">
        <f>Table14[[#This Row],[Color Code]] &amp; " - " &amp;Table14[[#This Row],[Color Name]]</f>
        <v>A4DBBA - 7609</v>
      </c>
    </row>
    <row r="460" spans="1:5" x14ac:dyDescent="0.35">
      <c r="A460" s="17" t="s">
        <v>2890</v>
      </c>
      <c r="B460" t="s">
        <v>5114</v>
      </c>
      <c r="C460" s="9" t="str">
        <f>_xlfn.CONCAT(HEX2DEC(MID(Table14[[#This Row],[Color Code]], 1, 2))," , ",HEX2DEC(MID(Table14[[#This Row],[Color Code]], 3, 2))," , ",HEX2DEC(MID(Table14[[#This Row],[Color Code]], 5, 2)))</f>
        <v>176 , 207 , 204</v>
      </c>
      <c r="D4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60.671245248470051</v>
      </c>
      <c r="E460" t="str">
        <f>Table14[[#This Row],[Color Code]] &amp; " - " &amp;Table14[[#This Row],[Color Name]]</f>
        <v>B0CFCC - 7474</v>
      </c>
    </row>
    <row r="461" spans="1:5" x14ac:dyDescent="0.35">
      <c r="A461" s="17" t="s">
        <v>3404</v>
      </c>
      <c r="B461" t="s">
        <v>5663</v>
      </c>
      <c r="C461" s="9" t="str">
        <f>_xlfn.CONCAT(HEX2DEC(MID(Table14[[#This Row],[Color Code]], 1, 2))," , ",HEX2DEC(MID(Table14[[#This Row],[Color Code]], 3, 2))," , ",HEX2DEC(MID(Table14[[#This Row],[Color Code]], 5, 2)))</f>
        <v>249 , 195 , 148</v>
      </c>
      <c r="D4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60.811183182043088</v>
      </c>
      <c r="E461" t="str">
        <f>Table14[[#This Row],[Color Code]] &amp; " - " &amp;Table14[[#This Row],[Color Name]]</f>
        <v>F9C394 - 7984</v>
      </c>
    </row>
    <row r="462" spans="1:5" x14ac:dyDescent="0.35">
      <c r="A462" s="17" t="s">
        <v>4095</v>
      </c>
      <c r="B462" t="s">
        <v>6442</v>
      </c>
      <c r="C462" s="9" t="str">
        <f>_xlfn.CONCAT(HEX2DEC(MID(Table14[[#This Row],[Color Code]], 1, 2))," , ",HEX2DEC(MID(Table14[[#This Row],[Color Code]], 3, 2))," , ",HEX2DEC(MID(Table14[[#This Row],[Color Code]], 5, 2)))</f>
        <v>192 , 131 , 113</v>
      </c>
      <c r="D4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60.827625302982199</v>
      </c>
      <c r="E462" t="str">
        <f>Table14[[#This Row],[Color Code]] &amp; " - " &amp;Table14[[#This Row],[Color Name]]</f>
        <v>C08371 - 8607</v>
      </c>
    </row>
    <row r="463" spans="1:5" x14ac:dyDescent="0.35">
      <c r="A463" s="17" t="s">
        <v>3039</v>
      </c>
      <c r="B463" t="s">
        <v>5284</v>
      </c>
      <c r="C463" s="9" t="str">
        <f>_xlfn.CONCAT(HEX2DEC(MID(Table14[[#This Row],[Color Code]], 1, 2))," , ",HEX2DEC(MID(Table14[[#This Row],[Color Code]], 3, 2))," , ",HEX2DEC(MID(Table14[[#This Row],[Color Code]], 5, 2)))</f>
        <v>208 , 229 , 178</v>
      </c>
      <c r="D4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60.835844697020519</v>
      </c>
      <c r="E463" t="str">
        <f>Table14[[#This Row],[Color Code]] &amp; " - " &amp;Table14[[#This Row],[Color Name]]</f>
        <v>D0E5B2 - 7665</v>
      </c>
    </row>
    <row r="464" spans="1:5" x14ac:dyDescent="0.35">
      <c r="A464" s="17" t="s">
        <v>3930</v>
      </c>
      <c r="B464" t="s">
        <v>6258</v>
      </c>
      <c r="C464" s="9" t="str">
        <f>_xlfn.CONCAT(HEX2DEC(MID(Table14[[#This Row],[Color Code]], 1, 2))," , ",HEX2DEC(MID(Table14[[#This Row],[Color Code]], 3, 2))," , ",HEX2DEC(MID(Table14[[#This Row],[Color Code]], 5, 2)))</f>
        <v>153 , 140 , 124</v>
      </c>
      <c r="D4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60.885137759555079</v>
      </c>
      <c r="E464" t="str">
        <f>Table14[[#This Row],[Color Code]] &amp; " - " &amp;Table14[[#This Row],[Color Name]]</f>
        <v>998C7C - 8455</v>
      </c>
    </row>
    <row r="465" spans="1:5" x14ac:dyDescent="0.35">
      <c r="A465" s="17" t="s">
        <v>3857</v>
      </c>
      <c r="B465" t="s">
        <v>6177</v>
      </c>
      <c r="C465" s="9" t="str">
        <f>_xlfn.CONCAT(HEX2DEC(MID(Table14[[#This Row],[Color Code]], 1, 2))," , ",HEX2DEC(MID(Table14[[#This Row],[Color Code]], 3, 2))," , ",HEX2DEC(MID(Table14[[#This Row],[Color Code]], 5, 2)))</f>
        <v>139 , 149 , 140</v>
      </c>
      <c r="D4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60.909769331364245</v>
      </c>
      <c r="E465" t="str">
        <f>Table14[[#This Row],[Color Code]] &amp; " - " &amp;Table14[[#This Row],[Color Name]]</f>
        <v>8B958C - 6118</v>
      </c>
    </row>
    <row r="466" spans="1:5" x14ac:dyDescent="0.35">
      <c r="A466" s="17" t="s">
        <v>2948</v>
      </c>
      <c r="B466" t="s">
        <v>5181</v>
      </c>
      <c r="C466" s="9" t="str">
        <f>_xlfn.CONCAT(HEX2DEC(MID(Table14[[#This Row],[Color Code]], 1, 2))," , ",HEX2DEC(MID(Table14[[#This Row],[Color Code]], 3, 2))," , ",HEX2DEC(MID(Table14[[#This Row],[Color Code]], 5, 2)))</f>
        <v>135 , 186 , 174</v>
      </c>
      <c r="D4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61.081912216301809</v>
      </c>
      <c r="E466" t="str">
        <f>Table14[[#This Row],[Color Code]] &amp; " - " &amp;Table14[[#This Row],[Color Name]]</f>
        <v>87BAAE - 7544</v>
      </c>
    </row>
    <row r="467" spans="1:5" x14ac:dyDescent="0.35">
      <c r="A467" s="17" t="s">
        <v>2701</v>
      </c>
      <c r="B467" t="s">
        <v>4909</v>
      </c>
      <c r="C467" s="9" t="str">
        <f>_xlfn.CONCAT(HEX2DEC(MID(Table14[[#This Row],[Color Code]], 1, 2))," , ",HEX2DEC(MID(Table14[[#This Row],[Color Code]], 3, 2))," , ",HEX2DEC(MID(Table14[[#This Row],[Color Code]], 5, 2)))</f>
        <v>146 , 152 , 188</v>
      </c>
      <c r="D4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61.106464469808756</v>
      </c>
      <c r="E467" t="str">
        <f>Table14[[#This Row],[Color Code]] &amp; " - " &amp;Table14[[#This Row],[Color Name]]</f>
        <v>9298BC - 7200</v>
      </c>
    </row>
    <row r="468" spans="1:5" x14ac:dyDescent="0.35">
      <c r="A468" s="17" t="s">
        <v>3187</v>
      </c>
      <c r="B468" t="s">
        <v>5445</v>
      </c>
      <c r="C468" s="9" t="str">
        <f>_xlfn.CONCAT(HEX2DEC(MID(Table14[[#This Row],[Color Code]], 1, 2))," , ",HEX2DEC(MID(Table14[[#This Row],[Color Code]], 3, 2))," , ",HEX2DEC(MID(Table14[[#This Row],[Color Code]], 5, 2)))</f>
        <v>225 , 221 , 132</v>
      </c>
      <c r="D4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61.106464469808756</v>
      </c>
      <c r="E468" t="str">
        <f>Table14[[#This Row],[Color Code]] &amp; " - " &amp;Table14[[#This Row],[Color Name]]</f>
        <v>E1DD84 - 7776</v>
      </c>
    </row>
    <row r="469" spans="1:5" x14ac:dyDescent="0.35">
      <c r="A469" s="17" t="s">
        <v>3580</v>
      </c>
      <c r="B469" t="s">
        <v>5849</v>
      </c>
      <c r="C469" s="9" t="str">
        <f>_xlfn.CONCAT(HEX2DEC(MID(Table14[[#This Row],[Color Code]], 1, 2))," , ",HEX2DEC(MID(Table14[[#This Row],[Color Code]], 3, 2))," , ",HEX2DEC(MID(Table14[[#This Row],[Color Code]], 5, 2)))</f>
        <v>221 , 123 , 141</v>
      </c>
      <c r="D4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61.163714733492114</v>
      </c>
      <c r="E469" t="str">
        <f>Table14[[#This Row],[Color Code]] &amp; " - " &amp;Table14[[#This Row],[Color Name]]</f>
        <v>DD7B8D - K005</v>
      </c>
    </row>
    <row r="470" spans="1:5" x14ac:dyDescent="0.35">
      <c r="A470" s="17" t="s">
        <v>4016</v>
      </c>
      <c r="B470" t="s">
        <v>6358</v>
      </c>
      <c r="C470" s="9" t="str">
        <f>_xlfn.CONCAT(HEX2DEC(MID(Table14[[#This Row],[Color Code]], 1, 2))," , ",HEX2DEC(MID(Table14[[#This Row],[Color Code]], 3, 2))," , ",HEX2DEC(MID(Table14[[#This Row],[Color Code]], 5, 2)))</f>
        <v>228 , 209 , 191</v>
      </c>
      <c r="D4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61.220911460055866</v>
      </c>
      <c r="E470" t="str">
        <f>Table14[[#This Row],[Color Code]] &amp; " - " &amp;Table14[[#This Row],[Color Name]]</f>
        <v>E4D1BF - 0940</v>
      </c>
    </row>
    <row r="471" spans="1:5" x14ac:dyDescent="0.35">
      <c r="A471" s="17" t="s">
        <v>2682</v>
      </c>
      <c r="B471" t="s">
        <v>4890</v>
      </c>
      <c r="C471" s="9" t="str">
        <f>_xlfn.CONCAT(HEX2DEC(MID(Table14[[#This Row],[Color Code]], 1, 2))," , ",HEX2DEC(MID(Table14[[#This Row],[Color Code]], 3, 2))," , ",HEX2DEC(MID(Table14[[#This Row],[Color Code]], 5, 2)))</f>
        <v>205 , 201 , 209</v>
      </c>
      <c r="D4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61.326992425847855</v>
      </c>
      <c r="E471" t="str">
        <f>Table14[[#This Row],[Color Code]] &amp; " - " &amp;Table14[[#This Row],[Color Name]]</f>
        <v>CDC9D1 - 0719</v>
      </c>
    </row>
    <row r="472" spans="1:5" x14ac:dyDescent="0.35">
      <c r="A472" s="17" t="s">
        <v>4252</v>
      </c>
      <c r="B472" t="s">
        <v>6621</v>
      </c>
      <c r="C472" s="9" t="str">
        <f>_xlfn.CONCAT(HEX2DEC(MID(Table14[[#This Row],[Color Code]], 1, 2))," , ",HEX2DEC(MID(Table14[[#This Row],[Color Code]], 3, 2))," , ",HEX2DEC(MID(Table14[[#This Row],[Color Code]], 5, 2)))</f>
        <v>225 , 209 , 194</v>
      </c>
      <c r="D4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61.367743970265032</v>
      </c>
      <c r="E472" t="str">
        <f>Table14[[#This Row],[Color Code]] &amp; " - " &amp;Table14[[#This Row],[Color Name]]</f>
        <v>E1D1C2 - 8779</v>
      </c>
    </row>
    <row r="473" spans="1:5" x14ac:dyDescent="0.35">
      <c r="A473" s="17" t="s">
        <v>3493</v>
      </c>
      <c r="B473" t="s">
        <v>5760</v>
      </c>
      <c r="C473" s="9" t="str">
        <f>_xlfn.CONCAT(HEX2DEC(MID(Table14[[#This Row],[Color Code]], 1, 2))," , ",HEX2DEC(MID(Table14[[#This Row],[Color Code]], 3, 2))," , ",HEX2DEC(MID(Table14[[#This Row],[Color Code]], 5, 2)))</f>
        <v>253 , 182 , 156</v>
      </c>
      <c r="D4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61.40846847137616</v>
      </c>
      <c r="E473" t="str">
        <f>Table14[[#This Row],[Color Code]] &amp; " - " &amp;Table14[[#This Row],[Color Name]]</f>
        <v>FDB69C - 8024</v>
      </c>
    </row>
    <row r="474" spans="1:5" x14ac:dyDescent="0.35">
      <c r="A474" s="17" t="s">
        <v>2898</v>
      </c>
      <c r="B474" t="s">
        <v>5122</v>
      </c>
      <c r="C474" s="9" t="str">
        <f>_xlfn.CONCAT(HEX2DEC(MID(Table14[[#This Row],[Color Code]], 1, 2))," , ",HEX2DEC(MID(Table14[[#This Row],[Color Code]], 3, 2))," , ",HEX2DEC(MID(Table14[[#This Row],[Color Code]], 5, 2)))</f>
        <v>181 , 209 , 205</v>
      </c>
      <c r="D4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61.457302251237813</v>
      </c>
      <c r="E474" t="str">
        <f>Table14[[#This Row],[Color Code]] &amp; " - " &amp;Table14[[#This Row],[Color Name]]</f>
        <v>B5D1CD - 7482</v>
      </c>
    </row>
    <row r="475" spans="1:5" x14ac:dyDescent="0.35">
      <c r="A475" s="17" t="s">
        <v>3124</v>
      </c>
      <c r="B475" t="s">
        <v>5379</v>
      </c>
      <c r="C475" s="9" t="str">
        <f>_xlfn.CONCAT(HEX2DEC(MID(Table14[[#This Row],[Color Code]], 1, 2))," , ",HEX2DEC(MID(Table14[[#This Row],[Color Code]], 3, 2))," , ",HEX2DEC(MID(Table14[[#This Row],[Color Code]], 5, 2)))</f>
        <v>201 , 218 , 112</v>
      </c>
      <c r="D4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61.473571557214733</v>
      </c>
      <c r="E475" t="str">
        <f>Table14[[#This Row],[Color Code]] &amp; " - " &amp;Table14[[#This Row],[Color Name]]</f>
        <v>C9DA70 - 9811</v>
      </c>
    </row>
    <row r="476" spans="1:5" x14ac:dyDescent="0.35">
      <c r="A476" s="17" t="s">
        <v>3714</v>
      </c>
      <c r="B476" t="s">
        <v>6002</v>
      </c>
      <c r="C476" s="9" t="str">
        <f>_xlfn.CONCAT(HEX2DEC(MID(Table14[[#This Row],[Color Code]], 1, 2))," , ",HEX2DEC(MID(Table14[[#This Row],[Color Code]], 3, 2))," , ",HEX2DEC(MID(Table14[[#This Row],[Color Code]], 5, 2)))</f>
        <v>146 , 137 , 140</v>
      </c>
      <c r="D4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61.522353661088097</v>
      </c>
      <c r="E476" t="str">
        <f>Table14[[#This Row],[Color Code]] &amp; " - " &amp;Table14[[#This Row],[Color Name]]</f>
        <v>92898C - 8215</v>
      </c>
    </row>
    <row r="477" spans="1:5" x14ac:dyDescent="0.35">
      <c r="A477" s="17" t="s">
        <v>3618</v>
      </c>
      <c r="B477" t="s">
        <v>5888</v>
      </c>
      <c r="C477" s="9" t="str">
        <f>_xlfn.CONCAT(HEX2DEC(MID(Table14[[#This Row],[Color Code]], 1, 2))," , ",HEX2DEC(MID(Table14[[#This Row],[Color Code]], 3, 2))," , ",HEX2DEC(MID(Table14[[#This Row],[Color Code]], 5, 2)))</f>
        <v>235 , 174 , 199</v>
      </c>
      <c r="D4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61.530480251660641</v>
      </c>
      <c r="E477" t="str">
        <f>Table14[[#This Row],[Color Code]] &amp; " - " &amp;Table14[[#This Row],[Color Name]]</f>
        <v>EBAEC7 - 8128</v>
      </c>
    </row>
    <row r="478" spans="1:5" x14ac:dyDescent="0.35">
      <c r="A478" s="17" t="s">
        <v>2982</v>
      </c>
      <c r="B478" t="s">
        <v>5226</v>
      </c>
      <c r="C478" s="9" t="str">
        <f>_xlfn.CONCAT(HEX2DEC(MID(Table14[[#This Row],[Color Code]], 1, 2))," , ",HEX2DEC(MID(Table14[[#This Row],[Color Code]], 3, 2))," , ",HEX2DEC(MID(Table14[[#This Row],[Color Code]], 5, 2)))</f>
        <v>135 , 198 , 151</v>
      </c>
      <c r="D4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61.595454377737973</v>
      </c>
      <c r="E478" t="str">
        <f>Table14[[#This Row],[Color Code]] &amp; " - " &amp;Table14[[#This Row],[Color Name]]</f>
        <v>87C697 - 9752</v>
      </c>
    </row>
    <row r="479" spans="1:5" x14ac:dyDescent="0.35">
      <c r="A479" s="17" t="s">
        <v>3303</v>
      </c>
      <c r="B479" t="s">
        <v>5562</v>
      </c>
      <c r="C479" s="9" t="str">
        <f>_xlfn.CONCAT(HEX2DEC(MID(Table14[[#This Row],[Color Code]], 1, 2))," , ",HEX2DEC(MID(Table14[[#This Row],[Color Code]], 3, 2))," , ",HEX2DEC(MID(Table14[[#This Row],[Color Code]], 5, 2)))</f>
        <v>237 , 214 , 171</v>
      </c>
      <c r="D4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61.660360037871982</v>
      </c>
      <c r="E479" t="str">
        <f>Table14[[#This Row],[Color Code]] &amp; " - " &amp;Table14[[#This Row],[Color Name]]</f>
        <v>EDD6AB - 7890</v>
      </c>
    </row>
    <row r="480" spans="1:5" x14ac:dyDescent="0.35">
      <c r="A480" s="17" t="s">
        <v>3775</v>
      </c>
      <c r="B480" t="s">
        <v>6070</v>
      </c>
      <c r="C480" s="9" t="str">
        <f>_xlfn.CONCAT(HEX2DEC(MID(Table14[[#This Row],[Color Code]], 1, 2))," , ",HEX2DEC(MID(Table14[[#This Row],[Color Code]], 3, 2))," , ",HEX2DEC(MID(Table14[[#This Row],[Color Code]], 5, 2)))</f>
        <v>207 , 208 , 205</v>
      </c>
      <c r="D4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61.757590626578043</v>
      </c>
      <c r="E480" t="str">
        <f>Table14[[#This Row],[Color Code]] &amp; " - " &amp;Table14[[#This Row],[Color Name]]</f>
        <v>CFD0CD - 0978</v>
      </c>
    </row>
    <row r="481" spans="1:5" x14ac:dyDescent="0.35">
      <c r="A481" s="17" t="s">
        <v>4012</v>
      </c>
      <c r="B481" t="s">
        <v>6354</v>
      </c>
      <c r="C481" s="9" t="str">
        <f>_xlfn.CONCAT(HEX2DEC(MID(Table14[[#This Row],[Color Code]], 1, 2))," , ",HEX2DEC(MID(Table14[[#This Row],[Color Code]], 3, 2))," , ",HEX2DEC(MID(Table14[[#This Row],[Color Code]], 5, 2)))</f>
        <v>175 , 140 , 107</v>
      </c>
      <c r="D4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61.789966823101629</v>
      </c>
      <c r="E481" t="str">
        <f>Table14[[#This Row],[Color Code]] &amp; " - " &amp;Table14[[#This Row],[Color Name]]</f>
        <v>AF8C6B - 8535</v>
      </c>
    </row>
    <row r="482" spans="1:5" x14ac:dyDescent="0.35">
      <c r="A482" s="17" t="s">
        <v>2900</v>
      </c>
      <c r="B482" t="s">
        <v>5124</v>
      </c>
      <c r="C482" s="9" t="str">
        <f>_xlfn.CONCAT(HEX2DEC(MID(Table14[[#This Row],[Color Code]], 1, 2))," , ",HEX2DEC(MID(Table14[[#This Row],[Color Code]], 3, 2))," , ",HEX2DEC(MID(Table14[[#This Row],[Color Code]], 5, 2)))</f>
        <v>132 , 168 , 168</v>
      </c>
      <c r="D4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61.789966823101629</v>
      </c>
      <c r="E482" t="str">
        <f>Table14[[#This Row],[Color Code]] &amp; " - " &amp;Table14[[#This Row],[Color Name]]</f>
        <v>84A8A8 - 7480</v>
      </c>
    </row>
    <row r="483" spans="1:5" x14ac:dyDescent="0.35">
      <c r="A483" s="17" t="s">
        <v>2904</v>
      </c>
      <c r="B483" t="s">
        <v>5131</v>
      </c>
      <c r="C483" s="9" t="str">
        <f>_xlfn.CONCAT(HEX2DEC(MID(Table14[[#This Row],[Color Code]], 1, 2))," , ",HEX2DEC(MID(Table14[[#This Row],[Color Code]], 3, 2))," , ",HEX2DEC(MID(Table14[[#This Row],[Color Code]], 5, 2)))</f>
        <v>148 , 196 , 193</v>
      </c>
      <c r="D4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61.814237842102365</v>
      </c>
      <c r="E483" t="str">
        <f>Table14[[#This Row],[Color Code]] &amp; " - " &amp;Table14[[#This Row],[Color Name]]</f>
        <v>94C4C1 - 7488</v>
      </c>
    </row>
    <row r="484" spans="1:5" x14ac:dyDescent="0.35">
      <c r="A484" s="17" t="s">
        <v>3412</v>
      </c>
      <c r="B484" t="s">
        <v>5672</v>
      </c>
      <c r="C484" s="9" t="str">
        <f>_xlfn.CONCAT(HEX2DEC(MID(Table14[[#This Row],[Color Code]], 1, 2))," , ",HEX2DEC(MID(Table14[[#This Row],[Color Code]], 3, 2))," , ",HEX2DEC(MID(Table14[[#This Row],[Color Code]], 5, 2)))</f>
        <v>221 , 153 , 105</v>
      </c>
      <c r="D4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61.846584384264908</v>
      </c>
      <c r="E484" t="str">
        <f>Table14[[#This Row],[Color Code]] &amp; " - " &amp;Table14[[#This Row],[Color Name]]</f>
        <v>DD9969 - 9912</v>
      </c>
    </row>
    <row r="485" spans="1:5" x14ac:dyDescent="0.35">
      <c r="A485" s="17" t="s">
        <v>3736</v>
      </c>
      <c r="B485" t="s">
        <v>6025</v>
      </c>
      <c r="C485" s="9" t="str">
        <f>_xlfn.CONCAT(HEX2DEC(MID(Table14[[#This Row],[Color Code]], 1, 2))," , ",HEX2DEC(MID(Table14[[#This Row],[Color Code]], 3, 2))," , ",HEX2DEC(MID(Table14[[#This Row],[Color Code]], 5, 2)))</f>
        <v>138 , 145 , 151</v>
      </c>
      <c r="D4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61.903150162168643</v>
      </c>
      <c r="E485" t="str">
        <f>Table14[[#This Row],[Color Code]] &amp; " - " &amp;Table14[[#This Row],[Color Name]]</f>
        <v>8A9197 - K087</v>
      </c>
    </row>
    <row r="486" spans="1:5" x14ac:dyDescent="0.35">
      <c r="A486" s="17" t="s">
        <v>2774</v>
      </c>
      <c r="B486" t="s">
        <v>4987</v>
      </c>
      <c r="C486" s="9" t="str">
        <f>_xlfn.CONCAT(HEX2DEC(MID(Table14[[#This Row],[Color Code]], 1, 2))," , ",HEX2DEC(MID(Table14[[#This Row],[Color Code]], 3, 2))," , ",HEX2DEC(MID(Table14[[#This Row],[Color Code]], 5, 2)))</f>
        <v>143 , 173 , 193</v>
      </c>
      <c r="D4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62.040309476984397</v>
      </c>
      <c r="E486" t="str">
        <f>Table14[[#This Row],[Color Code]] &amp; " - " &amp;Table14[[#This Row],[Color Name]]</f>
        <v>8FADC1 - 7305</v>
      </c>
    </row>
    <row r="487" spans="1:5" x14ac:dyDescent="0.35">
      <c r="A487" s="17" t="s">
        <v>3220</v>
      </c>
      <c r="B487" t="s">
        <v>5478</v>
      </c>
      <c r="C487" s="9" t="str">
        <f>_xlfn.CONCAT(HEX2DEC(MID(Table14[[#This Row],[Color Code]], 1, 2))," , ",HEX2DEC(MID(Table14[[#This Row],[Color Code]], 3, 2))," , ",HEX2DEC(MID(Table14[[#This Row],[Color Code]], 5, 2)))</f>
        <v>194 , 178 , 93</v>
      </c>
      <c r="D4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62.104750220896953</v>
      </c>
      <c r="E487" t="str">
        <f>Table14[[#This Row],[Color Code]] &amp; " - " &amp;Table14[[#This Row],[Color Name]]</f>
        <v>C2B25D - 7822</v>
      </c>
    </row>
    <row r="488" spans="1:5" x14ac:dyDescent="0.35">
      <c r="A488" s="17" t="s">
        <v>4008</v>
      </c>
      <c r="B488" t="s">
        <v>6350</v>
      </c>
      <c r="C488" s="9" t="str">
        <f>_xlfn.CONCAT(HEX2DEC(MID(Table14[[#This Row],[Color Code]], 1, 2))," , ",HEX2DEC(MID(Table14[[#This Row],[Color Code]], 3, 2))," , ",HEX2DEC(MID(Table14[[#This Row],[Color Code]], 5, 2)))</f>
        <v>232 , 211 , 186</v>
      </c>
      <c r="D4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62.104750220896953</v>
      </c>
      <c r="E488" t="str">
        <f>Table14[[#This Row],[Color Code]] &amp; " - " &amp;Table14[[#This Row],[Color Name]]</f>
        <v>E8D3BA - 8539</v>
      </c>
    </row>
    <row r="489" spans="1:5" x14ac:dyDescent="0.35">
      <c r="A489" s="17" t="s">
        <v>4150</v>
      </c>
      <c r="B489" t="s">
        <v>6503</v>
      </c>
      <c r="C489" s="9" t="str">
        <f>_xlfn.CONCAT(HEX2DEC(MID(Table14[[#This Row],[Color Code]], 1, 2))," , ",HEX2DEC(MID(Table14[[#This Row],[Color Code]], 3, 2))," , ",HEX2DEC(MID(Table14[[#This Row],[Color Code]], 5, 2)))</f>
        <v>236 , 206 , 186</v>
      </c>
      <c r="D4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62.112800613078136</v>
      </c>
      <c r="E489" t="str">
        <f>Table14[[#This Row],[Color Code]] &amp; " - " &amp;Table14[[#This Row],[Color Name]]</f>
        <v>ECCEBA - K225</v>
      </c>
    </row>
    <row r="490" spans="1:5" x14ac:dyDescent="0.35">
      <c r="A490" s="17" t="s">
        <v>2446</v>
      </c>
      <c r="B490" t="s">
        <v>4638</v>
      </c>
      <c r="C490" s="9" t="str">
        <f>_xlfn.CONCAT(HEX2DEC(MID(Table14[[#This Row],[Color Code]], 1, 2))," , ",HEX2DEC(MID(Table14[[#This Row],[Color Code]], 3, 2))," , ",HEX2DEC(MID(Table14[[#This Row],[Color Code]], 5, 2)))</f>
        <v>231 , 213 , 185</v>
      </c>
      <c r="D4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62.169124169478209</v>
      </c>
      <c r="E490" t="str">
        <f>Table14[[#This Row],[Color Code]] &amp; " - " &amp;Table14[[#This Row],[Color Name]]</f>
        <v>E7D5B9 - L189</v>
      </c>
    </row>
    <row r="491" spans="1:5" x14ac:dyDescent="0.35">
      <c r="A491" s="17" t="s">
        <v>3291</v>
      </c>
      <c r="B491" t="s">
        <v>5550</v>
      </c>
      <c r="C491" s="9" t="str">
        <f>_xlfn.CONCAT(HEX2DEC(MID(Table14[[#This Row],[Color Code]], 1, 2))," , ",HEX2DEC(MID(Table14[[#This Row],[Color Code]], 3, 2))," , ",HEX2DEC(MID(Table14[[#This Row],[Color Code]], 5, 2)))</f>
        <v>219 , 177 , 99</v>
      </c>
      <c r="D4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62.201286160335947</v>
      </c>
      <c r="E491" t="str">
        <f>Table14[[#This Row],[Color Code]] &amp; " - " &amp;Table14[[#This Row],[Color Name]]</f>
        <v>DBB163 - 7879</v>
      </c>
    </row>
    <row r="492" spans="1:5" x14ac:dyDescent="0.35">
      <c r="A492" s="17" t="s">
        <v>2969</v>
      </c>
      <c r="B492" t="s">
        <v>5210</v>
      </c>
      <c r="C492" s="9" t="str">
        <f>_xlfn.CONCAT(HEX2DEC(MID(Table14[[#This Row],[Color Code]], 1, 2))," , ",HEX2DEC(MID(Table14[[#This Row],[Color Code]], 3, 2))," , ",HEX2DEC(MID(Table14[[#This Row],[Color Code]], 5, 2)))</f>
        <v>183 , 217 , 200</v>
      </c>
      <c r="D4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62.20932405998316</v>
      </c>
      <c r="E492" t="str">
        <f>Table14[[#This Row],[Color Code]] &amp; " - " &amp;Table14[[#This Row],[Color Name]]</f>
        <v>B7D9C8 - 7562</v>
      </c>
    </row>
    <row r="493" spans="1:5" x14ac:dyDescent="0.35">
      <c r="A493" s="17" t="s">
        <v>4232</v>
      </c>
      <c r="B493" t="s">
        <v>6597</v>
      </c>
      <c r="C493" s="9" t="str">
        <f>_xlfn.CONCAT(HEX2DEC(MID(Table14[[#This Row],[Color Code]], 1, 2))," , ",HEX2DEC(MID(Table14[[#This Row],[Color Code]], 3, 2))," , ",HEX2DEC(MID(Table14[[#This Row],[Color Code]], 5, 2)))</f>
        <v>219 , 209 , 200</v>
      </c>
      <c r="D4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62.529992803453929</v>
      </c>
      <c r="E493" t="str">
        <f>Table14[[#This Row],[Color Code]] &amp; " - " &amp;Table14[[#This Row],[Color Name]]</f>
        <v>DBD1C8 - 8756</v>
      </c>
    </row>
    <row r="494" spans="1:5" x14ac:dyDescent="0.35">
      <c r="A494" s="17" t="s">
        <v>3052</v>
      </c>
      <c r="B494" t="s">
        <v>5298</v>
      </c>
      <c r="C494" s="9" t="str">
        <f>_xlfn.CONCAT(HEX2DEC(MID(Table14[[#This Row],[Color Code]], 1, 2))," , ",HEX2DEC(MID(Table14[[#This Row],[Color Code]], 3, 2))," , ",HEX2DEC(MID(Table14[[#This Row],[Color Code]], 5, 2)))</f>
        <v>213 , 232 , 170</v>
      </c>
      <c r="D4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62.56996084384263</v>
      </c>
      <c r="E494" t="str">
        <f>Table14[[#This Row],[Color Code]] &amp; " - " &amp;Table14[[#This Row],[Color Name]]</f>
        <v>D5E8AA - 9779</v>
      </c>
    </row>
    <row r="495" spans="1:5" x14ac:dyDescent="0.35">
      <c r="A495" s="17" t="s">
        <v>3347</v>
      </c>
      <c r="B495" t="s">
        <v>5606</v>
      </c>
      <c r="C495" s="9" t="str">
        <f>_xlfn.CONCAT(HEX2DEC(MID(Table14[[#This Row],[Color Code]], 1, 2))," , ",HEX2DEC(MID(Table14[[#This Row],[Color Code]], 3, 2))," , ",HEX2DEC(MID(Table14[[#This Row],[Color Code]], 5, 2)))</f>
        <v>239 , 189 , 116</v>
      </c>
      <c r="D4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62.657800791282163</v>
      </c>
      <c r="E495" t="str">
        <f>Table14[[#This Row],[Color Code]] &amp; " - " &amp;Table14[[#This Row],[Color Name]]</f>
        <v>EFBD74 - 7927</v>
      </c>
    </row>
    <row r="496" spans="1:5" x14ac:dyDescent="0.35">
      <c r="A496" s="17" t="s">
        <v>2685</v>
      </c>
      <c r="B496" t="s">
        <v>4893</v>
      </c>
      <c r="C496" s="9" t="str">
        <f>_xlfn.CONCAT(HEX2DEC(MID(Table14[[#This Row],[Color Code]], 1, 2))," , ",HEX2DEC(MID(Table14[[#This Row],[Color Code]], 3, 2))," , ",HEX2DEC(MID(Table14[[#This Row],[Color Code]], 5, 2)))</f>
        <v>140 , 140 , 156</v>
      </c>
      <c r="D4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62.689712074629917</v>
      </c>
      <c r="E496" t="str">
        <f>Table14[[#This Row],[Color Code]] &amp; " - " &amp;Table14[[#This Row],[Color Name]]</f>
        <v>8C8C9C - 7183</v>
      </c>
    </row>
    <row r="497" spans="1:5" x14ac:dyDescent="0.35">
      <c r="A497" s="17" t="s">
        <v>3245</v>
      </c>
      <c r="B497" t="s">
        <v>5503</v>
      </c>
      <c r="C497" s="9" t="str">
        <f>_xlfn.CONCAT(HEX2DEC(MID(Table14[[#This Row],[Color Code]], 1, 2))," , ",HEX2DEC(MID(Table14[[#This Row],[Color Code]], 3, 2))," , ",HEX2DEC(MID(Table14[[#This Row],[Color Code]], 5, 2)))</f>
        <v>189 , 166 , 93</v>
      </c>
      <c r="D4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62.721607122266882</v>
      </c>
      <c r="E497" t="str">
        <f>Table14[[#This Row],[Color Code]] &amp; " - " &amp;Table14[[#This Row],[Color Name]]</f>
        <v>BDA65D - 7838</v>
      </c>
    </row>
    <row r="498" spans="1:5" x14ac:dyDescent="0.35">
      <c r="A498" s="17" t="s">
        <v>2849</v>
      </c>
      <c r="B498" t="s">
        <v>5066</v>
      </c>
      <c r="C498" s="9" t="str">
        <f>_xlfn.CONCAT(HEX2DEC(MID(Table14[[#This Row],[Color Code]], 1, 2))," , ",HEX2DEC(MID(Table14[[#This Row],[Color Code]], 3, 2))," , ",HEX2DEC(MID(Table14[[#This Row],[Color Code]], 5, 2)))</f>
        <v>161 , 197 , 205</v>
      </c>
      <c r="D4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62.809234989768818</v>
      </c>
      <c r="E498" t="str">
        <f>Table14[[#This Row],[Color Code]] &amp; " - " &amp;Table14[[#This Row],[Color Name]]</f>
        <v>A1C5CD - 0195</v>
      </c>
    </row>
    <row r="499" spans="1:5" x14ac:dyDescent="0.35">
      <c r="A499" s="17" t="s">
        <v>3189</v>
      </c>
      <c r="B499" t="s">
        <v>5447</v>
      </c>
      <c r="C499" s="9" t="str">
        <f>_xlfn.CONCAT(HEX2DEC(MID(Table14[[#This Row],[Color Code]], 1, 2))," , ",HEX2DEC(MID(Table14[[#This Row],[Color Code]], 3, 2))," , ",HEX2DEC(MID(Table14[[#This Row],[Color Code]], 5, 2)))</f>
        <v>214 , 213 , 110</v>
      </c>
      <c r="D4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62.872887638472598</v>
      </c>
      <c r="E499" t="str">
        <f>Table14[[#This Row],[Color Code]] &amp; " - " &amp;Table14[[#This Row],[Color Name]]</f>
        <v>D6D56E - 9854</v>
      </c>
    </row>
    <row r="500" spans="1:5" x14ac:dyDescent="0.35">
      <c r="A500" s="17" t="s">
        <v>3868</v>
      </c>
      <c r="B500" t="s">
        <v>6189</v>
      </c>
      <c r="C500" s="9" t="str">
        <f>_xlfn.CONCAT(HEX2DEC(MID(Table14[[#This Row],[Color Code]], 1, 2))," , ",HEX2DEC(MID(Table14[[#This Row],[Color Code]], 3, 2))," , ",HEX2DEC(MID(Table14[[#This Row],[Color Code]], 5, 2)))</f>
        <v>208 , 217 , 199</v>
      </c>
      <c r="D5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62.896740774065549</v>
      </c>
      <c r="E500" t="str">
        <f>Table14[[#This Row],[Color Code]] &amp; " - " &amp;Table14[[#This Row],[Color Name]]</f>
        <v>D0D9C7 - 8387</v>
      </c>
    </row>
    <row r="501" spans="1:5" x14ac:dyDescent="0.35">
      <c r="A501" s="17" t="s">
        <v>3494</v>
      </c>
      <c r="B501" t="s">
        <v>5761</v>
      </c>
      <c r="C501" s="9" t="str">
        <f>_xlfn.CONCAT(HEX2DEC(MID(Table14[[#This Row],[Color Code]], 1, 2))," , ",HEX2DEC(MID(Table14[[#This Row],[Color Code]], 3, 2))," , ",HEX2DEC(MID(Table14[[#This Row],[Color Code]], 5, 2)))</f>
        <v>247 , 158 , 129</v>
      </c>
      <c r="D5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63.166446789415026</v>
      </c>
      <c r="E501" t="str">
        <f>Table14[[#This Row],[Color Code]] &amp; " - " &amp;Table14[[#This Row],[Color Name]]</f>
        <v>F79E81 - 8023</v>
      </c>
    </row>
    <row r="502" spans="1:5" x14ac:dyDescent="0.35">
      <c r="A502" s="17" t="s">
        <v>2600</v>
      </c>
      <c r="B502" t="s">
        <v>4795</v>
      </c>
      <c r="C502" s="9" t="str">
        <f>_xlfn.CONCAT(HEX2DEC(MID(Table14[[#This Row],[Color Code]], 1, 2))," , ",HEX2DEC(MID(Table14[[#This Row],[Color Code]], 3, 2))," , ",HEX2DEC(MID(Table14[[#This Row],[Color Code]], 5, 2)))</f>
        <v>226 , 187 , 207</v>
      </c>
      <c r="D5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63.2771680782255</v>
      </c>
      <c r="E502" t="str">
        <f>Table14[[#This Row],[Color Code]] &amp; " - " &amp;Table14[[#This Row],[Color Name]]</f>
        <v>E2BBCF - 9581</v>
      </c>
    </row>
    <row r="503" spans="1:5" x14ac:dyDescent="0.35">
      <c r="A503" s="17" t="s">
        <v>2643</v>
      </c>
      <c r="B503" t="s">
        <v>4844</v>
      </c>
      <c r="C503" s="9" t="str">
        <f>_xlfn.CONCAT(HEX2DEC(MID(Table14[[#This Row],[Color Code]], 1, 2))," , ",HEX2DEC(MID(Table14[[#This Row],[Color Code]], 3, 2))," , ",HEX2DEC(MID(Table14[[#This Row],[Color Code]], 5, 2)))</f>
        <v>153 , 127 , 169</v>
      </c>
      <c r="D5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63.411355449950761</v>
      </c>
      <c r="E503" t="str">
        <f>Table14[[#This Row],[Color Code]] &amp; " - " &amp;Table14[[#This Row],[Color Name]]</f>
        <v>997FA9 - 9611</v>
      </c>
    </row>
    <row r="504" spans="1:5" x14ac:dyDescent="0.35">
      <c r="A504" s="17" t="s">
        <v>3668</v>
      </c>
      <c r="B504" t="s">
        <v>5941</v>
      </c>
      <c r="C504" s="9" t="str">
        <f>_xlfn.CONCAT(HEX2DEC(MID(Table14[[#This Row],[Color Code]], 1, 2))," , ",HEX2DEC(MID(Table14[[#This Row],[Color Code]], 3, 2))," , ",HEX2DEC(MID(Table14[[#This Row],[Color Code]], 5, 2)))</f>
        <v>217 , 205 , 205</v>
      </c>
      <c r="D5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63.442887702247603</v>
      </c>
      <c r="E504" t="str">
        <f>Table14[[#This Row],[Color Code]] &amp; " - " &amp;Table14[[#This Row],[Color Name]]</f>
        <v>D9CDCD - K046</v>
      </c>
    </row>
    <row r="505" spans="1:5" x14ac:dyDescent="0.35">
      <c r="A505" s="17" t="s">
        <v>3469</v>
      </c>
      <c r="B505" t="s">
        <v>5734</v>
      </c>
      <c r="C505" s="9" t="str">
        <f>_xlfn.CONCAT(HEX2DEC(MID(Table14[[#This Row],[Color Code]], 1, 2))," , ",HEX2DEC(MID(Table14[[#This Row],[Color Code]], 3, 2))," , ",HEX2DEC(MID(Table14[[#This Row],[Color Code]], 5, 2)))</f>
        <v>244 , 204 , 177</v>
      </c>
      <c r="D5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63.474404290233394</v>
      </c>
      <c r="E505" t="str">
        <f>Table14[[#This Row],[Color Code]] &amp; " - " &amp;Table14[[#This Row],[Color Name]]</f>
        <v>F4CCB1 - 8018</v>
      </c>
    </row>
    <row r="506" spans="1:5" x14ac:dyDescent="0.35">
      <c r="A506" s="17" t="s">
        <v>3484</v>
      </c>
      <c r="B506" t="s">
        <v>5751</v>
      </c>
      <c r="C506" s="9" t="str">
        <f>_xlfn.CONCAT(HEX2DEC(MID(Table14[[#This Row],[Color Code]], 1, 2))," , ",HEX2DEC(MID(Table14[[#This Row],[Color Code]], 3, 2))," , ",HEX2DEC(MID(Table14[[#This Row],[Color Code]], 5, 2)))</f>
        <v>252 , 195 , 161</v>
      </c>
      <c r="D5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63.529520697074361</v>
      </c>
      <c r="E506" t="str">
        <f>Table14[[#This Row],[Color Code]] &amp; " - " &amp;Table14[[#This Row],[Color Name]]</f>
        <v>FCC3A1 - 9964</v>
      </c>
    </row>
    <row r="507" spans="1:5" x14ac:dyDescent="0.35">
      <c r="A507" s="17" t="s">
        <v>4036</v>
      </c>
      <c r="B507" t="s">
        <v>6378</v>
      </c>
      <c r="C507" s="9" t="str">
        <f>_xlfn.CONCAT(HEX2DEC(MID(Table14[[#This Row],[Color Code]], 1, 2))," , ",HEX2DEC(MID(Table14[[#This Row],[Color Code]], 3, 2))," , ",HEX2DEC(MID(Table14[[#This Row],[Color Code]], 5, 2)))</f>
        <v>175 , 137 , 107</v>
      </c>
      <c r="D5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63.537390566500292</v>
      </c>
      <c r="E507" t="str">
        <f>Table14[[#This Row],[Color Code]] &amp; " - " &amp;Table14[[#This Row],[Color Name]]</f>
        <v>AF896B - 8567</v>
      </c>
    </row>
    <row r="508" spans="1:5" x14ac:dyDescent="0.35">
      <c r="A508" s="17" t="s">
        <v>3673</v>
      </c>
      <c r="B508" t="s">
        <v>5947</v>
      </c>
      <c r="C508" s="9" t="str">
        <f>_xlfn.CONCAT(HEX2DEC(MID(Table14[[#This Row],[Color Code]], 1, 2))," , ",HEX2DEC(MID(Table14[[#This Row],[Color Code]], 3, 2))," , ",HEX2DEC(MID(Table14[[#This Row],[Color Code]], 5, 2)))</f>
        <v>149 , 130 , 142</v>
      </c>
      <c r="D5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63.584589327918131</v>
      </c>
      <c r="E508" t="str">
        <f>Table14[[#This Row],[Color Code]] &amp; " - " &amp;Table14[[#This Row],[Color Name]]</f>
        <v>95828E - K051</v>
      </c>
    </row>
    <row r="509" spans="1:5" x14ac:dyDescent="0.35">
      <c r="A509" s="17" t="s">
        <v>3022</v>
      </c>
      <c r="B509" t="s">
        <v>5266</v>
      </c>
      <c r="C509" s="9" t="str">
        <f>_xlfn.CONCAT(HEX2DEC(MID(Table14[[#This Row],[Color Code]], 1, 2))," , ",HEX2DEC(MID(Table14[[#This Row],[Color Code]], 3, 2))," , ",HEX2DEC(MID(Table14[[#This Row],[Color Code]], 5, 2)))</f>
        <v>140 , 196 , 125</v>
      </c>
      <c r="D5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63.600314464631381</v>
      </c>
      <c r="E509" t="str">
        <f>Table14[[#This Row],[Color Code]] &amp; " - " &amp;Table14[[#This Row],[Color Name]]</f>
        <v>8CC47D - 9762</v>
      </c>
    </row>
    <row r="510" spans="1:5" x14ac:dyDescent="0.35">
      <c r="A510" s="17" t="s">
        <v>3664</v>
      </c>
      <c r="B510" t="s">
        <v>5936</v>
      </c>
      <c r="C510" s="9" t="str">
        <f>_xlfn.CONCAT(HEX2DEC(MID(Table14[[#This Row],[Color Code]], 1, 2))," , ",HEX2DEC(MID(Table14[[#This Row],[Color Code]], 3, 2))," , ",HEX2DEC(MID(Table14[[#This Row],[Color Code]], 5, 2)))</f>
        <v>154 , 124 , 154</v>
      </c>
      <c r="D5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63.608175575157006</v>
      </c>
      <c r="E510" t="str">
        <f>Table14[[#This Row],[Color Code]] &amp; " - " &amp;Table14[[#This Row],[Color Name]]</f>
        <v>9A7C9A - K043</v>
      </c>
    </row>
    <row r="511" spans="1:5" x14ac:dyDescent="0.35">
      <c r="A511" s="17" t="s">
        <v>3904</v>
      </c>
      <c r="B511" t="s">
        <v>6229</v>
      </c>
      <c r="C511" s="9" t="str">
        <f>_xlfn.CONCAT(HEX2DEC(MID(Table14[[#This Row],[Color Code]], 1, 2))," , ",HEX2DEC(MID(Table14[[#This Row],[Color Code]], 3, 2))," , ",HEX2DEC(MID(Table14[[#This Row],[Color Code]], 5, 2)))</f>
        <v>218 , 213 , 199</v>
      </c>
      <c r="D5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63.686733312362634</v>
      </c>
      <c r="E511" t="str">
        <f>Table14[[#This Row],[Color Code]] &amp; " - " &amp;Table14[[#This Row],[Color Name]]</f>
        <v>DAD5C7 - 0684</v>
      </c>
    </row>
    <row r="512" spans="1:5" x14ac:dyDescent="0.35">
      <c r="A512" s="17" t="s">
        <v>3593</v>
      </c>
      <c r="B512" t="s">
        <v>5862</v>
      </c>
      <c r="C512" s="9" t="str">
        <f>_xlfn.CONCAT(HEX2DEC(MID(Table14[[#This Row],[Color Code]], 1, 2))," , ",HEX2DEC(MID(Table14[[#This Row],[Color Code]], 3, 2))," , ",HEX2DEC(MID(Table14[[#This Row],[Color Code]], 5, 2)))</f>
        <v>234 , 194 , 199</v>
      </c>
      <c r="D5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63.725975865419272</v>
      </c>
      <c r="E512" t="str">
        <f>Table14[[#This Row],[Color Code]] &amp; " - " &amp;Table14[[#This Row],[Color Name]]</f>
        <v>EAC2C7 - 0418</v>
      </c>
    </row>
    <row r="513" spans="1:5" x14ac:dyDescent="0.35">
      <c r="A513" s="17" t="s">
        <v>2633</v>
      </c>
      <c r="B513" t="s">
        <v>4833</v>
      </c>
      <c r="C513" s="9" t="str">
        <f>_xlfn.CONCAT(HEX2DEC(MID(Table14[[#This Row],[Color Code]], 1, 2))," , ",HEX2DEC(MID(Table14[[#This Row],[Color Code]], 3, 2))," , ",HEX2DEC(MID(Table14[[#This Row],[Color Code]], 5, 2)))</f>
        <v>202 , 177 , 218</v>
      </c>
      <c r="D5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63.820059542435402</v>
      </c>
      <c r="E513" t="str">
        <f>Table14[[#This Row],[Color Code]] &amp; " - " &amp;Table14[[#This Row],[Color Name]]</f>
        <v>CAB1DA - 9602</v>
      </c>
    </row>
    <row r="514" spans="1:5" x14ac:dyDescent="0.35">
      <c r="A514" s="17" t="s">
        <v>3700</v>
      </c>
      <c r="B514" t="s">
        <v>5985</v>
      </c>
      <c r="C514" s="9" t="str">
        <f>_xlfn.CONCAT(HEX2DEC(MID(Table14[[#This Row],[Color Code]], 1, 2))," , ",HEX2DEC(MID(Table14[[#This Row],[Color Code]], 3, 2))," , ",HEX2DEC(MID(Table14[[#This Row],[Color Code]], 5, 2)))</f>
        <v>146 , 133 , 141</v>
      </c>
      <c r="D5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63.843558798049472</v>
      </c>
      <c r="E514" t="str">
        <f>Table14[[#This Row],[Color Code]] &amp; " - " &amp;Table14[[#This Row],[Color Name]]</f>
        <v>92858D - 8207</v>
      </c>
    </row>
    <row r="515" spans="1:5" x14ac:dyDescent="0.35">
      <c r="A515" s="17" t="s">
        <v>4088</v>
      </c>
      <c r="B515" t="s">
        <v>6434</v>
      </c>
      <c r="C515" s="9" t="str">
        <f>_xlfn.CONCAT(HEX2DEC(MID(Table14[[#This Row],[Color Code]], 1, 2))," , ",HEX2DEC(MID(Table14[[#This Row],[Color Code]], 3, 2))," , ",HEX2DEC(MID(Table14[[#This Row],[Color Code]], 5, 2)))</f>
        <v>178 , 133 , 109</v>
      </c>
      <c r="D5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63.843558798049472</v>
      </c>
      <c r="E515" t="str">
        <f>Table14[[#This Row],[Color Code]] &amp; " - " &amp;Table14[[#This Row],[Color Name]]</f>
        <v>B2856D - 8599</v>
      </c>
    </row>
    <row r="516" spans="1:5" x14ac:dyDescent="0.35">
      <c r="A516" s="17" t="s">
        <v>3448</v>
      </c>
      <c r="B516" t="s">
        <v>5712</v>
      </c>
      <c r="C516" s="9" t="str">
        <f>_xlfn.CONCAT(HEX2DEC(MID(Table14[[#This Row],[Color Code]], 1, 2))," , ",HEX2DEC(MID(Table14[[#This Row],[Color Code]], 3, 2))," , ",HEX2DEC(MID(Table14[[#This Row],[Color Code]], 5, 2)))</f>
        <v>254 , 190 , 152</v>
      </c>
      <c r="D5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63.859220164358412</v>
      </c>
      <c r="E516" t="str">
        <f>Table14[[#This Row],[Color Code]] &amp; " - " &amp;Table14[[#This Row],[Color Name]]</f>
        <v>FEBE98 - 7992</v>
      </c>
    </row>
    <row r="517" spans="1:5" x14ac:dyDescent="0.35">
      <c r="A517" s="17" t="s">
        <v>3541</v>
      </c>
      <c r="B517" t="s">
        <v>5810</v>
      </c>
      <c r="C517" s="9" t="str">
        <f>_xlfn.CONCAT(HEX2DEC(MID(Table14[[#This Row],[Color Code]], 1, 2))," , ",HEX2DEC(MID(Table14[[#This Row],[Color Code]], 3, 2))," , ",HEX2DEC(MID(Table14[[#This Row],[Color Code]], 5, 2)))</f>
        <v>224 , 129 , 124</v>
      </c>
      <c r="D5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64.03905058634146</v>
      </c>
      <c r="E517" t="str">
        <f>Table14[[#This Row],[Color Code]] &amp; " - " &amp;Table14[[#This Row],[Color Name]]</f>
        <v>E0817C - 8054</v>
      </c>
    </row>
    <row r="518" spans="1:5" x14ac:dyDescent="0.35">
      <c r="A518" s="17" t="s">
        <v>4456</v>
      </c>
      <c r="B518" t="s">
        <v>5334</v>
      </c>
      <c r="C518" s="9" t="str">
        <f>_xlfn.CONCAT(HEX2DEC(MID(Table14[[#This Row],[Color Code]], 1, 2))," , ",HEX2DEC(MID(Table14[[#This Row],[Color Code]], 3, 2))," , ",HEX2DEC(MID(Table14[[#This Row],[Color Code]], 5, 2)))</f>
        <v>147 , 153 , 115</v>
      </c>
      <c r="D5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64.101482042149385</v>
      </c>
      <c r="E518" t="str">
        <f>Table14[[#This Row],[Color Code]] &amp; " - " &amp;Table14[[#This Row],[Color Name]]</f>
        <v>939973 - 7687</v>
      </c>
    </row>
    <row r="519" spans="1:5" x14ac:dyDescent="0.35">
      <c r="A519" s="17" t="s">
        <v>4194</v>
      </c>
      <c r="B519" t="s">
        <v>6550</v>
      </c>
      <c r="C519" s="9" t="str">
        <f>_xlfn.CONCAT(HEX2DEC(MID(Table14[[#This Row],[Color Code]], 1, 2))," , ",HEX2DEC(MID(Table14[[#This Row],[Color Code]], 3, 2))," , ",HEX2DEC(MID(Table14[[#This Row],[Color Code]], 5, 2)))</f>
        <v>226 , 204 , 201</v>
      </c>
      <c r="D5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64.132674979295857</v>
      </c>
      <c r="E519" t="str">
        <f>Table14[[#This Row],[Color Code]] &amp; " - " &amp;Table14[[#This Row],[Color Name]]</f>
        <v>E2CCC9 - 8691</v>
      </c>
    </row>
    <row r="520" spans="1:5" x14ac:dyDescent="0.35">
      <c r="A520" s="17" t="s">
        <v>3669</v>
      </c>
      <c r="B520" t="s">
        <v>5942</v>
      </c>
      <c r="C520" s="9" t="str">
        <f>_xlfn.CONCAT(HEX2DEC(MID(Table14[[#This Row],[Color Code]], 1, 2))," , ",HEX2DEC(MID(Table14[[#This Row],[Color Code]], 3, 2))," , ",HEX2DEC(MID(Table14[[#This Row],[Color Code]], 5, 2)))</f>
        <v>222 , 200 , 206</v>
      </c>
      <c r="D5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64.233947411006895</v>
      </c>
      <c r="E520" t="str">
        <f>Table14[[#This Row],[Color Code]] &amp; " - " &amp;Table14[[#This Row],[Color Name]]</f>
        <v>DEC8CE - 9451</v>
      </c>
    </row>
    <row r="521" spans="1:5" x14ac:dyDescent="0.35">
      <c r="A521" s="17" t="s">
        <v>3088</v>
      </c>
      <c r="B521" t="s">
        <v>5340</v>
      </c>
      <c r="C521" s="9" t="str">
        <f>_xlfn.CONCAT(HEX2DEC(MID(Table14[[#This Row],[Color Code]], 1, 2))," , ",HEX2DEC(MID(Table14[[#This Row],[Color Code]], 3, 2))," , ",HEX2DEC(MID(Table14[[#This Row],[Color Code]], 5, 2)))</f>
        <v>220 , 228 , 179</v>
      </c>
      <c r="D5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64.567793829431707</v>
      </c>
      <c r="E521" t="str">
        <f>Table14[[#This Row],[Color Code]] &amp; " - " &amp;Table14[[#This Row],[Color Name]]</f>
        <v>DCE4B3 - 7713</v>
      </c>
    </row>
    <row r="522" spans="1:5" x14ac:dyDescent="0.35">
      <c r="A522" s="17" t="s">
        <v>3411</v>
      </c>
      <c r="B522" t="s">
        <v>5671</v>
      </c>
      <c r="C522" s="9" t="str">
        <f>_xlfn.CONCAT(HEX2DEC(MID(Table14[[#This Row],[Color Code]], 1, 2))," , ",HEX2DEC(MID(Table14[[#This Row],[Color Code]], 3, 2))," , ",HEX2DEC(MID(Table14[[#This Row],[Color Code]], 5, 2)))</f>
        <v>252 , 175 , 131</v>
      </c>
      <c r="D5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64.621977685614041</v>
      </c>
      <c r="E522" t="str">
        <f>Table14[[#This Row],[Color Code]] &amp; " - " &amp;Table14[[#This Row],[Color Name]]</f>
        <v>FCAF83 - 9911</v>
      </c>
    </row>
    <row r="523" spans="1:5" x14ac:dyDescent="0.35">
      <c r="A523" s="17" t="s">
        <v>2891</v>
      </c>
      <c r="B523" t="s">
        <v>5115</v>
      </c>
      <c r="C523" s="9" t="str">
        <f>_xlfn.CONCAT(HEX2DEC(MID(Table14[[#This Row],[Color Code]], 1, 2))," , ",HEX2DEC(MID(Table14[[#This Row],[Color Code]], 3, 2))," , ",HEX2DEC(MID(Table14[[#This Row],[Color Code]], 5, 2)))</f>
        <v>148 , 197 , 197</v>
      </c>
      <c r="D5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64.683846515184911</v>
      </c>
      <c r="E523" t="str">
        <f>Table14[[#This Row],[Color Code]] &amp; " - " &amp;Table14[[#This Row],[Color Name]]</f>
        <v>94C5C5 - 7473</v>
      </c>
    </row>
    <row r="524" spans="1:5" x14ac:dyDescent="0.35">
      <c r="A524" s="17" t="s">
        <v>2675</v>
      </c>
      <c r="B524" t="s">
        <v>4882</v>
      </c>
      <c r="C524" s="9" t="str">
        <f>_xlfn.CONCAT(HEX2DEC(MID(Table14[[#This Row],[Color Code]], 1, 2))," , ",HEX2DEC(MID(Table14[[#This Row],[Color Code]], 3, 2))," , ",HEX2DEC(MID(Table14[[#This Row],[Color Code]], 5, 2)))</f>
        <v>200 , 195 , 216</v>
      </c>
      <c r="D5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64.691575958543467</v>
      </c>
      <c r="E524" t="str">
        <f>Table14[[#This Row],[Color Code]] &amp; " - " &amp;Table14[[#This Row],[Color Name]]</f>
        <v>C8C3D8 - 7170</v>
      </c>
    </row>
    <row r="525" spans="1:5" x14ac:dyDescent="0.35">
      <c r="A525" s="17" t="s">
        <v>2447</v>
      </c>
      <c r="B525" t="s">
        <v>4639</v>
      </c>
      <c r="C525" s="9" t="str">
        <f>_xlfn.CONCAT(HEX2DEC(MID(Table14[[#This Row],[Color Code]], 1, 2))," , ",HEX2DEC(MID(Table14[[#This Row],[Color Code]], 3, 2))," , ",HEX2DEC(MID(Table14[[#This Row],[Color Code]], 5, 2)))</f>
        <v>228 , 214 , 192</v>
      </c>
      <c r="D5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64.69930447848725</v>
      </c>
      <c r="E525" t="str">
        <f>Table14[[#This Row],[Color Code]] &amp; " - " &amp;Table14[[#This Row],[Color Name]]</f>
        <v>E4D6C0 - L190</v>
      </c>
    </row>
    <row r="526" spans="1:5" x14ac:dyDescent="0.35">
      <c r="A526" s="17" t="s">
        <v>3725</v>
      </c>
      <c r="B526" t="s">
        <v>6014</v>
      </c>
      <c r="C526" s="9" t="str">
        <f>_xlfn.CONCAT(HEX2DEC(MID(Table14[[#This Row],[Color Code]], 1, 2))," , ",HEX2DEC(MID(Table14[[#This Row],[Color Code]], 3, 2))," , ",HEX2DEC(MID(Table14[[#This Row],[Color Code]], 5, 2)))</f>
        <v>209 , 208 , 208</v>
      </c>
      <c r="D5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64.707032075347115</v>
      </c>
      <c r="E526" t="str">
        <f>Table14[[#This Row],[Color Code]] &amp; " - " &amp;Table14[[#This Row],[Color Name]]</f>
        <v>D1D0D0 - 8251</v>
      </c>
    </row>
    <row r="527" spans="1:5" x14ac:dyDescent="0.35">
      <c r="A527" s="17" t="s">
        <v>3887</v>
      </c>
      <c r="B527" t="s">
        <v>6209</v>
      </c>
      <c r="C527" s="9" t="str">
        <f>_xlfn.CONCAT(HEX2DEC(MID(Table14[[#This Row],[Color Code]], 1, 2))," , ",HEX2DEC(MID(Table14[[#This Row],[Color Code]], 3, 2))," , ",HEX2DEC(MID(Table14[[#This Row],[Color Code]], 5, 2)))</f>
        <v>142 , 144 , 128</v>
      </c>
      <c r="D5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64.730209330729039</v>
      </c>
      <c r="E527" t="str">
        <f>Table14[[#This Row],[Color Code]] &amp; " - " &amp;Table14[[#This Row],[Color Name]]</f>
        <v>8E9080 - 8399</v>
      </c>
    </row>
    <row r="528" spans="1:5" x14ac:dyDescent="0.35">
      <c r="A528" s="17" t="s">
        <v>2448</v>
      </c>
      <c r="B528" t="s">
        <v>4640</v>
      </c>
      <c r="C528" s="9" t="str">
        <f>_xlfn.CONCAT(HEX2DEC(MID(Table14[[#This Row],[Color Code]], 1, 2))," , ",HEX2DEC(MID(Table14[[#This Row],[Color Code]], 3, 2))," , ",HEX2DEC(MID(Table14[[#This Row],[Color Code]], 5, 2)))</f>
        <v>230 , 214 , 190</v>
      </c>
      <c r="D5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64.730209330729039</v>
      </c>
      <c r="E528" t="str">
        <f>Table14[[#This Row],[Color Code]] &amp; " - " &amp;Table14[[#This Row],[Color Name]]</f>
        <v>E6D6BE - L129</v>
      </c>
    </row>
    <row r="529" spans="1:5" x14ac:dyDescent="0.35">
      <c r="A529" s="17" t="s">
        <v>3925</v>
      </c>
      <c r="B529" t="s">
        <v>6253</v>
      </c>
      <c r="C529" s="9" t="str">
        <f>_xlfn.CONCAT(HEX2DEC(MID(Table14[[#This Row],[Color Code]], 1, 2))," , ",HEX2DEC(MID(Table14[[#This Row],[Color Code]], 3, 2))," , ",HEX2DEC(MID(Table14[[#This Row],[Color Code]], 5, 2)))</f>
        <v>222 , 213 , 198</v>
      </c>
      <c r="D5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64.753378290248307</v>
      </c>
      <c r="E529" t="str">
        <f>Table14[[#This Row],[Color Code]] &amp; " - " &amp;Table14[[#This Row],[Color Name]]</f>
        <v>DED5C6 - 8459</v>
      </c>
    </row>
    <row r="530" spans="1:5" x14ac:dyDescent="0.35">
      <c r="A530" s="17" t="s">
        <v>4517</v>
      </c>
      <c r="B530" t="s">
        <v>6145</v>
      </c>
      <c r="C530" s="9" t="str">
        <f>_xlfn.CONCAT(HEX2DEC(MID(Table14[[#This Row],[Color Code]], 1, 2))," , ",HEX2DEC(MID(Table14[[#This Row],[Color Code]], 3, 2))," , ",HEX2DEC(MID(Table14[[#This Row],[Color Code]], 5, 2)))</f>
        <v>134 , 147 , 148</v>
      </c>
      <c r="D5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64.784257346982073</v>
      </c>
      <c r="E530" t="str">
        <f>Table14[[#This Row],[Color Code]] &amp; " - " &amp;Table14[[#This Row],[Color Name]]</f>
        <v>869394 - 8336</v>
      </c>
    </row>
    <row r="531" spans="1:5" x14ac:dyDescent="0.35">
      <c r="A531" s="17" t="s">
        <v>3955</v>
      </c>
      <c r="B531" t="s">
        <v>6286</v>
      </c>
      <c r="C531" s="9" t="str">
        <f>_xlfn.CONCAT(HEX2DEC(MID(Table14[[#This Row],[Color Code]], 1, 2))," , ",HEX2DEC(MID(Table14[[#This Row],[Color Code]], 3, 2))," , ",HEX2DEC(MID(Table14[[#This Row],[Color Code]], 5, 2)))</f>
        <v>226 , 214 , 194</v>
      </c>
      <c r="D5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64.791974811700257</v>
      </c>
      <c r="E531" t="str">
        <f>Table14[[#This Row],[Color Code]] &amp; " - " &amp;Table14[[#This Row],[Color Name]]</f>
        <v>E2D6C2 - 0974</v>
      </c>
    </row>
    <row r="532" spans="1:5" x14ac:dyDescent="0.35">
      <c r="A532" s="17" t="s">
        <v>3007</v>
      </c>
      <c r="B532" t="s">
        <v>5251</v>
      </c>
      <c r="C532" s="9" t="str">
        <f>_xlfn.CONCAT(HEX2DEC(MID(Table14[[#This Row],[Color Code]], 1, 2))," , ",HEX2DEC(MID(Table14[[#This Row],[Color Code]], 3, 2))," , ",HEX2DEC(MID(Table14[[#This Row],[Color Code]], 5, 2)))</f>
        <v>200 , 220 , 201</v>
      </c>
      <c r="D5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64.845971347493901</v>
      </c>
      <c r="E532" t="str">
        <f>Table14[[#This Row],[Color Code]] &amp; " - " &amp;Table14[[#This Row],[Color Name]]</f>
        <v>C8DCC9 - 0299</v>
      </c>
    </row>
    <row r="533" spans="1:5" x14ac:dyDescent="0.35">
      <c r="A533" s="17" t="s">
        <v>3410</v>
      </c>
      <c r="B533" t="s">
        <v>5670</v>
      </c>
      <c r="C533" s="9" t="str">
        <f>_xlfn.CONCAT(HEX2DEC(MID(Table14[[#This Row],[Color Code]], 1, 2))," , ",HEX2DEC(MID(Table14[[#This Row],[Color Code]], 3, 2))," , ",HEX2DEC(MID(Table14[[#This Row],[Color Code]], 5, 2)))</f>
        <v>254 , 189 , 142</v>
      </c>
      <c r="D5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64.87680633323437</v>
      </c>
      <c r="E533" t="str">
        <f>Table14[[#This Row],[Color Code]] &amp; " - " &amp;Table14[[#This Row],[Color Name]]</f>
        <v>FEBD8E - 9910</v>
      </c>
    </row>
    <row r="534" spans="1:5" x14ac:dyDescent="0.35">
      <c r="A534" s="17" t="s">
        <v>4046</v>
      </c>
      <c r="B534" t="s">
        <v>6389</v>
      </c>
      <c r="C534" s="9" t="str">
        <f>_xlfn.CONCAT(HEX2DEC(MID(Table14[[#This Row],[Color Code]], 1, 2))," , ",HEX2DEC(MID(Table14[[#This Row],[Color Code]], 3, 2))," , ",HEX2DEC(MID(Table14[[#This Row],[Color Code]], 5, 2)))</f>
        <v>234 , 210 , 190</v>
      </c>
      <c r="D5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64.91532946846992</v>
      </c>
      <c r="E534" t="str">
        <f>Table14[[#This Row],[Color Code]] &amp; " - " &amp;Table14[[#This Row],[Color Name]]</f>
        <v>EAD2BE - 0477</v>
      </c>
    </row>
    <row r="535" spans="1:5" x14ac:dyDescent="0.35">
      <c r="A535" s="17" t="s">
        <v>2811</v>
      </c>
      <c r="B535" t="s">
        <v>5027</v>
      </c>
      <c r="C535" s="9" t="str">
        <f>_xlfn.CONCAT(HEX2DEC(MID(Table14[[#This Row],[Color Code]], 1, 2))," , ",HEX2DEC(MID(Table14[[#This Row],[Color Code]], 3, 2))," , ",HEX2DEC(MID(Table14[[#This Row],[Color Code]], 5, 2)))</f>
        <v>181 , 206 , 211</v>
      </c>
      <c r="D5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64.946131524518066</v>
      </c>
      <c r="E535" t="str">
        <f>Table14[[#This Row],[Color Code]] &amp; " - " &amp;Table14[[#This Row],[Color Name]]</f>
        <v>B5CED3 - 7386</v>
      </c>
    </row>
    <row r="536" spans="1:5" x14ac:dyDescent="0.35">
      <c r="A536" s="17" t="s">
        <v>3079</v>
      </c>
      <c r="B536" t="s">
        <v>5330</v>
      </c>
      <c r="C536" s="9" t="str">
        <f>_xlfn.CONCAT(HEX2DEC(MID(Table14[[#This Row],[Color Code]], 1, 2))," , ",HEX2DEC(MID(Table14[[#This Row],[Color Code]], 3, 2))," , ",HEX2DEC(MID(Table14[[#This Row],[Color Code]], 5, 2)))</f>
        <v>215 , 220 , 196</v>
      </c>
      <c r="D5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65.076877614095778</v>
      </c>
      <c r="E536" t="str">
        <f>Table14[[#This Row],[Color Code]] &amp; " - " &amp;Table14[[#This Row],[Color Name]]</f>
        <v>D7DCC4 - 7691</v>
      </c>
    </row>
    <row r="537" spans="1:5" x14ac:dyDescent="0.35">
      <c r="A537" s="17" t="s">
        <v>2724</v>
      </c>
      <c r="B537" t="s">
        <v>4932</v>
      </c>
      <c r="C537" s="9" t="str">
        <f>_xlfn.CONCAT(HEX2DEC(MID(Table14[[#This Row],[Color Code]], 1, 2))," , ",HEX2DEC(MID(Table14[[#This Row],[Color Code]], 3, 2))," , ",HEX2DEC(MID(Table14[[#This Row],[Color Code]], 5, 2)))</f>
        <v>136 , 150 , 177</v>
      </c>
      <c r="D5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65.153664517047702</v>
      </c>
      <c r="E537" t="str">
        <f>Table14[[#This Row],[Color Code]] &amp; " - " &amp;Table14[[#This Row],[Color Name]]</f>
        <v>8896B1 - 7224</v>
      </c>
    </row>
    <row r="538" spans="1:5" x14ac:dyDescent="0.35">
      <c r="A538" s="17" t="s">
        <v>3289</v>
      </c>
      <c r="B538" t="s">
        <v>5548</v>
      </c>
      <c r="C538" s="9" t="str">
        <f>_xlfn.CONCAT(HEX2DEC(MID(Table14[[#This Row],[Color Code]], 1, 2))," , ",HEX2DEC(MID(Table14[[#This Row],[Color Code]], 3, 2))," , ",HEX2DEC(MID(Table14[[#This Row],[Color Code]], 5, 2)))</f>
        <v>242 , 216 , 163</v>
      </c>
      <c r="D5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65.153664517047702</v>
      </c>
      <c r="E538" t="str">
        <f>Table14[[#This Row],[Color Code]] &amp; " - " &amp;Table14[[#This Row],[Color Name]]</f>
        <v>F2D8A3 - 0399</v>
      </c>
    </row>
    <row r="539" spans="1:5" x14ac:dyDescent="0.35">
      <c r="A539" s="17" t="s">
        <v>4178</v>
      </c>
      <c r="B539" t="s">
        <v>6533</v>
      </c>
      <c r="C539" s="9" t="str">
        <f>_xlfn.CONCAT(HEX2DEC(MID(Table14[[#This Row],[Color Code]], 1, 2))," , ",HEX2DEC(MID(Table14[[#This Row],[Color Code]], 3, 2))," , ",HEX2DEC(MID(Table14[[#This Row],[Color Code]], 5, 2)))</f>
        <v>226 , 209 , 199</v>
      </c>
      <c r="D5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65.1766829472013</v>
      </c>
      <c r="E539" t="str">
        <f>Table14[[#This Row],[Color Code]] &amp; " - " &amp;Table14[[#This Row],[Color Name]]</f>
        <v>E2D1C7 - K255</v>
      </c>
    </row>
    <row r="540" spans="1:5" x14ac:dyDescent="0.35">
      <c r="A540" s="17" t="s">
        <v>3345</v>
      </c>
      <c r="B540" t="s">
        <v>5604</v>
      </c>
      <c r="C540" s="9" t="str">
        <f>_xlfn.CONCAT(HEX2DEC(MID(Table14[[#This Row],[Color Code]], 1, 2))," , ",HEX2DEC(MID(Table14[[#This Row],[Color Code]], 3, 2))," , ",HEX2DEC(MID(Table14[[#This Row],[Color Code]], 5, 2)))</f>
        <v>248 , 208 , 150</v>
      </c>
      <c r="D5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65.192024052026483</v>
      </c>
      <c r="E540" t="str">
        <f>Table14[[#This Row],[Color Code]] &amp; " - " &amp;Table14[[#This Row],[Color Name]]</f>
        <v>F8D096 - 7928</v>
      </c>
    </row>
    <row r="541" spans="1:5" x14ac:dyDescent="0.35">
      <c r="A541" s="17" t="s">
        <v>3200</v>
      </c>
      <c r="B541" t="s">
        <v>5458</v>
      </c>
      <c r="C541" s="9" t="str">
        <f>_xlfn.CONCAT(HEX2DEC(MID(Table14[[#This Row],[Color Code]], 1, 2))," , ",HEX2DEC(MID(Table14[[#This Row],[Color Code]], 3, 2))," , ",HEX2DEC(MID(Table14[[#This Row],[Color Code]], 5, 2)))</f>
        <v>225 , 219 , 190</v>
      </c>
      <c r="D5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65.192024052026483</v>
      </c>
      <c r="E541" t="str">
        <f>Table14[[#This Row],[Color Code]] &amp; " - " &amp;Table14[[#This Row],[Color Name]]</f>
        <v>E1DBBE - 0262</v>
      </c>
    </row>
    <row r="542" spans="1:5" x14ac:dyDescent="0.35">
      <c r="A542" s="17" t="s">
        <v>3425</v>
      </c>
      <c r="B542" t="s">
        <v>5686</v>
      </c>
      <c r="C542" s="9" t="str">
        <f>_xlfn.CONCAT(HEX2DEC(MID(Table14[[#This Row],[Color Code]], 1, 2))," , ",HEX2DEC(MID(Table14[[#This Row],[Color Code]], 3, 2))," , ",HEX2DEC(MID(Table14[[#This Row],[Color Code]], 5, 2)))</f>
        <v>254 , 194 , 148</v>
      </c>
      <c r="D5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65.222695436481317</v>
      </c>
      <c r="E542" t="str">
        <f>Table14[[#This Row],[Color Code]] &amp; " - " &amp;Table14[[#This Row],[Color Name]]</f>
        <v>FEC294 - 9926</v>
      </c>
    </row>
    <row r="543" spans="1:5" x14ac:dyDescent="0.35">
      <c r="A543" s="17" t="s">
        <v>2709</v>
      </c>
      <c r="B543" t="s">
        <v>4917</v>
      </c>
      <c r="C543" s="9" t="str">
        <f>_xlfn.CONCAT(HEX2DEC(MID(Table14[[#This Row],[Color Code]], 1, 2))," , ",HEX2DEC(MID(Table14[[#This Row],[Color Code]], 3, 2))," , ",HEX2DEC(MID(Table14[[#This Row],[Color Code]], 5, 2)))</f>
        <v>164 , 174 , 214</v>
      </c>
      <c r="D5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65.31462317123173</v>
      </c>
      <c r="E543" t="str">
        <f>Table14[[#This Row],[Color Code]] &amp; " - " &amp;Table14[[#This Row],[Color Name]]</f>
        <v>A4AED6 - 7208</v>
      </c>
    </row>
    <row r="544" spans="1:5" x14ac:dyDescent="0.35">
      <c r="A544" s="17" t="s">
        <v>2946</v>
      </c>
      <c r="B544" t="s">
        <v>5179</v>
      </c>
      <c r="C544" s="9" t="str">
        <f>_xlfn.CONCAT(HEX2DEC(MID(Table14[[#This Row],[Color Code]], 1, 2))," , ",HEX2DEC(MID(Table14[[#This Row],[Color Code]], 3, 2))," , ",HEX2DEC(MID(Table14[[#This Row],[Color Code]], 5, 2)))</f>
        <v>175 , 216 , 203</v>
      </c>
      <c r="D5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65.375836514724611</v>
      </c>
      <c r="E544" t="str">
        <f>Table14[[#This Row],[Color Code]] &amp; " - " &amp;Table14[[#This Row],[Color Name]]</f>
        <v>AFD8CB - 7546</v>
      </c>
    </row>
    <row r="545" spans="1:5" x14ac:dyDescent="0.35">
      <c r="A545" s="17" t="s">
        <v>3990</v>
      </c>
      <c r="B545" t="s">
        <v>6330</v>
      </c>
      <c r="C545" s="9" t="str">
        <f>_xlfn.CONCAT(HEX2DEC(MID(Table14[[#This Row],[Color Code]], 1, 2))," , ",HEX2DEC(MID(Table14[[#This Row],[Color Code]], 3, 2))," , ",HEX2DEC(MID(Table14[[#This Row],[Color Code]], 5, 2)))</f>
        <v>188 , 145 , 97</v>
      </c>
      <c r="D5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65.421708935184498</v>
      </c>
      <c r="E545" t="str">
        <f>Table14[[#This Row],[Color Code]] &amp; " - " &amp;Table14[[#This Row],[Color Name]]</f>
        <v>BC9161 - 8519</v>
      </c>
    </row>
    <row r="546" spans="1:5" x14ac:dyDescent="0.35">
      <c r="A546" s="17" t="s">
        <v>3223</v>
      </c>
      <c r="B546" t="s">
        <v>5481</v>
      </c>
      <c r="C546" s="9" t="str">
        <f>_xlfn.CONCAT(HEX2DEC(MID(Table14[[#This Row],[Color Code]], 1, 2))," , ",HEX2DEC(MID(Table14[[#This Row],[Color Code]], 3, 2))," , ",HEX2DEC(MID(Table14[[#This Row],[Color Code]], 5, 2)))</f>
        <v>235 , 217 , 129</v>
      </c>
      <c r="D5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65.490457320131767</v>
      </c>
      <c r="E546" t="str">
        <f>Table14[[#This Row],[Color Code]] &amp; " - " &amp;Table14[[#This Row],[Color Name]]</f>
        <v>EBD981 - 9856</v>
      </c>
    </row>
    <row r="547" spans="1:5" x14ac:dyDescent="0.35">
      <c r="A547" s="17" t="s">
        <v>3908</v>
      </c>
      <c r="B547" t="s">
        <v>6233</v>
      </c>
      <c r="C547" s="9" t="str">
        <f>_xlfn.CONCAT(HEX2DEC(MID(Table14[[#This Row],[Color Code]], 1, 2))," , ",HEX2DEC(MID(Table14[[#This Row],[Color Code]], 3, 2))," , ",HEX2DEC(MID(Table14[[#This Row],[Color Code]], 5, 2)))</f>
        <v>142 , 142 , 128</v>
      </c>
      <c r="D5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65.711490623786645</v>
      </c>
      <c r="E547" t="str">
        <f>Table14[[#This Row],[Color Code]] &amp; " - " &amp;Table14[[#This Row],[Color Name]]</f>
        <v>8E8E80 - 8423</v>
      </c>
    </row>
    <row r="548" spans="1:5" x14ac:dyDescent="0.35">
      <c r="A548" s="17" t="s">
        <v>3783</v>
      </c>
      <c r="B548" t="s">
        <v>6078</v>
      </c>
      <c r="C548" s="9" t="str">
        <f>_xlfn.CONCAT(HEX2DEC(MID(Table14[[#This Row],[Color Code]], 1, 2))," , ",HEX2DEC(MID(Table14[[#This Row],[Color Code]], 3, 2))," , ",HEX2DEC(MID(Table14[[#This Row],[Color Code]], 5, 2)))</f>
        <v>215 , 211 , 205</v>
      </c>
      <c r="D5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65.76473218982953</v>
      </c>
      <c r="E548" t="str">
        <f>Table14[[#This Row],[Color Code]] &amp; " - " &amp;Table14[[#This Row],[Color Name]]</f>
        <v>D7D3CD - 8299</v>
      </c>
    </row>
    <row r="549" spans="1:5" x14ac:dyDescent="0.35">
      <c r="A549" s="17" t="s">
        <v>3154</v>
      </c>
      <c r="B549" t="s">
        <v>5410</v>
      </c>
      <c r="C549" s="9" t="str">
        <f>_xlfn.CONCAT(HEX2DEC(MID(Table14[[#This Row],[Color Code]], 1, 2))," , ",HEX2DEC(MID(Table14[[#This Row],[Color Code]], 3, 2))," , ",HEX2DEC(MID(Table14[[#This Row],[Color Code]], 5, 2)))</f>
        <v>205 , 207 , 99</v>
      </c>
      <c r="D5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65.79513659838392</v>
      </c>
      <c r="E549" t="str">
        <f>Table14[[#This Row],[Color Code]] &amp; " - " &amp;Table14[[#This Row],[Color Name]]</f>
        <v>CDCF63 - 9834</v>
      </c>
    </row>
    <row r="550" spans="1:5" x14ac:dyDescent="0.35">
      <c r="A550" s="17" t="s">
        <v>3629</v>
      </c>
      <c r="B550" t="s">
        <v>5899</v>
      </c>
      <c r="C550" s="9" t="str">
        <f>_xlfn.CONCAT(HEX2DEC(MID(Table14[[#This Row],[Color Code]], 1, 2))," , ",HEX2DEC(MID(Table14[[#This Row],[Color Code]], 3, 2))," , ",HEX2DEC(MID(Table14[[#This Row],[Color Code]], 5, 2)))</f>
        <v>178 , 112 , 142</v>
      </c>
      <c r="D5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65.833122362531157</v>
      </c>
      <c r="E550" t="str">
        <f>Table14[[#This Row],[Color Code]] &amp; " - " &amp;Table14[[#This Row],[Color Name]]</f>
        <v>B2708E - 8134</v>
      </c>
    </row>
    <row r="551" spans="1:5" x14ac:dyDescent="0.35">
      <c r="A551" s="17" t="s">
        <v>3170</v>
      </c>
      <c r="B551" t="s">
        <v>5428</v>
      </c>
      <c r="C551" s="9" t="str">
        <f>_xlfn.CONCAT(HEX2DEC(MID(Table14[[#This Row],[Color Code]], 1, 2))," , ",HEX2DEC(MID(Table14[[#This Row],[Color Code]], 3, 2))," , ",HEX2DEC(MID(Table14[[#This Row],[Color Code]], 5, 2)))</f>
        <v>230 , 225 , 175</v>
      </c>
      <c r="D5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65.909028213136324</v>
      </c>
      <c r="E551" t="str">
        <f>Table14[[#This Row],[Color Code]] &amp; " - " &amp;Table14[[#This Row],[Color Name]]</f>
        <v>E6E1AF - 7769</v>
      </c>
    </row>
    <row r="552" spans="1:5" x14ac:dyDescent="0.35">
      <c r="A552" s="17" t="s">
        <v>2804</v>
      </c>
      <c r="B552" t="s">
        <v>5019</v>
      </c>
      <c r="C552" s="9" t="str">
        <f>_xlfn.CONCAT(HEX2DEC(MID(Table14[[#This Row],[Color Code]], 1, 2))," , ",HEX2DEC(MID(Table14[[#This Row],[Color Code]], 3, 2))," , ",HEX2DEC(MID(Table14[[#This Row],[Color Code]], 5, 2)))</f>
        <v>150 , 189 , 204</v>
      </c>
      <c r="D5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66.037867924396224</v>
      </c>
      <c r="E552" t="str">
        <f>Table14[[#This Row],[Color Code]] &amp; " - " &amp;Table14[[#This Row],[Color Name]]</f>
        <v>96BDCC - 7369</v>
      </c>
    </row>
    <row r="553" spans="1:5" x14ac:dyDescent="0.35">
      <c r="A553" s="17" t="s">
        <v>3483</v>
      </c>
      <c r="B553" t="s">
        <v>5750</v>
      </c>
      <c r="C553" s="9" t="str">
        <f>_xlfn.CONCAT(HEX2DEC(MID(Table14[[#This Row],[Color Code]], 1, 2))," , ",HEX2DEC(MID(Table14[[#This Row],[Color Code]], 3, 2))," , ",HEX2DEC(MID(Table14[[#This Row],[Color Code]], 5, 2)))</f>
        <v>250 , 201 , 173</v>
      </c>
      <c r="D5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66.060578259654974</v>
      </c>
      <c r="E553" t="str">
        <f>Table14[[#This Row],[Color Code]] &amp; " - " &amp;Table14[[#This Row],[Color Name]]</f>
        <v>FAC9AD - 9963</v>
      </c>
    </row>
    <row r="554" spans="1:5" x14ac:dyDescent="0.35">
      <c r="A554" s="17" t="s">
        <v>4376</v>
      </c>
      <c r="B554" t="s">
        <v>6757</v>
      </c>
      <c r="C554" s="9" t="str">
        <f>_xlfn.CONCAT(HEX2DEC(MID(Table14[[#This Row],[Color Code]], 1, 2))," , ",HEX2DEC(MID(Table14[[#This Row],[Color Code]], 3, 2))," , ",HEX2DEC(MID(Table14[[#This Row],[Color Code]], 5, 2)))</f>
        <v>202 , 110 , 162</v>
      </c>
      <c r="D5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66.136223055145805</v>
      </c>
      <c r="E554" t="str">
        <f>Table14[[#This Row],[Color Code]] &amp; " - " &amp;Table14[[#This Row],[Color Name]]</f>
        <v>CA6EA2 - X178</v>
      </c>
    </row>
    <row r="555" spans="1:5" x14ac:dyDescent="0.35">
      <c r="A555" s="17" t="s">
        <v>3014</v>
      </c>
      <c r="B555" t="s">
        <v>5258</v>
      </c>
      <c r="C555" s="9" t="str">
        <f>_xlfn.CONCAT(HEX2DEC(MID(Table14[[#This Row],[Color Code]], 1, 2))," , ",HEX2DEC(MID(Table14[[#This Row],[Color Code]], 3, 2))," , ",HEX2DEC(MID(Table14[[#This Row],[Color Code]], 5, 2)))</f>
        <v>181 , 225 , 197</v>
      </c>
      <c r="D5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66.219332524573218</v>
      </c>
      <c r="E555" t="str">
        <f>Table14[[#This Row],[Color Code]] &amp; " - " &amp;Table14[[#This Row],[Color Name]]</f>
        <v>B5E1C5 - 7610</v>
      </c>
    </row>
    <row r="556" spans="1:5" x14ac:dyDescent="0.35">
      <c r="A556" s="17" t="s">
        <v>2892</v>
      </c>
      <c r="B556" t="s">
        <v>5116</v>
      </c>
      <c r="C556" s="9" t="str">
        <f>_xlfn.CONCAT(HEX2DEC(MID(Table14[[#This Row],[Color Code]], 1, 2))," , ",HEX2DEC(MID(Table14[[#This Row],[Color Code]], 3, 2))," , ",HEX2DEC(MID(Table14[[#This Row],[Color Code]], 5, 2)))</f>
        <v>131 , 177 , 181</v>
      </c>
      <c r="D5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66.340033162487941</v>
      </c>
      <c r="E556" t="str">
        <f>Table14[[#This Row],[Color Code]] &amp; " - " &amp;Table14[[#This Row],[Color Name]]</f>
        <v>83B1B5 - 7472</v>
      </c>
    </row>
    <row r="557" spans="1:5" x14ac:dyDescent="0.35">
      <c r="A557" s="17" t="s">
        <v>2659</v>
      </c>
      <c r="B557" t="s">
        <v>4866</v>
      </c>
      <c r="C557" s="9" t="str">
        <f>_xlfn.CONCAT(HEX2DEC(MID(Table14[[#This Row],[Color Code]], 1, 2))," , ",HEX2DEC(MID(Table14[[#This Row],[Color Code]], 3, 2))," , ",HEX2DEC(MID(Table14[[#This Row],[Color Code]], 5, 2)))</f>
        <v>206 , 194 , 217</v>
      </c>
      <c r="D5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66.340033162487941</v>
      </c>
      <c r="E557" t="str">
        <f>Table14[[#This Row],[Color Code]] &amp; " - " &amp;Table14[[#This Row],[Color Name]]</f>
        <v>CEC2D9 - 7008</v>
      </c>
    </row>
    <row r="558" spans="1:5" x14ac:dyDescent="0.35">
      <c r="A558" s="17" t="s">
        <v>4201</v>
      </c>
      <c r="B558" t="s">
        <v>6558</v>
      </c>
      <c r="C558" s="9" t="str">
        <f>_xlfn.CONCAT(HEX2DEC(MID(Table14[[#This Row],[Color Code]], 1, 2))," , ",HEX2DEC(MID(Table14[[#This Row],[Color Code]], 3, 2))," , ",HEX2DEC(MID(Table14[[#This Row],[Color Code]], 5, 2)))</f>
        <v>231 , 199 , 203</v>
      </c>
      <c r="D5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66.340033162487941</v>
      </c>
      <c r="E558" t="str">
        <f>Table14[[#This Row],[Color Code]] &amp; " - " &amp;Table14[[#This Row],[Color Name]]</f>
        <v>E7C7CB - 8706</v>
      </c>
    </row>
    <row r="559" spans="1:5" x14ac:dyDescent="0.35">
      <c r="A559" s="17" t="s">
        <v>3531</v>
      </c>
      <c r="B559" t="s">
        <v>5799</v>
      </c>
      <c r="C559" s="9" t="str">
        <f>_xlfn.CONCAT(HEX2DEC(MID(Table14[[#This Row],[Color Code]], 1, 2))," , ",HEX2DEC(MID(Table14[[#This Row],[Color Code]], 3, 2))," , ",HEX2DEC(MID(Table14[[#This Row],[Color Code]], 5, 2)))</f>
        <v>238 , 132 , 134</v>
      </c>
      <c r="D5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66.377707101104363</v>
      </c>
      <c r="E559" t="str">
        <f>Table14[[#This Row],[Color Code]] &amp; " - " &amp;Table14[[#This Row],[Color Name]]</f>
        <v>EE8486 - 9992</v>
      </c>
    </row>
    <row r="560" spans="1:5" x14ac:dyDescent="0.35">
      <c r="A560" s="17" t="s">
        <v>2803</v>
      </c>
      <c r="B560" t="s">
        <v>5018</v>
      </c>
      <c r="C560" s="9" t="str">
        <f>_xlfn.CONCAT(HEX2DEC(MID(Table14[[#This Row],[Color Code]], 1, 2))," , ",HEX2DEC(MID(Table14[[#This Row],[Color Code]], 3, 2))," , ",HEX2DEC(MID(Table14[[#This Row],[Color Code]], 5, 2)))</f>
        <v>162 , 197 , 210</v>
      </c>
      <c r="D5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66.400301204136113</v>
      </c>
      <c r="E560" t="str">
        <f>Table14[[#This Row],[Color Code]] &amp; " - " &amp;Table14[[#This Row],[Color Name]]</f>
        <v>A2C5D2 - 7370</v>
      </c>
    </row>
    <row r="561" spans="1:5" x14ac:dyDescent="0.35">
      <c r="A561" s="17" t="s">
        <v>3500</v>
      </c>
      <c r="B561" t="s">
        <v>5767</v>
      </c>
      <c r="C561" s="9" t="str">
        <f>_xlfn.CONCAT(HEX2DEC(MID(Table14[[#This Row],[Color Code]], 1, 2))," , ",HEX2DEC(MID(Table14[[#This Row],[Color Code]], 3, 2))," , ",HEX2DEC(MID(Table14[[#This Row],[Color Code]], 5, 2)))</f>
        <v>249 , 197 , 181</v>
      </c>
      <c r="D5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66.400301204136113</v>
      </c>
      <c r="E561" t="str">
        <f>Table14[[#This Row],[Color Code]] &amp; " - " &amp;Table14[[#This Row],[Color Name]]</f>
        <v>F9C5B5 - 8033</v>
      </c>
    </row>
    <row r="562" spans="1:5" x14ac:dyDescent="0.35">
      <c r="A562" s="17" t="s">
        <v>4382</v>
      </c>
      <c r="B562" t="s">
        <v>6766</v>
      </c>
      <c r="C562" s="9" t="str">
        <f>_xlfn.CONCAT(HEX2DEC(MID(Table14[[#This Row],[Color Code]], 1, 2))," , ",HEX2DEC(MID(Table14[[#This Row],[Color Code]], 3, 2))," , ",HEX2DEC(MID(Table14[[#This Row],[Color Code]], 5, 2)))</f>
        <v>212 , 112 , 148</v>
      </c>
      <c r="D5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66.468037431535464</v>
      </c>
      <c r="E562" t="str">
        <f>Table14[[#This Row],[Color Code]] &amp; " - " &amp;Table14[[#This Row],[Color Name]]</f>
        <v>D47094 - 8126</v>
      </c>
    </row>
    <row r="563" spans="1:5" x14ac:dyDescent="0.35">
      <c r="A563" s="17" t="s">
        <v>3346</v>
      </c>
      <c r="B563" t="s">
        <v>5605</v>
      </c>
      <c r="C563" s="9" t="str">
        <f>_xlfn.CONCAT(HEX2DEC(MID(Table14[[#This Row],[Color Code]], 1, 2))," , ",HEX2DEC(MID(Table14[[#This Row],[Color Code]], 3, 2))," , ",HEX2DEC(MID(Table14[[#This Row],[Color Code]], 5, 2)))</f>
        <v>241 , 188 , 112</v>
      </c>
      <c r="D5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66.475559418481012</v>
      </c>
      <c r="E563" t="str">
        <f>Table14[[#This Row],[Color Code]] &amp; " - " &amp;Table14[[#This Row],[Color Name]]</f>
        <v>F1BC70 - 9891</v>
      </c>
    </row>
    <row r="564" spans="1:5" x14ac:dyDescent="0.35">
      <c r="A564" s="17" t="s">
        <v>3940</v>
      </c>
      <c r="B564" t="s">
        <v>6269</v>
      </c>
      <c r="C564" s="9" t="str">
        <f>_xlfn.CONCAT(HEX2DEC(MID(Table14[[#This Row],[Color Code]], 1, 2))," , ",HEX2DEC(MID(Table14[[#This Row],[Color Code]], 3, 2))," , ",HEX2DEC(MID(Table14[[#This Row],[Color Code]], 5, 2)))</f>
        <v>221 , 212 , 202</v>
      </c>
      <c r="D5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66.475559418481012</v>
      </c>
      <c r="E564" t="str">
        <f>Table14[[#This Row],[Color Code]] &amp; " - " &amp;Table14[[#This Row],[Color Name]]</f>
        <v>DDD4CA - 8475</v>
      </c>
    </row>
    <row r="565" spans="1:5" x14ac:dyDescent="0.35">
      <c r="A565" s="17" t="s">
        <v>2636</v>
      </c>
      <c r="B565" t="s">
        <v>4836</v>
      </c>
      <c r="C565" s="9" t="str">
        <f>_xlfn.CONCAT(HEX2DEC(MID(Table14[[#This Row],[Color Code]], 1, 2))," , ",HEX2DEC(MID(Table14[[#This Row],[Color Code]], 3, 2))," , ",HEX2DEC(MID(Table14[[#This Row],[Color Code]], 5, 2)))</f>
        <v>158 , 122 , 177</v>
      </c>
      <c r="D5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66.700824582609172</v>
      </c>
      <c r="E565" t="str">
        <f>Table14[[#This Row],[Color Code]] &amp; " - " &amp;Table14[[#This Row],[Color Name]]</f>
        <v>9E7AB1 - 9604</v>
      </c>
    </row>
    <row r="566" spans="1:5" x14ac:dyDescent="0.35">
      <c r="A566" s="17" t="s">
        <v>4256</v>
      </c>
      <c r="B566" t="s">
        <v>6625</v>
      </c>
      <c r="C566" s="9" t="str">
        <f>_xlfn.CONCAT(HEX2DEC(MID(Table14[[#This Row],[Color Code]], 1, 2))," , ",HEX2DEC(MID(Table14[[#This Row],[Color Code]], 3, 2))," , ",HEX2DEC(MID(Table14[[#This Row],[Color Code]], 5, 2)))</f>
        <v>151 , 134 , 122</v>
      </c>
      <c r="D5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66.715815216483719</v>
      </c>
      <c r="E566" t="str">
        <f>Table14[[#This Row],[Color Code]] &amp; " - " &amp;Table14[[#This Row],[Color Name]]</f>
        <v>97867A - 8775</v>
      </c>
    </row>
    <row r="567" spans="1:5" x14ac:dyDescent="0.35">
      <c r="A567" s="17" t="s">
        <v>2773</v>
      </c>
      <c r="B567" t="s">
        <v>4986</v>
      </c>
      <c r="C567" s="9" t="str">
        <f>_xlfn.CONCAT(HEX2DEC(MID(Table14[[#This Row],[Color Code]], 1, 2))," , ",HEX2DEC(MID(Table14[[#This Row],[Color Code]], 3, 2))," , ",HEX2DEC(MID(Table14[[#This Row],[Color Code]], 5, 2)))</f>
        <v>171 , 198 , 214</v>
      </c>
      <c r="D5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66.715815216483719</v>
      </c>
      <c r="E567" t="str">
        <f>Table14[[#This Row],[Color Code]] &amp; " - " &amp;Table14[[#This Row],[Color Name]]</f>
        <v>ABC6D6 - 7306</v>
      </c>
    </row>
    <row r="568" spans="1:5" x14ac:dyDescent="0.35">
      <c r="A568" s="17" t="s">
        <v>3433</v>
      </c>
      <c r="B568" t="s">
        <v>5695</v>
      </c>
      <c r="C568" s="9" t="str">
        <f>_xlfn.CONCAT(HEX2DEC(MID(Table14[[#This Row],[Color Code]], 1, 2))," , ",HEX2DEC(MID(Table14[[#This Row],[Color Code]], 3, 2))," , ",HEX2DEC(MID(Table14[[#This Row],[Color Code]], 5, 2)))</f>
        <v>254 , 196 , 142</v>
      </c>
      <c r="D5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66.738294853854342</v>
      </c>
      <c r="E568" t="str">
        <f>Table14[[#This Row],[Color Code]] &amp; " - " &amp;Table14[[#This Row],[Color Name]]</f>
        <v>FEC48E - 9935</v>
      </c>
    </row>
    <row r="569" spans="1:5" x14ac:dyDescent="0.35">
      <c r="A569" s="17" t="s">
        <v>3188</v>
      </c>
      <c r="B569" t="s">
        <v>5446</v>
      </c>
      <c r="C569" s="9" t="str">
        <f>_xlfn.CONCAT(HEX2DEC(MID(Table14[[#This Row],[Color Code]], 1, 2))," , ",HEX2DEC(MID(Table14[[#This Row],[Color Code]], 3, 2))," , ",HEX2DEC(MID(Table14[[#This Row],[Color Code]], 5, 2)))</f>
        <v>221 , 216 , 111</v>
      </c>
      <c r="D5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66.768255930494391</v>
      </c>
      <c r="E569" t="str">
        <f>Table14[[#This Row],[Color Code]] &amp; " - " &amp;Table14[[#This Row],[Color Name]]</f>
        <v>DDD86F - 7775</v>
      </c>
    </row>
    <row r="570" spans="1:5" x14ac:dyDescent="0.35">
      <c r="A570" s="17" t="s">
        <v>3137</v>
      </c>
      <c r="B570" t="s">
        <v>5393</v>
      </c>
      <c r="C570" s="9" t="str">
        <f>_xlfn.CONCAT(HEX2DEC(MID(Table14[[#This Row],[Color Code]], 1, 2))," , ",HEX2DEC(MID(Table14[[#This Row],[Color Code]], 3, 2))," , ",HEX2DEC(MID(Table14[[#This Row],[Color Code]], 5, 2)))</f>
        <v>226 , 230 , 172</v>
      </c>
      <c r="D5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66.858058601787121</v>
      </c>
      <c r="E570" t="str">
        <f>Table14[[#This Row],[Color Code]] &amp; " - " &amp;Table14[[#This Row],[Color Name]]</f>
        <v>E2E6AC - 9825</v>
      </c>
    </row>
    <row r="571" spans="1:5" x14ac:dyDescent="0.35">
      <c r="A571" s="17" t="s">
        <v>2752</v>
      </c>
      <c r="B571" t="s">
        <v>4964</v>
      </c>
      <c r="C571" s="9" t="str">
        <f>_xlfn.CONCAT(HEX2DEC(MID(Table14[[#This Row],[Color Code]], 1, 2))," , ",HEX2DEC(MID(Table14[[#This Row],[Color Code]], 3, 2))," , ",HEX2DEC(MID(Table14[[#This Row],[Color Code]], 5, 2)))</f>
        <v>150 , 178 , 207</v>
      </c>
      <c r="D5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66.91038783328041</v>
      </c>
      <c r="E571" t="str">
        <f>Table14[[#This Row],[Color Code]] &amp; " - " &amp;Table14[[#This Row],[Color Name]]</f>
        <v>96B2CF - 7272</v>
      </c>
    </row>
    <row r="572" spans="1:5" x14ac:dyDescent="0.35">
      <c r="A572" s="17" t="s">
        <v>3434</v>
      </c>
      <c r="B572" t="s">
        <v>5696</v>
      </c>
      <c r="C572" s="9" t="str">
        <f>_xlfn.CONCAT(HEX2DEC(MID(Table14[[#This Row],[Color Code]], 1, 2))," , ",HEX2DEC(MID(Table14[[#This Row],[Color Code]], 3, 2))," , ",HEX2DEC(MID(Table14[[#This Row],[Color Code]], 5, 2)))</f>
        <v>254 , 188 , 133</v>
      </c>
      <c r="D5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67.059674917195949</v>
      </c>
      <c r="E572" t="str">
        <f>Table14[[#This Row],[Color Code]] &amp; " - " &amp;Table14[[#This Row],[Color Name]]</f>
        <v>FEBC85 - 9936</v>
      </c>
    </row>
    <row r="573" spans="1:5" x14ac:dyDescent="0.35">
      <c r="A573" s="17" t="s">
        <v>4485</v>
      </c>
      <c r="B573" t="s">
        <v>5973</v>
      </c>
      <c r="C573" s="9" t="str">
        <f>_xlfn.CONCAT(HEX2DEC(MID(Table14[[#This Row],[Color Code]], 1, 2))," , ",HEX2DEC(MID(Table14[[#This Row],[Color Code]], 3, 2))," , ",HEX2DEC(MID(Table14[[#This Row],[Color Code]], 5, 2)))</f>
        <v>145 , 134 , 130</v>
      </c>
      <c r="D5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67.193749709329367</v>
      </c>
      <c r="E573" t="str">
        <f>Table14[[#This Row],[Color Code]] &amp; " - " &amp;Table14[[#This Row],[Color Name]]</f>
        <v>918682 - K068</v>
      </c>
    </row>
    <row r="574" spans="1:5" x14ac:dyDescent="0.35">
      <c r="A574" s="17" t="s">
        <v>3173</v>
      </c>
      <c r="B574" t="s">
        <v>5431</v>
      </c>
      <c r="C574" s="9" t="str">
        <f>_xlfn.CONCAT(HEX2DEC(MID(Table14[[#This Row],[Color Code]], 1, 2))," , ",HEX2DEC(MID(Table14[[#This Row],[Color Code]], 3, 2))," , ",HEX2DEC(MID(Table14[[#This Row],[Color Code]], 5, 2)))</f>
        <v>180 , 179 , 89</v>
      </c>
      <c r="D5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67.201190465645766</v>
      </c>
      <c r="E574" t="str">
        <f>Table14[[#This Row],[Color Code]] &amp; " - " &amp;Table14[[#This Row],[Color Name]]</f>
        <v>B4B359 - 7766</v>
      </c>
    </row>
    <row r="575" spans="1:5" x14ac:dyDescent="0.35">
      <c r="A575" s="17" t="s">
        <v>3861</v>
      </c>
      <c r="B575" t="s">
        <v>6182</v>
      </c>
      <c r="C575" s="9" t="str">
        <f>_xlfn.CONCAT(HEX2DEC(MID(Table14[[#This Row],[Color Code]], 1, 2))," , ",HEX2DEC(MID(Table14[[#This Row],[Color Code]], 3, 2))," , ",HEX2DEC(MID(Table14[[#This Row],[Color Code]], 5, 2)))</f>
        <v>136 , 156 , 123</v>
      </c>
      <c r="D5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67.238381896056964</v>
      </c>
      <c r="E575" t="str">
        <f>Table14[[#This Row],[Color Code]] &amp; " - " &amp;Table14[[#This Row],[Color Name]]</f>
        <v>889C7B - K150</v>
      </c>
    </row>
    <row r="576" spans="1:5" x14ac:dyDescent="0.35">
      <c r="A576" s="17" t="s">
        <v>3570</v>
      </c>
      <c r="B576" t="s">
        <v>5839</v>
      </c>
      <c r="C576" s="9" t="str">
        <f>_xlfn.CONCAT(HEX2DEC(MID(Table14[[#This Row],[Color Code]], 1, 2))," , ",HEX2DEC(MID(Table14[[#This Row],[Color Code]], 3, 2))," , ",HEX2DEC(MID(Table14[[#This Row],[Color Code]], 5, 2)))</f>
        <v>246 , 185 , 194</v>
      </c>
      <c r="D5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67.357256476195644</v>
      </c>
      <c r="E576" t="str">
        <f>Table14[[#This Row],[Color Code]] &amp; " - " &amp;Table14[[#This Row],[Color Name]]</f>
        <v>F6B9C2 - 8089</v>
      </c>
    </row>
    <row r="577" spans="1:5" x14ac:dyDescent="0.35">
      <c r="A577" s="17" t="s">
        <v>3917</v>
      </c>
      <c r="B577" t="s">
        <v>6245</v>
      </c>
      <c r="C577" s="9" t="str">
        <f>_xlfn.CONCAT(HEX2DEC(MID(Table14[[#This Row],[Color Code]], 1, 2))," , ",HEX2DEC(MID(Table14[[#This Row],[Color Code]], 3, 2))," , ",HEX2DEC(MID(Table14[[#This Row],[Color Code]], 5, 2)))</f>
        <v>222 , 214 , 201</v>
      </c>
      <c r="D5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67.357256476195644</v>
      </c>
      <c r="E577" t="str">
        <f>Table14[[#This Row],[Color Code]] &amp; " - " &amp;Table14[[#This Row],[Color Name]]</f>
        <v>DED6C9 - 8443</v>
      </c>
    </row>
    <row r="578" spans="1:5" x14ac:dyDescent="0.35">
      <c r="A578" s="17" t="s">
        <v>2903</v>
      </c>
      <c r="B578" t="s">
        <v>5130</v>
      </c>
      <c r="C578" s="9" t="str">
        <f>_xlfn.CONCAT(HEX2DEC(MID(Table14[[#This Row],[Color Code]], 1, 2))," , ",HEX2DEC(MID(Table14[[#This Row],[Color Code]], 3, 2))," , ",HEX2DEC(MID(Table14[[#This Row],[Color Code]], 5, 2)))</f>
        <v>162 , 209 , 205</v>
      </c>
      <c r="D5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67.498148122744823</v>
      </c>
      <c r="E578" t="str">
        <f>Table14[[#This Row],[Color Code]] &amp; " - " &amp;Table14[[#This Row],[Color Name]]</f>
        <v>A2D1CD - 7489</v>
      </c>
    </row>
    <row r="579" spans="1:5" x14ac:dyDescent="0.35">
      <c r="A579" s="17" t="s">
        <v>2767</v>
      </c>
      <c r="B579" t="s">
        <v>4979</v>
      </c>
      <c r="C579" s="9" t="str">
        <f>_xlfn.CONCAT(HEX2DEC(MID(Table14[[#This Row],[Color Code]], 1, 2))," , ",HEX2DEC(MID(Table14[[#This Row],[Color Code]], 3, 2))," , ",HEX2DEC(MID(Table14[[#This Row],[Color Code]], 5, 2)))</f>
        <v>160 , 192 , 212</v>
      </c>
      <c r="D5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67.542579163073128</v>
      </c>
      <c r="E579" t="str">
        <f>Table14[[#This Row],[Color Code]] &amp; " - " &amp;Table14[[#This Row],[Color Name]]</f>
        <v>A0C0D4 - 7297</v>
      </c>
    </row>
    <row r="580" spans="1:5" x14ac:dyDescent="0.35">
      <c r="A580" s="17" t="s">
        <v>3426</v>
      </c>
      <c r="B580" t="s">
        <v>5687</v>
      </c>
      <c r="C580" s="9" t="str">
        <f>_xlfn.CONCAT(HEX2DEC(MID(Table14[[#This Row],[Color Code]], 1, 2))," , ",HEX2DEC(MID(Table14[[#This Row],[Color Code]], 3, 2))," , ",HEX2DEC(MID(Table14[[#This Row],[Color Code]], 5, 2)))</f>
        <v>253 , 175 , 126</v>
      </c>
      <c r="D5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67.542579163073128</v>
      </c>
      <c r="E580" t="str">
        <f>Table14[[#This Row],[Color Code]] &amp; " - " &amp;Table14[[#This Row],[Color Name]]</f>
        <v>FDAF7E - 9927</v>
      </c>
    </row>
    <row r="581" spans="1:5" x14ac:dyDescent="0.35">
      <c r="A581" s="17" t="s">
        <v>4519</v>
      </c>
      <c r="B581" t="s">
        <v>6152</v>
      </c>
      <c r="C581" s="9" t="str">
        <f>_xlfn.CONCAT(HEX2DEC(MID(Table14[[#This Row],[Color Code]], 1, 2))," , ",HEX2DEC(MID(Table14[[#This Row],[Color Code]], 3, 2))," , ",HEX2DEC(MID(Table14[[#This Row],[Color Code]], 5, 2)))</f>
        <v>129 , 151 , 150</v>
      </c>
      <c r="D5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67.601775124622279</v>
      </c>
      <c r="E581" t="str">
        <f>Table14[[#This Row],[Color Code]] &amp; " - " &amp;Table14[[#This Row],[Color Name]]</f>
        <v>819796 - 8343</v>
      </c>
    </row>
    <row r="582" spans="1:5" x14ac:dyDescent="0.35">
      <c r="A582" s="17" t="s">
        <v>2717</v>
      </c>
      <c r="B582" t="s">
        <v>4925</v>
      </c>
      <c r="C582" s="9" t="str">
        <f>_xlfn.CONCAT(HEX2DEC(MID(Table14[[#This Row],[Color Code]], 1, 2))," , ",HEX2DEC(MID(Table14[[#This Row],[Color Code]], 3, 2))," , ",HEX2DEC(MID(Table14[[#This Row],[Color Code]], 5, 2)))</f>
        <v>159 , 174 , 214</v>
      </c>
      <c r="D5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67.609170975541474</v>
      </c>
      <c r="E582" t="str">
        <f>Table14[[#This Row],[Color Code]] &amp; " - " &amp;Table14[[#This Row],[Color Name]]</f>
        <v>9FAED6 - 7216</v>
      </c>
    </row>
    <row r="583" spans="1:5" x14ac:dyDescent="0.35">
      <c r="A583" s="17" t="s">
        <v>3588</v>
      </c>
      <c r="B583" t="s">
        <v>5857</v>
      </c>
      <c r="C583" s="9" t="str">
        <f>_xlfn.CONCAT(HEX2DEC(MID(Table14[[#This Row],[Color Code]], 1, 2))," , ",HEX2DEC(MID(Table14[[#This Row],[Color Code]], 3, 2))," , ",HEX2DEC(MID(Table14[[#This Row],[Color Code]], 5, 2)))</f>
        <v>175 , 119 , 121</v>
      </c>
      <c r="D5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67.683085036070864</v>
      </c>
      <c r="E583" t="str">
        <f>Table14[[#This Row],[Color Code]] &amp; " - " &amp;Table14[[#This Row],[Color Name]]</f>
        <v>AF7779 - 8103</v>
      </c>
    </row>
    <row r="584" spans="1:5" x14ac:dyDescent="0.35">
      <c r="A584" s="17" t="s">
        <v>3192</v>
      </c>
      <c r="B584" t="s">
        <v>5450</v>
      </c>
      <c r="C584" s="9" t="str">
        <f>_xlfn.CONCAT(HEX2DEC(MID(Table14[[#This Row],[Color Code]], 1, 2))," , ",HEX2DEC(MID(Table14[[#This Row],[Color Code]], 3, 2))," , ",HEX2DEC(MID(Table14[[#This Row],[Color Code]], 5, 2)))</f>
        <v>223 , 220 , 195</v>
      </c>
      <c r="D5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67.720011813348052</v>
      </c>
      <c r="E584" t="str">
        <f>Table14[[#This Row],[Color Code]] &amp; " - " &amp;Table14[[#This Row],[Color Name]]</f>
        <v>DFDCC3 - 7787</v>
      </c>
    </row>
    <row r="585" spans="1:5" x14ac:dyDescent="0.35">
      <c r="A585" s="17" t="s">
        <v>2999</v>
      </c>
      <c r="B585" t="s">
        <v>5243</v>
      </c>
      <c r="C585" s="9" t="str">
        <f>_xlfn.CONCAT(HEX2DEC(MID(Table14[[#This Row],[Color Code]], 1, 2))," , ",HEX2DEC(MID(Table14[[#This Row],[Color Code]], 3, 2))," , ",HEX2DEC(MID(Table14[[#This Row],[Color Code]], 5, 2)))</f>
        <v>195 , 222 , 204</v>
      </c>
      <c r="D5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67.963225350184786</v>
      </c>
      <c r="E585" t="str">
        <f>Table14[[#This Row],[Color Code]] &amp; " - " &amp;Table14[[#This Row],[Color Name]]</f>
        <v>C3DECC - 7586</v>
      </c>
    </row>
    <row r="586" spans="1:5" x14ac:dyDescent="0.35">
      <c r="A586" s="17" t="s">
        <v>3432</v>
      </c>
      <c r="B586" t="s">
        <v>5694</v>
      </c>
      <c r="C586" s="9" t="str">
        <f>_xlfn.CONCAT(HEX2DEC(MID(Table14[[#This Row],[Color Code]], 1, 2))," , ",HEX2DEC(MID(Table14[[#This Row],[Color Code]], 3, 2))," , ",HEX2DEC(MID(Table14[[#This Row],[Color Code]], 5, 2)))</f>
        <v>254 , 203 , 156</v>
      </c>
      <c r="D5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68.036754772696213</v>
      </c>
      <c r="E586" t="str">
        <f>Table14[[#This Row],[Color Code]] &amp; " - " &amp;Table14[[#This Row],[Color Name]]</f>
        <v>FECB9C - 9934</v>
      </c>
    </row>
    <row r="587" spans="1:5" x14ac:dyDescent="0.35">
      <c r="A587" s="17" t="s">
        <v>3794</v>
      </c>
      <c r="B587" t="s">
        <v>6093</v>
      </c>
      <c r="C587" s="9" t="str">
        <f>_xlfn.CONCAT(HEX2DEC(MID(Table14[[#This Row],[Color Code]], 1, 2))," , ",HEX2DEC(MID(Table14[[#This Row],[Color Code]], 3, 2))," , ",HEX2DEC(MID(Table14[[#This Row],[Color Code]], 5, 2)))</f>
        <v>214 , 213 , 207</v>
      </c>
      <c r="D5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68.058798108694219</v>
      </c>
      <c r="E587" t="str">
        <f>Table14[[#This Row],[Color Code]] &amp; " - " &amp;Table14[[#This Row],[Color Name]]</f>
        <v>D6D5CF - 8308</v>
      </c>
    </row>
    <row r="588" spans="1:5" x14ac:dyDescent="0.35">
      <c r="A588" s="17" t="s">
        <v>3718</v>
      </c>
      <c r="B588" t="s">
        <v>6006</v>
      </c>
      <c r="C588" s="9" t="str">
        <f>_xlfn.CONCAT(HEX2DEC(MID(Table14[[#This Row],[Color Code]], 1, 2))," , ",HEX2DEC(MID(Table14[[#This Row],[Color Code]], 3, 2))," , ",HEX2DEC(MID(Table14[[#This Row],[Color Code]], 5, 2)))</f>
        <v>215 , 211 , 208</v>
      </c>
      <c r="D5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68.073489700470034</v>
      </c>
      <c r="E588" t="str">
        <f>Table14[[#This Row],[Color Code]] &amp; " - " &amp;Table14[[#This Row],[Color Name]]</f>
        <v>D7D3D0 - 8235</v>
      </c>
    </row>
    <row r="589" spans="1:5" x14ac:dyDescent="0.35">
      <c r="A589" s="17" t="s">
        <v>3091</v>
      </c>
      <c r="B589" t="s">
        <v>5343</v>
      </c>
      <c r="C589" s="9" t="str">
        <f>_xlfn.CONCAT(HEX2DEC(MID(Table14[[#This Row],[Color Code]], 1, 2))," , ",HEX2DEC(MID(Table14[[#This Row],[Color Code]], 3, 2))," , ",HEX2DEC(MID(Table14[[#This Row],[Color Code]], 5, 2)))</f>
        <v>165 , 183 , 93</v>
      </c>
      <c r="D5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68.095521144932874</v>
      </c>
      <c r="E589" t="str">
        <f>Table14[[#This Row],[Color Code]] &amp; " - " &amp;Table14[[#This Row],[Color Name]]</f>
        <v>A5B75D - 7710</v>
      </c>
    </row>
    <row r="590" spans="1:5" x14ac:dyDescent="0.35">
      <c r="A590" s="17" t="s">
        <v>3107</v>
      </c>
      <c r="B590" t="s">
        <v>5359</v>
      </c>
      <c r="C590" s="9" t="str">
        <f>_xlfn.CONCAT(HEX2DEC(MID(Table14[[#This Row],[Color Code]], 1, 2))," , ",HEX2DEC(MID(Table14[[#This Row],[Color Code]], 3, 2))," , ",HEX2DEC(MID(Table14[[#This Row],[Color Code]], 5, 2)))</f>
        <v>160 , 171 , 95</v>
      </c>
      <c r="D5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68.117545463705611</v>
      </c>
      <c r="E590" t="str">
        <f>Table14[[#This Row],[Color Code]] &amp; " - " &amp;Table14[[#This Row],[Color Name]]</f>
        <v>A0AB5F - 7726</v>
      </c>
    </row>
    <row r="591" spans="1:5" x14ac:dyDescent="0.35">
      <c r="A591" s="17" t="s">
        <v>3854</v>
      </c>
      <c r="B591" t="s">
        <v>6174</v>
      </c>
      <c r="C591" s="9" t="str">
        <f>_xlfn.CONCAT(HEX2DEC(MID(Table14[[#This Row],[Color Code]], 1, 2))," , ",HEX2DEC(MID(Table14[[#This Row],[Color Code]], 3, 2))," , ",HEX2DEC(MID(Table14[[#This Row],[Color Code]], 5, 2)))</f>
        <v>211 , 216 , 206</v>
      </c>
      <c r="D5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68.139562663697802</v>
      </c>
      <c r="E591" t="str">
        <f>Table14[[#This Row],[Color Code]] &amp; " - " &amp;Table14[[#This Row],[Color Name]]</f>
        <v>D3D8CE - 0973</v>
      </c>
    </row>
    <row r="592" spans="1:5" x14ac:dyDescent="0.35">
      <c r="A592" s="17" t="s">
        <v>3204</v>
      </c>
      <c r="B592" t="s">
        <v>5462</v>
      </c>
      <c r="C592" s="9" t="str">
        <f>_xlfn.CONCAT(HEX2DEC(MID(Table14[[#This Row],[Color Code]], 1, 2))," , ",HEX2DEC(MID(Table14[[#This Row],[Color Code]], 3, 2))," , ",HEX2DEC(MID(Table14[[#This Row],[Color Code]], 5, 2)))</f>
        <v>158 , 147 , 103</v>
      </c>
      <c r="D5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68.146900149603283</v>
      </c>
      <c r="E592" t="str">
        <f>Table14[[#This Row],[Color Code]] &amp; " - " &amp;Table14[[#This Row],[Color Name]]</f>
        <v>9E9367 - 7791</v>
      </c>
    </row>
    <row r="593" spans="1:5" x14ac:dyDescent="0.35">
      <c r="A593" s="17" t="s">
        <v>3578</v>
      </c>
      <c r="B593" t="s">
        <v>5847</v>
      </c>
      <c r="C593" s="9" t="str">
        <f>_xlfn.CONCAT(HEX2DEC(MID(Table14[[#This Row],[Color Code]], 1, 2))," , ",HEX2DEC(MID(Table14[[#This Row],[Color Code]], 3, 2))," , ",HEX2DEC(MID(Table14[[#This Row],[Color Code]], 5, 2)))</f>
        <v>247 , 180 , 195</v>
      </c>
      <c r="D5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68.190908484929281</v>
      </c>
      <c r="E593" t="str">
        <f>Table14[[#This Row],[Color Code]] &amp; " - " &amp;Table14[[#This Row],[Color Name]]</f>
        <v>F7B4C3 - 8096</v>
      </c>
    </row>
    <row r="594" spans="1:5" x14ac:dyDescent="0.35">
      <c r="A594" s="17" t="s">
        <v>3072</v>
      </c>
      <c r="B594" t="s">
        <v>5322</v>
      </c>
      <c r="C594" s="9" t="str">
        <f>_xlfn.CONCAT(HEX2DEC(MID(Table14[[#This Row],[Color Code]], 1, 2))," , ",HEX2DEC(MID(Table14[[#This Row],[Color Code]], 3, 2))," , ",HEX2DEC(MID(Table14[[#This Row],[Color Code]], 5, 2)))</f>
        <v>212 , 224 , 198</v>
      </c>
      <c r="D5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68.190908484929281</v>
      </c>
      <c r="E594" t="str">
        <f>Table14[[#This Row],[Color Code]] &amp; " - " &amp;Table14[[#This Row],[Color Name]]</f>
        <v>D4E0C6 - 7682</v>
      </c>
    </row>
    <row r="595" spans="1:5" x14ac:dyDescent="0.35">
      <c r="A595" s="17" t="s">
        <v>2676</v>
      </c>
      <c r="B595" t="s">
        <v>4883</v>
      </c>
      <c r="C595" s="9" t="str">
        <f>_xlfn.CONCAT(HEX2DEC(MID(Table14[[#This Row],[Color Code]], 1, 2))," , ",HEX2DEC(MID(Table14[[#This Row],[Color Code]], 3, 2))," , ",HEX2DEC(MID(Table14[[#This Row],[Color Code]], 5, 2)))</f>
        <v>198 , 195 , 220</v>
      </c>
      <c r="D5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68.27151675479314</v>
      </c>
      <c r="E595" t="str">
        <f>Table14[[#This Row],[Color Code]] &amp; " - " &amp;Table14[[#This Row],[Color Name]]</f>
        <v>C6C3DC - 9630</v>
      </c>
    </row>
    <row r="596" spans="1:5" x14ac:dyDescent="0.35">
      <c r="A596" s="17" t="s">
        <v>3994</v>
      </c>
      <c r="B596" t="s">
        <v>6334</v>
      </c>
      <c r="C596" s="9" t="str">
        <f>_xlfn.CONCAT(HEX2DEC(MID(Table14[[#This Row],[Color Code]], 1, 2))," , ",HEX2DEC(MID(Table14[[#This Row],[Color Code]], 3, 2))," , ",HEX2DEC(MID(Table14[[#This Row],[Color Code]], 5, 2)))</f>
        <v>234 , 216 , 190</v>
      </c>
      <c r="D5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68.337398253079556</v>
      </c>
      <c r="E596" t="str">
        <f>Table14[[#This Row],[Color Code]] &amp; " - " &amp;Table14[[#This Row],[Color Name]]</f>
        <v>EAD8BE - 0964</v>
      </c>
    </row>
    <row r="597" spans="1:5" x14ac:dyDescent="0.35">
      <c r="A597" s="17" t="s">
        <v>2622</v>
      </c>
      <c r="B597" t="s">
        <v>4820</v>
      </c>
      <c r="C597" s="9" t="str">
        <f>_xlfn.CONCAT(HEX2DEC(MID(Table14[[#This Row],[Color Code]], 1, 2))," , ",HEX2DEC(MID(Table14[[#This Row],[Color Code]], 3, 2))," , ",HEX2DEC(MID(Table14[[#This Row],[Color Code]], 5, 2)))</f>
        <v>172 , 110 , 162</v>
      </c>
      <c r="D5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68.366658540548841</v>
      </c>
      <c r="E597" t="str">
        <f>Table14[[#This Row],[Color Code]] &amp; " - " &amp;Table14[[#This Row],[Color Name]]</f>
        <v>AC6EA2 - 9596</v>
      </c>
    </row>
    <row r="598" spans="1:5" x14ac:dyDescent="0.35">
      <c r="A598" s="17" t="s">
        <v>3044</v>
      </c>
      <c r="B598" t="s">
        <v>5289</v>
      </c>
      <c r="C598" s="9" t="str">
        <f>_xlfn.CONCAT(HEX2DEC(MID(Table14[[#This Row],[Color Code]], 1, 2))," , ",HEX2DEC(MID(Table14[[#This Row],[Color Code]], 3, 2))," , ",HEX2DEC(MID(Table14[[#This Row],[Color Code]], 5, 2)))</f>
        <v>205 , 236 , 183</v>
      </c>
      <c r="D5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68.366658540548841</v>
      </c>
      <c r="E598" t="str">
        <f>Table14[[#This Row],[Color Code]] &amp; " - " &amp;Table14[[#This Row],[Color Name]]</f>
        <v>CDECB7 - 9770</v>
      </c>
    </row>
    <row r="599" spans="1:5" x14ac:dyDescent="0.35">
      <c r="A599" s="17" t="s">
        <v>3398</v>
      </c>
      <c r="B599" t="s">
        <v>5657</v>
      </c>
      <c r="C599" s="9" t="str">
        <f>_xlfn.CONCAT(HEX2DEC(MID(Table14[[#This Row],[Color Code]], 1, 2))," , ",HEX2DEC(MID(Table14[[#This Row],[Color Code]], 3, 2))," , ",HEX2DEC(MID(Table14[[#This Row],[Color Code]], 5, 2)))</f>
        <v>254 , 204 , 152</v>
      </c>
      <c r="D5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68.512772531842558</v>
      </c>
      <c r="E599" t="str">
        <f>Table14[[#This Row],[Color Code]] &amp; " - " &amp;Table14[[#This Row],[Color Name]]</f>
        <v>FECC98 - 7976</v>
      </c>
    </row>
    <row r="600" spans="1:5" x14ac:dyDescent="0.35">
      <c r="A600" s="17" t="s">
        <v>4152</v>
      </c>
      <c r="B600" t="s">
        <v>6505</v>
      </c>
      <c r="C600" s="9" t="str">
        <f>_xlfn.CONCAT(HEX2DEC(MID(Table14[[#This Row],[Color Code]], 1, 2))," , ",HEX2DEC(MID(Table14[[#This Row],[Color Code]], 3, 2))," , ",HEX2DEC(MID(Table14[[#This Row],[Color Code]], 5, 2)))</f>
        <v>189 , 125 , 108</v>
      </c>
      <c r="D6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68.687699044297588</v>
      </c>
      <c r="E600" t="str">
        <f>Table14[[#This Row],[Color Code]] &amp; " - " &amp;Table14[[#This Row],[Color Name]]</f>
        <v>BD7D6C - K227</v>
      </c>
    </row>
    <row r="601" spans="1:5" x14ac:dyDescent="0.35">
      <c r="A601" s="17" t="s">
        <v>4115</v>
      </c>
      <c r="B601" t="s">
        <v>6465</v>
      </c>
      <c r="C601" s="9" t="str">
        <f>_xlfn.CONCAT(HEX2DEC(MID(Table14[[#This Row],[Color Code]], 1, 2))," , ",HEX2DEC(MID(Table14[[#This Row],[Color Code]], 3, 2))," , ",HEX2DEC(MID(Table14[[#This Row],[Color Code]], 5, 2)))</f>
        <v>193 , 124 , 109</v>
      </c>
      <c r="D6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68.687699044297588</v>
      </c>
      <c r="E601" t="str">
        <f>Table14[[#This Row],[Color Code]] &amp; " - " &amp;Table14[[#This Row],[Color Name]]</f>
        <v>C17C6D - 8631</v>
      </c>
    </row>
    <row r="602" spans="1:5" x14ac:dyDescent="0.35">
      <c r="A602" s="17" t="s">
        <v>3242</v>
      </c>
      <c r="B602" t="s">
        <v>5500</v>
      </c>
      <c r="C602" s="9" t="str">
        <f>_xlfn.CONCAT(HEX2DEC(MID(Table14[[#This Row],[Color Code]], 1, 2))," , ",HEX2DEC(MID(Table14[[#This Row],[Color Code]], 3, 2))," , ",HEX2DEC(MID(Table14[[#This Row],[Color Code]], 5, 2)))</f>
        <v>237 , 222 , 177</v>
      </c>
      <c r="D6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68.687699044297588</v>
      </c>
      <c r="E602" t="str">
        <f>Table14[[#This Row],[Color Code]] &amp; " - " &amp;Table14[[#This Row],[Color Name]]</f>
        <v>EDDEB1 - 7841</v>
      </c>
    </row>
    <row r="603" spans="1:5" x14ac:dyDescent="0.35">
      <c r="A603" s="17" t="s">
        <v>4076</v>
      </c>
      <c r="B603" t="s">
        <v>6422</v>
      </c>
      <c r="C603" s="9" t="str">
        <f>_xlfn.CONCAT(HEX2DEC(MID(Table14[[#This Row],[Color Code]], 1, 2))," , ",HEX2DEC(MID(Table14[[#This Row],[Color Code]], 3, 2))," , ",HEX2DEC(MID(Table14[[#This Row],[Color Code]], 5, 2)))</f>
        <v>242 , 212 , 185</v>
      </c>
      <c r="D6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69.057946682478189</v>
      </c>
      <c r="E603" t="str">
        <f>Table14[[#This Row],[Color Code]] &amp; " - " &amp;Table14[[#This Row],[Color Name]]</f>
        <v>F2D4B9 - 8595</v>
      </c>
    </row>
    <row r="604" spans="1:5" x14ac:dyDescent="0.35">
      <c r="A604" s="17" t="s">
        <v>3601</v>
      </c>
      <c r="B604" t="s">
        <v>5870</v>
      </c>
      <c r="C604" s="9" t="str">
        <f>_xlfn.CONCAT(HEX2DEC(MID(Table14[[#This Row],[Color Code]], 1, 2))," , ",HEX2DEC(MID(Table14[[#This Row],[Color Code]], 3, 2))," , ",HEX2DEC(MID(Table14[[#This Row],[Color Code]], 5, 2)))</f>
        <v>237 , 196 , 203</v>
      </c>
      <c r="D6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69.06518659932803</v>
      </c>
      <c r="E604" t="str">
        <f>Table14[[#This Row],[Color Code]] &amp; " - " &amp;Table14[[#This Row],[Color Name]]</f>
        <v>EDC4CB - 8122</v>
      </c>
    </row>
    <row r="605" spans="1:5" x14ac:dyDescent="0.35">
      <c r="A605" s="17" t="s">
        <v>3914</v>
      </c>
      <c r="B605" t="s">
        <v>6240</v>
      </c>
      <c r="C605" s="9" t="str">
        <f>_xlfn.CONCAT(HEX2DEC(MID(Table14[[#This Row],[Color Code]], 1, 2))," , ",HEX2DEC(MID(Table14[[#This Row],[Color Code]], 3, 2))," , ",HEX2DEC(MID(Table14[[#This Row],[Color Code]], 5, 2)))</f>
        <v>141 , 137 , 128</v>
      </c>
      <c r="D6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69.094138680498801</v>
      </c>
      <c r="E605" t="str">
        <f>Table14[[#This Row],[Color Code]] &amp; " - " &amp;Table14[[#This Row],[Color Name]]</f>
        <v>8D8980 - 8432</v>
      </c>
    </row>
    <row r="606" spans="1:5" x14ac:dyDescent="0.35">
      <c r="A606" s="17" t="s">
        <v>3352</v>
      </c>
      <c r="B606" t="s">
        <v>5611</v>
      </c>
      <c r="C606" s="9" t="str">
        <f>_xlfn.CONCAT(HEX2DEC(MID(Table14[[#This Row],[Color Code]], 1, 2))," , ",HEX2DEC(MID(Table14[[#This Row],[Color Code]], 3, 2))," , ",HEX2DEC(MID(Table14[[#This Row],[Color Code]], 5, 2)))</f>
        <v>248 , 214 , 166</v>
      </c>
      <c r="D6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69.123078635141823</v>
      </c>
      <c r="E606" t="str">
        <f>Table14[[#This Row],[Color Code]] &amp; " - " &amp;Table14[[#This Row],[Color Name]]</f>
        <v>F8D6A6 - 7937</v>
      </c>
    </row>
    <row r="607" spans="1:5" x14ac:dyDescent="0.35">
      <c r="A607" s="17" t="s">
        <v>3132</v>
      </c>
      <c r="B607" t="s">
        <v>5387</v>
      </c>
      <c r="C607" s="9" t="str">
        <f>_xlfn.CONCAT(HEX2DEC(MID(Table14[[#This Row],[Color Code]], 1, 2))," , ",HEX2DEC(MID(Table14[[#This Row],[Color Code]], 3, 2))," , ",HEX2DEC(MID(Table14[[#This Row],[Color Code]], 5, 2)))</f>
        <v>192 , 208 , 94</v>
      </c>
      <c r="D6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69.354163537598808</v>
      </c>
      <c r="E607" t="str">
        <f>Table14[[#This Row],[Color Code]] &amp; " - " &amp;Table14[[#This Row],[Color Name]]</f>
        <v>C0D05E - 9819</v>
      </c>
    </row>
    <row r="608" spans="1:5" x14ac:dyDescent="0.35">
      <c r="A608" s="17" t="s">
        <v>4099</v>
      </c>
      <c r="B608" t="s">
        <v>6446</v>
      </c>
      <c r="C608" s="9" t="str">
        <f>_xlfn.CONCAT(HEX2DEC(MID(Table14[[#This Row],[Color Code]], 1, 2))," , ",HEX2DEC(MID(Table14[[#This Row],[Color Code]], 3, 2))," , ",HEX2DEC(MID(Table14[[#This Row],[Color Code]], 5, 2)))</f>
        <v>239 , 208 , 194</v>
      </c>
      <c r="D6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69.41901756723442</v>
      </c>
      <c r="E608" t="str">
        <f>Table14[[#This Row],[Color Code]] &amp; " - " &amp;Table14[[#This Row],[Color Name]]</f>
        <v>EFD0C2 - 0N17</v>
      </c>
    </row>
    <row r="609" spans="1:5" x14ac:dyDescent="0.35">
      <c r="A609" s="17" t="s">
        <v>2848</v>
      </c>
      <c r="B609" t="s">
        <v>5065</v>
      </c>
      <c r="C609" s="9" t="str">
        <f>_xlfn.CONCAT(HEX2DEC(MID(Table14[[#This Row],[Color Code]], 1, 2))," , ",HEX2DEC(MID(Table14[[#This Row],[Color Code]], 3, 2))," , ",HEX2DEC(MID(Table14[[#This Row],[Color Code]], 5, 2)))</f>
        <v>183 , 211 , 214</v>
      </c>
      <c r="D6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69.699354372906498</v>
      </c>
      <c r="E609" t="str">
        <f>Table14[[#This Row],[Color Code]] &amp; " - " &amp;Table14[[#This Row],[Color Name]]</f>
        <v>B7D3D6 - 7418</v>
      </c>
    </row>
    <row r="610" spans="1:5" x14ac:dyDescent="0.35">
      <c r="A610" s="17" t="s">
        <v>3103</v>
      </c>
      <c r="B610" t="s">
        <v>5355</v>
      </c>
      <c r="C610" s="9" t="str">
        <f>_xlfn.CONCAT(HEX2DEC(MID(Table14[[#This Row],[Color Code]], 1, 2))," , ",HEX2DEC(MID(Table14[[#This Row],[Color Code]], 3, 2))," , ",HEX2DEC(MID(Table14[[#This Row],[Color Code]], 5, 2)))</f>
        <v>223 , 228 , 188</v>
      </c>
      <c r="D6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69.706527671373792</v>
      </c>
      <c r="E610" t="str">
        <f>Table14[[#This Row],[Color Code]] &amp; " - " &amp;Table14[[#This Row],[Color Name]]</f>
        <v>DFE4BC - 7730</v>
      </c>
    </row>
    <row r="611" spans="1:5" x14ac:dyDescent="0.35">
      <c r="A611" s="17" t="s">
        <v>3253</v>
      </c>
      <c r="B611" t="s">
        <v>5511</v>
      </c>
      <c r="C611" s="9" t="str">
        <f>_xlfn.CONCAT(HEX2DEC(MID(Table14[[#This Row],[Color Code]], 1, 2))," , ",HEX2DEC(MID(Table14[[#This Row],[Color Code]], 3, 2))," , ",HEX2DEC(MID(Table14[[#This Row],[Color Code]], 5, 2)))</f>
        <v>163 , 147 , 98</v>
      </c>
      <c r="D6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69.814038702828242</v>
      </c>
      <c r="E611" t="str">
        <f>Table14[[#This Row],[Color Code]] &amp; " - " &amp;Table14[[#This Row],[Color Name]]</f>
        <v>A39362 - 7846</v>
      </c>
    </row>
    <row r="612" spans="1:5" x14ac:dyDescent="0.35">
      <c r="A612" s="17" t="s">
        <v>2768</v>
      </c>
      <c r="B612" t="s">
        <v>4980</v>
      </c>
      <c r="C612" s="9" t="str">
        <f>_xlfn.CONCAT(HEX2DEC(MID(Table14[[#This Row],[Color Code]], 1, 2))," , ",HEX2DEC(MID(Table14[[#This Row],[Color Code]], 3, 2))," , ",HEX2DEC(MID(Table14[[#This Row],[Color Code]], 5, 2)))</f>
        <v>133 , 168 , 192</v>
      </c>
      <c r="D6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69.992856778388457</v>
      </c>
      <c r="E612" t="str">
        <f>Table14[[#This Row],[Color Code]] &amp; " - " &amp;Table14[[#This Row],[Color Name]]</f>
        <v>85A8C0 - 7296</v>
      </c>
    </row>
    <row r="613" spans="1:5" x14ac:dyDescent="0.35">
      <c r="A613" s="17" t="s">
        <v>2699</v>
      </c>
      <c r="B613" t="s">
        <v>4907</v>
      </c>
      <c r="C613" s="9" t="str">
        <f>_xlfn.CONCAT(HEX2DEC(MID(Table14[[#This Row],[Color Code]], 1, 2))," , ",HEX2DEC(MID(Table14[[#This Row],[Color Code]], 3, 2))," , ",HEX2DEC(MID(Table14[[#This Row],[Color Code]], 5, 2)))</f>
        <v>199 , 200 , 220</v>
      </c>
      <c r="D6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69.992856778388457</v>
      </c>
      <c r="E613" t="str">
        <f>Table14[[#This Row],[Color Code]] &amp; " - " &amp;Table14[[#This Row],[Color Name]]</f>
        <v>C7C8DC - 7202</v>
      </c>
    </row>
    <row r="614" spans="1:5" x14ac:dyDescent="0.35">
      <c r="A614" s="17" t="s">
        <v>3403</v>
      </c>
      <c r="B614" t="s">
        <v>5662</v>
      </c>
      <c r="C614" s="9" t="str">
        <f>_xlfn.CONCAT(HEX2DEC(MID(Table14[[#This Row],[Color Code]], 1, 2))," , ",HEX2DEC(MID(Table14[[#This Row],[Color Code]], 3, 2))," , ",HEX2DEC(MID(Table14[[#This Row],[Color Code]], 5, 2)))</f>
        <v>252 , 209 , 167</v>
      </c>
      <c r="D6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</v>
      </c>
      <c r="E614" t="str">
        <f>Table14[[#This Row],[Color Code]] &amp; " - " &amp;Table14[[#This Row],[Color Name]]</f>
        <v>FCD1A7 - 7985</v>
      </c>
    </row>
    <row r="615" spans="1:5" x14ac:dyDescent="0.35">
      <c r="A615" s="17" t="s">
        <v>3255</v>
      </c>
      <c r="B615" t="s">
        <v>5514</v>
      </c>
      <c r="C615" s="9" t="str">
        <f>_xlfn.CONCAT(HEX2DEC(MID(Table14[[#This Row],[Color Code]], 1, 2))," , ",HEX2DEC(MID(Table14[[#This Row],[Color Code]], 3, 2))," , ",HEX2DEC(MID(Table14[[#This Row],[Color Code]], 5, 2)))</f>
        <v>240 , 213 , 121</v>
      </c>
      <c r="D6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70.028565600046392</v>
      </c>
      <c r="E615" t="str">
        <f>Table14[[#This Row],[Color Code]] &amp; " - " &amp;Table14[[#This Row],[Color Name]]</f>
        <v>F0D579 - 7831</v>
      </c>
    </row>
    <row r="616" spans="1:5" x14ac:dyDescent="0.35">
      <c r="A616" s="17" t="s">
        <v>2941</v>
      </c>
      <c r="B616" t="s">
        <v>5173</v>
      </c>
      <c r="C616" s="9" t="str">
        <f>_xlfn.CONCAT(HEX2DEC(MID(Table14[[#This Row],[Color Code]], 1, 2))," , ",HEX2DEC(MID(Table14[[#This Row],[Color Code]], 3, 2))," , ",HEX2DEC(MID(Table14[[#This Row],[Color Code]], 5, 2)))</f>
        <v>131 , 192 , 185</v>
      </c>
      <c r="D6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70.071392165419411</v>
      </c>
      <c r="E616" t="str">
        <f>Table14[[#This Row],[Color Code]] &amp; " - " &amp;Table14[[#This Row],[Color Name]]</f>
        <v>83C0B9 - 7528</v>
      </c>
    </row>
    <row r="617" spans="1:5" x14ac:dyDescent="0.35">
      <c r="A617" s="17" t="s">
        <v>3424</v>
      </c>
      <c r="B617" t="s">
        <v>5685</v>
      </c>
      <c r="C617" s="9" t="str">
        <f>_xlfn.CONCAT(HEX2DEC(MID(Table14[[#This Row],[Color Code]], 1, 2))," , ",HEX2DEC(MID(Table14[[#This Row],[Color Code]], 3, 2))," , ",HEX2DEC(MID(Table14[[#This Row],[Color Code]], 5, 2)))</f>
        <v>254 , 205 , 168</v>
      </c>
      <c r="D6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70.092795635500224</v>
      </c>
      <c r="E617" t="str">
        <f>Table14[[#This Row],[Color Code]] &amp; " - " &amp;Table14[[#This Row],[Color Name]]</f>
        <v>FECDA8 - 9925</v>
      </c>
    </row>
    <row r="618" spans="1:5" x14ac:dyDescent="0.35">
      <c r="A618" s="17" t="s">
        <v>2940</v>
      </c>
      <c r="B618" t="s">
        <v>5172</v>
      </c>
      <c r="C618" s="9" t="str">
        <f>_xlfn.CONCAT(HEX2DEC(MID(Table14[[#This Row],[Color Code]], 1, 2))," , ",HEX2DEC(MID(Table14[[#This Row],[Color Code]], 3, 2))," , ",HEX2DEC(MID(Table14[[#This Row],[Color Code]], 5, 2)))</f>
        <v>159 , 214 , 203</v>
      </c>
      <c r="D6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70.099928673287536</v>
      </c>
      <c r="E618" t="str">
        <f>Table14[[#This Row],[Color Code]] &amp; " - " &amp;Table14[[#This Row],[Color Name]]</f>
        <v>9FD6CB - 7529</v>
      </c>
    </row>
    <row r="619" spans="1:5" x14ac:dyDescent="0.35">
      <c r="A619" s="17" t="s">
        <v>3065</v>
      </c>
      <c r="B619" t="s">
        <v>5314</v>
      </c>
      <c r="C619" s="9" t="str">
        <f>_xlfn.CONCAT(HEX2DEC(MID(Table14[[#This Row],[Color Code]], 1, 2))," , ",HEX2DEC(MID(Table14[[#This Row],[Color Code]], 3, 2))," , ",HEX2DEC(MID(Table14[[#This Row],[Color Code]], 5, 2)))</f>
        <v>214 , 229 , 194</v>
      </c>
      <c r="D6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70.149839629182338</v>
      </c>
      <c r="E619" t="str">
        <f>Table14[[#This Row],[Color Code]] &amp; " - " &amp;Table14[[#This Row],[Color Name]]</f>
        <v>D6E5C2 - 7674</v>
      </c>
    </row>
    <row r="620" spans="1:5" x14ac:dyDescent="0.35">
      <c r="A620" s="17" t="s">
        <v>3553</v>
      </c>
      <c r="B620" t="s">
        <v>5822</v>
      </c>
      <c r="C620" s="9" t="str">
        <f>_xlfn.CONCAT(HEX2DEC(MID(Table14[[#This Row],[Color Code]], 1, 2))," , ",HEX2DEC(MID(Table14[[#This Row],[Color Code]], 3, 2))," , ",HEX2DEC(MID(Table14[[#This Row],[Color Code]], 5, 2)))</f>
        <v>246 , 193 , 196</v>
      </c>
      <c r="D6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70.149839629182338</v>
      </c>
      <c r="E620" t="str">
        <f>Table14[[#This Row],[Color Code]] &amp; " - " &amp;Table14[[#This Row],[Color Name]]</f>
        <v>F6C1C4 - 8082</v>
      </c>
    </row>
    <row r="621" spans="1:5" x14ac:dyDescent="0.35">
      <c r="A621" s="17" t="s">
        <v>3454</v>
      </c>
      <c r="B621" t="s">
        <v>5719</v>
      </c>
      <c r="C621" s="9" t="str">
        <f>_xlfn.CONCAT(HEX2DEC(MID(Table14[[#This Row],[Color Code]], 1, 2))," , ",HEX2DEC(MID(Table14[[#This Row],[Color Code]], 3, 2))," , ",HEX2DEC(MID(Table14[[#This Row],[Color Code]], 5, 2)))</f>
        <v>253 , 204 , 174</v>
      </c>
      <c r="D6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70.164093381158992</v>
      </c>
      <c r="E621" t="str">
        <f>Table14[[#This Row],[Color Code]] &amp; " - " &amp;Table14[[#This Row],[Color Name]]</f>
        <v>FDCCAE - 8001</v>
      </c>
    </row>
    <row r="622" spans="1:5" x14ac:dyDescent="0.35">
      <c r="A622" s="17" t="s">
        <v>3190</v>
      </c>
      <c r="B622" t="s">
        <v>5448</v>
      </c>
      <c r="C622" s="9" t="str">
        <f>_xlfn.CONCAT(HEX2DEC(MID(Table14[[#This Row],[Color Code]], 1, 2))," , ",HEX2DEC(MID(Table14[[#This Row],[Color Code]], 3, 2))," , ",HEX2DEC(MID(Table14[[#This Row],[Color Code]], 5, 2)))</f>
        <v>194 , 196 , 88</v>
      </c>
      <c r="D6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70.242437315343778</v>
      </c>
      <c r="E622" t="str">
        <f>Table14[[#This Row],[Color Code]] &amp; " - " &amp;Table14[[#This Row],[Color Name]]</f>
        <v>C2C458 - 9366</v>
      </c>
    </row>
    <row r="623" spans="1:5" x14ac:dyDescent="0.35">
      <c r="A623" s="17" t="s">
        <v>4523</v>
      </c>
      <c r="B623" t="s">
        <v>6168</v>
      </c>
      <c r="C623" s="9" t="str">
        <f>_xlfn.CONCAT(HEX2DEC(MID(Table14[[#This Row],[Color Code]], 1, 2))," , ",HEX2DEC(MID(Table14[[#This Row],[Color Code]], 3, 2))," , ",HEX2DEC(MID(Table14[[#This Row],[Color Code]], 5, 2)))</f>
        <v>132 , 145 , 134</v>
      </c>
      <c r="D6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70.292247083159893</v>
      </c>
      <c r="E623" t="str">
        <f>Table14[[#This Row],[Color Code]] &amp; " - " &amp;Table14[[#This Row],[Color Name]]</f>
        <v>849186 - K144</v>
      </c>
    </row>
    <row r="624" spans="1:5" x14ac:dyDescent="0.35">
      <c r="A624" s="17" t="s">
        <v>3307</v>
      </c>
      <c r="B624" t="s">
        <v>5566</v>
      </c>
      <c r="C624" s="9" t="str">
        <f>_xlfn.CONCAT(HEX2DEC(MID(Table14[[#This Row],[Color Code]], 1, 2))," , ",HEX2DEC(MID(Table14[[#This Row],[Color Code]], 3, 2))," , ",HEX2DEC(MID(Table14[[#This Row],[Color Code]], 5, 2)))</f>
        <v>189 , 151 , 89</v>
      </c>
      <c r="D6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70.292247083159893</v>
      </c>
      <c r="E624" t="str">
        <f>Table14[[#This Row],[Color Code]] &amp; " - " &amp;Table14[[#This Row],[Color Name]]</f>
        <v>BD9759 - 7886</v>
      </c>
    </row>
    <row r="625" spans="1:5" x14ac:dyDescent="0.35">
      <c r="A625" s="17" t="s">
        <v>4156</v>
      </c>
      <c r="B625" t="s">
        <v>6509</v>
      </c>
      <c r="C625" s="9" t="str">
        <f>_xlfn.CONCAT(HEX2DEC(MID(Table14[[#This Row],[Color Code]], 1, 2))," , ",HEX2DEC(MID(Table14[[#This Row],[Color Code]], 3, 2))," , ",HEX2DEC(MID(Table14[[#This Row],[Color Code]], 5, 2)))</f>
        <v>232 , 210 , 201</v>
      </c>
      <c r="D6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70.292247083159893</v>
      </c>
      <c r="E625" t="str">
        <f>Table14[[#This Row],[Color Code]] &amp; " - " &amp;Table14[[#This Row],[Color Name]]</f>
        <v>E8D2C9 - K231</v>
      </c>
    </row>
    <row r="626" spans="1:5" x14ac:dyDescent="0.35">
      <c r="A626" s="17" t="s">
        <v>4491</v>
      </c>
      <c r="B626" t="s">
        <v>5992</v>
      </c>
      <c r="C626" s="9" t="str">
        <f>_xlfn.CONCAT(HEX2DEC(MID(Table14[[#This Row],[Color Code]], 1, 2))," , ",HEX2DEC(MID(Table14[[#This Row],[Color Code]], 3, 2))," , ",HEX2DEC(MID(Table14[[#This Row],[Color Code]], 5, 2)))</f>
        <v>137 , 135 , 137</v>
      </c>
      <c r="D6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70.34912934784623</v>
      </c>
      <c r="E626" t="str">
        <f>Table14[[#This Row],[Color Code]] &amp; " - " &amp;Table14[[#This Row],[Color Name]]</f>
        <v>898789 - K078</v>
      </c>
    </row>
    <row r="627" spans="1:5" x14ac:dyDescent="0.35">
      <c r="A627" s="17" t="s">
        <v>4389</v>
      </c>
      <c r="B627" t="s">
        <v>6773</v>
      </c>
      <c r="C627" s="9" t="str">
        <f>_xlfn.CONCAT(HEX2DEC(MID(Table14[[#This Row],[Color Code]], 1, 2))," , ",HEX2DEC(MID(Table14[[#This Row],[Color Code]], 3, 2))," , ",HEX2DEC(MID(Table14[[#This Row],[Color Code]], 5, 2)))</f>
        <v>232 , 119 , 140</v>
      </c>
      <c r="D6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70.434366611761334</v>
      </c>
      <c r="E627" t="str">
        <f>Table14[[#This Row],[Color Code]] &amp; " - " &amp;Table14[[#This Row],[Color Name]]</f>
        <v>E8778C - 8094</v>
      </c>
    </row>
    <row r="628" spans="1:5" x14ac:dyDescent="0.35">
      <c r="A628" s="17" t="s">
        <v>3216</v>
      </c>
      <c r="B628" t="s">
        <v>5474</v>
      </c>
      <c r="C628" s="9" t="str">
        <f>_xlfn.CONCAT(HEX2DEC(MID(Table14[[#This Row],[Color Code]], 1, 2))," , ",HEX2DEC(MID(Table14[[#This Row],[Color Code]], 3, 2))," , ",HEX2DEC(MID(Table14[[#This Row],[Color Code]], 5, 2)))</f>
        <v>236 , 225 , 178</v>
      </c>
      <c r="D6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70.46275611981126</v>
      </c>
      <c r="E628" t="str">
        <f>Table14[[#This Row],[Color Code]] &amp; " - " &amp;Table14[[#This Row],[Color Name]]</f>
        <v>ECE1B2 - 7826</v>
      </c>
    </row>
    <row r="629" spans="1:5" x14ac:dyDescent="0.35">
      <c r="A629" s="17" t="s">
        <v>3417</v>
      </c>
      <c r="B629" t="s">
        <v>5678</v>
      </c>
      <c r="C629" s="9" t="str">
        <f>_xlfn.CONCAT(HEX2DEC(MID(Table14[[#This Row],[Color Code]], 1, 2))," , ",HEX2DEC(MID(Table14[[#This Row],[Color Code]], 3, 2))," , ",HEX2DEC(MID(Table14[[#This Row],[Color Code]], 5, 2)))</f>
        <v>254 , 185 , 123</v>
      </c>
      <c r="D6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70.484040746824377</v>
      </c>
      <c r="E629" t="str">
        <f>Table14[[#This Row],[Color Code]] &amp; " - " &amp;Table14[[#This Row],[Color Name]]</f>
        <v>FEB97B - 9918</v>
      </c>
    </row>
    <row r="630" spans="1:5" x14ac:dyDescent="0.35">
      <c r="A630" s="17" t="s">
        <v>3461</v>
      </c>
      <c r="B630" t="s">
        <v>5726</v>
      </c>
      <c r="C630" s="9" t="str">
        <f>_xlfn.CONCAT(HEX2DEC(MID(Table14[[#This Row],[Color Code]], 1, 2))," , ",HEX2DEC(MID(Table14[[#This Row],[Color Code]], 3, 2))," , ",HEX2DEC(MID(Table14[[#This Row],[Color Code]], 5, 2)))</f>
        <v>248 , 209 , 181</v>
      </c>
      <c r="D6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70.484040746824377</v>
      </c>
      <c r="E630" t="str">
        <f>Table14[[#This Row],[Color Code]] &amp; " - " &amp;Table14[[#This Row],[Color Name]]</f>
        <v>F8D1B5 - 8010</v>
      </c>
    </row>
    <row r="631" spans="1:5" x14ac:dyDescent="0.35">
      <c r="A631" s="17" t="s">
        <v>3139</v>
      </c>
      <c r="B631" t="s">
        <v>5395</v>
      </c>
      <c r="C631" s="9" t="str">
        <f>_xlfn.CONCAT(HEX2DEC(MID(Table14[[#This Row],[Color Code]], 1, 2))," , ",HEX2DEC(MID(Table14[[#This Row],[Color Code]], 3, 2))," , ",HEX2DEC(MID(Table14[[#This Row],[Color Code]], 5, 2)))</f>
        <v>203 , 215 , 98</v>
      </c>
      <c r="D6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70.498226928058273</v>
      </c>
      <c r="E631" t="str">
        <f>Table14[[#This Row],[Color Code]] &amp; " - " &amp;Table14[[#This Row],[Color Name]]</f>
        <v>CBD762 - 9826</v>
      </c>
    </row>
    <row r="632" spans="1:5" x14ac:dyDescent="0.35">
      <c r="A632" s="17" t="s">
        <v>4084</v>
      </c>
      <c r="B632" t="s">
        <v>6430</v>
      </c>
      <c r="C632" s="9" t="str">
        <f>_xlfn.CONCAT(HEX2DEC(MID(Table14[[#This Row],[Color Code]], 1, 2))," , ",HEX2DEC(MID(Table14[[#This Row],[Color Code]], 3, 2))," , ",HEX2DEC(MID(Table14[[#This Row],[Color Code]], 5, 2)))</f>
        <v>236 , 213 , 195</v>
      </c>
      <c r="D6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70.569115057509407</v>
      </c>
      <c r="E632" t="str">
        <f>Table14[[#This Row],[Color Code]] &amp; " - " &amp;Table14[[#This Row],[Color Name]]</f>
        <v>ECD5C3 - 8603</v>
      </c>
    </row>
    <row r="633" spans="1:5" x14ac:dyDescent="0.35">
      <c r="A633" s="17" t="s">
        <v>3268</v>
      </c>
      <c r="B633" t="s">
        <v>5527</v>
      </c>
      <c r="C633" s="9" t="str">
        <f>_xlfn.CONCAT(HEX2DEC(MID(Table14[[#This Row],[Color Code]], 1, 2))," , ",HEX2DEC(MID(Table14[[#This Row],[Color Code]], 3, 2))," , ",HEX2DEC(MID(Table14[[#This Row],[Color Code]], 5, 2)))</f>
        <v>210 , 181 , 87</v>
      </c>
      <c r="D6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70.597450378891168</v>
      </c>
      <c r="E633" t="str">
        <f>Table14[[#This Row],[Color Code]] &amp; " - " &amp;Table14[[#This Row],[Color Name]]</f>
        <v>D2B557 - 7854</v>
      </c>
    </row>
    <row r="634" spans="1:5" x14ac:dyDescent="0.35">
      <c r="A634" s="17" t="s">
        <v>2751</v>
      </c>
      <c r="B634" t="s">
        <v>4963</v>
      </c>
      <c r="C634" s="9" t="str">
        <f>_xlfn.CONCAT(HEX2DEC(MID(Table14[[#This Row],[Color Code]], 1, 2))," , ",HEX2DEC(MID(Table14[[#This Row],[Color Code]], 3, 2))," , ",HEX2DEC(MID(Table14[[#This Row],[Color Code]], 5, 2)))</f>
        <v>162 , 191 , 217</v>
      </c>
      <c r="D6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70.710678118654755</v>
      </c>
      <c r="E634" t="str">
        <f>Table14[[#This Row],[Color Code]] &amp; " - " &amp;Table14[[#This Row],[Color Name]]</f>
        <v>A2BFD9 - 7273</v>
      </c>
    </row>
    <row r="635" spans="1:5" x14ac:dyDescent="0.35">
      <c r="A635" s="17" t="s">
        <v>3679</v>
      </c>
      <c r="B635" t="s">
        <v>5954</v>
      </c>
      <c r="C635" s="9" t="str">
        <f>_xlfn.CONCAT(HEX2DEC(MID(Table14[[#This Row],[Color Code]], 1, 2))," , ",HEX2DEC(MID(Table14[[#This Row],[Color Code]], 3, 2))," , ",HEX2DEC(MID(Table14[[#This Row],[Color Code]], 5, 2)))</f>
        <v>145 , 124 , 141</v>
      </c>
      <c r="D6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70.753091805234916</v>
      </c>
      <c r="E635" t="str">
        <f>Table14[[#This Row],[Color Code]] &amp; " - " &amp;Table14[[#This Row],[Color Name]]</f>
        <v>917C8D - 8199</v>
      </c>
    </row>
    <row r="636" spans="1:5" x14ac:dyDescent="0.35">
      <c r="A636" s="17" t="s">
        <v>2479</v>
      </c>
      <c r="B636" t="s">
        <v>4672</v>
      </c>
      <c r="C636" s="9" t="str">
        <f>_xlfn.CONCAT(HEX2DEC(MID(Table14[[#This Row],[Color Code]], 1, 2))," , ",HEX2DEC(MID(Table14[[#This Row],[Color Code]], 3, 2))," , ",HEX2DEC(MID(Table14[[#This Row],[Color Code]], 5, 2)))</f>
        <v>224 , 216 , 203</v>
      </c>
      <c r="D6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70.774289116881988</v>
      </c>
      <c r="E636" s="10" t="str">
        <f>Table14[[#This Row],[Color Code]] &amp; " - " &amp;Table14[[#This Row],[Color Name]]</f>
        <v>E0D8CB - 4148</v>
      </c>
    </row>
    <row r="637" spans="1:5" x14ac:dyDescent="0.35">
      <c r="A637" s="17" t="s">
        <v>2510</v>
      </c>
      <c r="B637" t="s">
        <v>4704</v>
      </c>
      <c r="C637" s="9" t="str">
        <f>_xlfn.CONCAT(HEX2DEC(MID(Table14[[#This Row],[Color Code]], 1, 2))," , ",HEX2DEC(MID(Table14[[#This Row],[Color Code]], 3, 2))," , ",HEX2DEC(MID(Table14[[#This Row],[Color Code]], 5, 2)))</f>
        <v>217 , 216 , 207</v>
      </c>
      <c r="D6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70.781353476745551</v>
      </c>
      <c r="E637" t="str">
        <f>Table14[[#This Row],[Color Code]] &amp; " - " &amp;Table14[[#This Row],[Color Name]]</f>
        <v>D9D8CF - 8332</v>
      </c>
    </row>
    <row r="638" spans="1:5" x14ac:dyDescent="0.35">
      <c r="A638" s="17" t="s">
        <v>2669</v>
      </c>
      <c r="B638" t="s">
        <v>4876</v>
      </c>
      <c r="C638" s="9" t="str">
        <f>_xlfn.CONCAT(HEX2DEC(MID(Table14[[#This Row],[Color Code]], 1, 2))," , ",HEX2DEC(MID(Table14[[#This Row],[Color Code]], 3, 2))," , ",HEX2DEC(MID(Table14[[#This Row],[Color Code]], 5, 2)))</f>
        <v>202 , 192 , 223</v>
      </c>
      <c r="D6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70.802542327235685</v>
      </c>
      <c r="E638" t="str">
        <f>Table14[[#This Row],[Color Code]] &amp; " - " &amp;Table14[[#This Row],[Color Name]]</f>
        <v>CAC0DF - 7161</v>
      </c>
    </row>
    <row r="639" spans="1:5" x14ac:dyDescent="0.35">
      <c r="A639" s="17" t="s">
        <v>4173</v>
      </c>
      <c r="B639" t="s">
        <v>6528</v>
      </c>
      <c r="C639" s="9" t="str">
        <f>_xlfn.CONCAT(HEX2DEC(MID(Table14[[#This Row],[Color Code]], 1, 2))," , ",HEX2DEC(MID(Table14[[#This Row],[Color Code]], 3, 2))," , ",HEX2DEC(MID(Table14[[#This Row],[Color Code]], 5, 2)))</f>
        <v>249 , 201 , 188</v>
      </c>
      <c r="D6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70.809603868401922</v>
      </c>
      <c r="E639" t="str">
        <f>Table14[[#This Row],[Color Code]] &amp; " - " &amp;Table14[[#This Row],[Color Name]]</f>
        <v>F9C9BC - K250</v>
      </c>
    </row>
    <row r="640" spans="1:5" x14ac:dyDescent="0.35">
      <c r="A640" s="17" t="s">
        <v>2615</v>
      </c>
      <c r="B640" t="s">
        <v>4812</v>
      </c>
      <c r="C640" s="9" t="str">
        <f>_xlfn.CONCAT(HEX2DEC(MID(Table14[[#This Row],[Color Code]], 1, 2))," , ",HEX2DEC(MID(Table14[[#This Row],[Color Code]], 3, 2))," , ",HEX2DEC(MID(Table14[[#This Row],[Color Code]], 5, 2)))</f>
        <v>176 , 106 , 159</v>
      </c>
      <c r="D6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70.943639602151791</v>
      </c>
      <c r="E640" t="str">
        <f>Table14[[#This Row],[Color Code]] &amp; " - " &amp;Table14[[#This Row],[Color Name]]</f>
        <v>B06A9F - 9589</v>
      </c>
    </row>
    <row r="641" spans="1:5" x14ac:dyDescent="0.35">
      <c r="A641" s="17" t="s">
        <v>4050</v>
      </c>
      <c r="B641" t="s">
        <v>6393</v>
      </c>
      <c r="C641" s="9" t="str">
        <f>_xlfn.CONCAT(HEX2DEC(MID(Table14[[#This Row],[Color Code]], 1, 2))," , ",HEX2DEC(MID(Table14[[#This Row],[Color Code]], 3, 2))," , ",HEX2DEC(MID(Table14[[#This Row],[Color Code]], 5, 2)))</f>
        <v>167 , 130 , 106</v>
      </c>
      <c r="D6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71.070387644925646</v>
      </c>
      <c r="E641" t="str">
        <f>Table14[[#This Row],[Color Code]] &amp; " - " &amp;Table14[[#This Row],[Color Name]]</f>
        <v>A7826A - 4194</v>
      </c>
    </row>
    <row r="642" spans="1:5" x14ac:dyDescent="0.35">
      <c r="A642" s="17" t="s">
        <v>3665</v>
      </c>
      <c r="B642" t="s">
        <v>5937</v>
      </c>
      <c r="C642" s="9" t="str">
        <f>_xlfn.CONCAT(HEX2DEC(MID(Table14[[#This Row],[Color Code]], 1, 2))," , ",HEX2DEC(MID(Table14[[#This Row],[Color Code]], 3, 2))," , ",HEX2DEC(MID(Table14[[#This Row],[Color Code]], 5, 2)))</f>
        <v>145 , 122 , 149</v>
      </c>
      <c r="D6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71.09149034870488</v>
      </c>
      <c r="E642" t="str">
        <f>Table14[[#This Row],[Color Code]] &amp; " - " &amp;Table14[[#This Row],[Color Name]]</f>
        <v>917A95 - 9111</v>
      </c>
    </row>
    <row r="643" spans="1:5" x14ac:dyDescent="0.35">
      <c r="A643" s="17" t="s">
        <v>3888</v>
      </c>
      <c r="B643" t="s">
        <v>6213</v>
      </c>
      <c r="C643" s="9" t="str">
        <f>_xlfn.CONCAT(HEX2DEC(MID(Table14[[#This Row],[Color Code]], 1, 2))," , ",HEX2DEC(MID(Table14[[#This Row],[Color Code]], 3, 2))," , ",HEX2DEC(MID(Table14[[#This Row],[Color Code]], 5, 2)))</f>
        <v>219 , 221 , 202</v>
      </c>
      <c r="D6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71.09149034870488</v>
      </c>
      <c r="E643" t="str">
        <f>Table14[[#This Row],[Color Code]] &amp; " - " &amp;Table14[[#This Row],[Color Name]]</f>
        <v>DBDDCA - 8411</v>
      </c>
    </row>
    <row r="644" spans="1:5" x14ac:dyDescent="0.35">
      <c r="A644" s="17" t="s">
        <v>3374</v>
      </c>
      <c r="B644" t="s">
        <v>5633</v>
      </c>
      <c r="C644" s="9" t="str">
        <f>_xlfn.CONCAT(HEX2DEC(MID(Table14[[#This Row],[Color Code]], 1, 2))," , ",HEX2DEC(MID(Table14[[#This Row],[Color Code]], 3, 2))," , ",HEX2DEC(MID(Table14[[#This Row],[Color Code]], 5, 2)))</f>
        <v>254 , 206 , 139</v>
      </c>
      <c r="D6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71.140705647329639</v>
      </c>
      <c r="E644" t="str">
        <f>Table14[[#This Row],[Color Code]] &amp; " - " &amp;Table14[[#This Row],[Color Name]]</f>
        <v>FECE8B - 7952</v>
      </c>
    </row>
    <row r="645" spans="1:5" x14ac:dyDescent="0.35">
      <c r="A645" s="17" t="s">
        <v>3382</v>
      </c>
      <c r="B645" t="s">
        <v>5641</v>
      </c>
      <c r="C645" s="9" t="str">
        <f>_xlfn.CONCAT(HEX2DEC(MID(Table14[[#This Row],[Color Code]], 1, 2))," , ",HEX2DEC(MID(Table14[[#This Row],[Color Code]], 3, 2))," , ",HEX2DEC(MID(Table14[[#This Row],[Color Code]], 5, 2)))</f>
        <v>254 , 200 , 130</v>
      </c>
      <c r="D6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71.372263520221921</v>
      </c>
      <c r="E645" t="str">
        <f>Table14[[#This Row],[Color Code]] &amp; " - " &amp;Table14[[#This Row],[Color Name]]</f>
        <v>FEC882 - 7960</v>
      </c>
    </row>
    <row r="646" spans="1:5" x14ac:dyDescent="0.35">
      <c r="A646" s="17" t="s">
        <v>2690</v>
      </c>
      <c r="B646" t="s">
        <v>4898</v>
      </c>
      <c r="C646" s="9" t="str">
        <f>_xlfn.CONCAT(HEX2DEC(MID(Table14[[#This Row],[Color Code]], 1, 2))," , ",HEX2DEC(MID(Table14[[#This Row],[Color Code]], 3, 2))," , ",HEX2DEC(MID(Table14[[#This Row],[Color Code]], 5, 2)))</f>
        <v>209 , 206 , 217</v>
      </c>
      <c r="D6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71.372263520221921</v>
      </c>
      <c r="E646" t="str">
        <f>Table14[[#This Row],[Color Code]] &amp; " - " &amp;Table14[[#This Row],[Color Name]]</f>
        <v>D1CED9 - 7195</v>
      </c>
    </row>
    <row r="647" spans="1:5" x14ac:dyDescent="0.35">
      <c r="A647" s="17" t="s">
        <v>3811</v>
      </c>
      <c r="B647" t="s">
        <v>6120</v>
      </c>
      <c r="C647" s="9" t="str">
        <f>_xlfn.CONCAT(HEX2DEC(MID(Table14[[#This Row],[Color Code]], 1, 2))," , ",HEX2DEC(MID(Table14[[#This Row],[Color Code]], 3, 2))," , ",HEX2DEC(MID(Table14[[#This Row],[Color Code]], 5, 2)))</f>
        <v>134 , 139 , 134</v>
      </c>
      <c r="D6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71.421285342676384</v>
      </c>
      <c r="E647" t="str">
        <f>Table14[[#This Row],[Color Code]] &amp; " - " &amp;Table14[[#This Row],[Color Name]]</f>
        <v>868B86 - K125</v>
      </c>
    </row>
    <row r="648" spans="1:5" x14ac:dyDescent="0.35">
      <c r="A648" s="17" t="s">
        <v>3051</v>
      </c>
      <c r="B648" t="s">
        <v>5297</v>
      </c>
      <c r="C648" s="9" t="str">
        <f>_xlfn.CONCAT(HEX2DEC(MID(Table14[[#This Row],[Color Code]], 1, 2))," , ",HEX2DEC(MID(Table14[[#This Row],[Color Code]], 3, 2))," , ",HEX2DEC(MID(Table14[[#This Row],[Color Code]], 5, 2)))</f>
        <v>211 , 237 , 185</v>
      </c>
      <c r="D6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71.449282711584999</v>
      </c>
      <c r="E648" t="str">
        <f>Table14[[#This Row],[Color Code]] &amp; " - " &amp;Table14[[#This Row],[Color Name]]</f>
        <v>D3EDB9 - 9778</v>
      </c>
    </row>
    <row r="649" spans="1:5" x14ac:dyDescent="0.35">
      <c r="A649" s="17" t="s">
        <v>4158</v>
      </c>
      <c r="B649" t="s">
        <v>6511</v>
      </c>
      <c r="C649" s="9" t="str">
        <f>_xlfn.CONCAT(HEX2DEC(MID(Table14[[#This Row],[Color Code]], 1, 2))," , ",HEX2DEC(MID(Table14[[#This Row],[Color Code]], 3, 2))," , ",HEX2DEC(MID(Table14[[#This Row],[Color Code]], 5, 2)))</f>
        <v>243 , 204 , 196</v>
      </c>
      <c r="D6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71.575135347409571</v>
      </c>
      <c r="E649" t="str">
        <f>Table14[[#This Row],[Color Code]] &amp; " - " &amp;Table14[[#This Row],[Color Name]]</f>
        <v>F3CCC4 - K233</v>
      </c>
    </row>
    <row r="650" spans="1:5" x14ac:dyDescent="0.35">
      <c r="A650" s="17" t="s">
        <v>3878</v>
      </c>
      <c r="B650" t="s">
        <v>6200</v>
      </c>
      <c r="C650" s="9" t="str">
        <f>_xlfn.CONCAT(HEX2DEC(MID(Table14[[#This Row],[Color Code]], 1, 2))," , ",HEX2DEC(MID(Table14[[#This Row],[Color Code]], 3, 2))," , ",HEX2DEC(MID(Table14[[#This Row],[Color Code]], 5, 2)))</f>
        <v>135 , 141 , 128</v>
      </c>
      <c r="D6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71.651936470691425</v>
      </c>
      <c r="E650" t="str">
        <f>Table14[[#This Row],[Color Code]] &amp; " - " &amp;Table14[[#This Row],[Color Name]]</f>
        <v>878D80 - 8392</v>
      </c>
    </row>
    <row r="651" spans="1:5" x14ac:dyDescent="0.35">
      <c r="A651" s="17" t="s">
        <v>3418</v>
      </c>
      <c r="B651" t="s">
        <v>5679</v>
      </c>
      <c r="C651" s="9" t="str">
        <f>_xlfn.CONCAT(HEX2DEC(MID(Table14[[#This Row],[Color Code]], 1, 2))," , ",HEX2DEC(MID(Table14[[#This Row],[Color Code]], 3, 2))," , ",HEX2DEC(MID(Table14[[#This Row],[Color Code]], 5, 2)))</f>
        <v>254 , 175 , 119</v>
      </c>
      <c r="D6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71.693793315739683</v>
      </c>
      <c r="E651" t="str">
        <f>Table14[[#This Row],[Color Code]] &amp; " - " &amp;Table14[[#This Row],[Color Name]]</f>
        <v>FEAF77 - 9919</v>
      </c>
    </row>
    <row r="652" spans="1:5" x14ac:dyDescent="0.35">
      <c r="A652" s="17" t="s">
        <v>3176</v>
      </c>
      <c r="B652" t="s">
        <v>5434</v>
      </c>
      <c r="C652" s="9" t="str">
        <f>_xlfn.CONCAT(HEX2DEC(MID(Table14[[#This Row],[Color Code]], 1, 2))," , ",HEX2DEC(MID(Table14[[#This Row],[Color Code]], 3, 2))," , ",HEX2DEC(MID(Table14[[#This Row],[Color Code]], 5, 2)))</f>
        <v>234 , 219 , 117</v>
      </c>
      <c r="D6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71.721684308164427</v>
      </c>
      <c r="E652" t="str">
        <f>Table14[[#This Row],[Color Code]] &amp; " - " &amp;Table14[[#This Row],[Color Name]]</f>
        <v>EADB75 - 9848</v>
      </c>
    </row>
    <row r="653" spans="1:5" x14ac:dyDescent="0.35">
      <c r="A653" s="17" t="s">
        <v>2445</v>
      </c>
      <c r="B653" t="s">
        <v>4637</v>
      </c>
      <c r="C653" s="9" t="str">
        <f>_xlfn.CONCAT(HEX2DEC(MID(Table14[[#This Row],[Color Code]], 1, 2))," , ",HEX2DEC(MID(Table14[[#This Row],[Color Code]], 3, 2))," , ",HEX2DEC(MID(Table14[[#This Row],[Color Code]], 5, 2)))</f>
        <v>231 , 220 , 195</v>
      </c>
      <c r="D6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71.735625737843819</v>
      </c>
      <c r="E653" t="str">
        <f>Table14[[#This Row],[Color Code]] &amp; " - " &amp;Table14[[#This Row],[Color Name]]</f>
        <v>E7DCC3 - L188</v>
      </c>
    </row>
    <row r="654" spans="1:5" x14ac:dyDescent="0.35">
      <c r="A654" s="17" t="s">
        <v>3826</v>
      </c>
      <c r="B654" t="s">
        <v>6137</v>
      </c>
      <c r="C654" s="9" t="str">
        <f>_xlfn.CONCAT(HEX2DEC(MID(Table14[[#This Row],[Color Code]], 1, 2))," , ",HEX2DEC(MID(Table14[[#This Row],[Color Code]], 3, 2))," , ",HEX2DEC(MID(Table14[[#This Row],[Color Code]], 5, 2)))</f>
        <v>135 , 138 , 132</v>
      </c>
      <c r="D6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71.742595436741766</v>
      </c>
      <c r="E654" t="str">
        <f>Table14[[#This Row],[Color Code]] &amp; " - " &amp;Table14[[#This Row],[Color Name]]</f>
        <v>878A84 - 8328</v>
      </c>
    </row>
    <row r="655" spans="1:5" x14ac:dyDescent="0.35">
      <c r="A655" s="17" t="s">
        <v>2766</v>
      </c>
      <c r="B655" t="s">
        <v>4978</v>
      </c>
      <c r="C655" s="9" t="str">
        <f>_xlfn.CONCAT(HEX2DEC(MID(Table14[[#This Row],[Color Code]], 1, 2))," , ",HEX2DEC(MID(Table14[[#This Row],[Color Code]], 3, 2))," , ",HEX2DEC(MID(Table14[[#This Row],[Color Code]], 5, 2)))</f>
        <v>182 , 206 , 219</v>
      </c>
      <c r="D6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71.812255221514945</v>
      </c>
      <c r="E655" t="str">
        <f>Table14[[#This Row],[Color Code]] &amp; " - " &amp;Table14[[#This Row],[Color Name]]</f>
        <v>B6CEDB - 7298</v>
      </c>
    </row>
    <row r="656" spans="1:5" x14ac:dyDescent="0.35">
      <c r="A656" s="17" t="s">
        <v>3449</v>
      </c>
      <c r="B656" t="s">
        <v>5713</v>
      </c>
      <c r="C656" s="9" t="str">
        <f>_xlfn.CONCAT(HEX2DEC(MID(Table14[[#This Row],[Color Code]], 1, 2))," , ",HEX2DEC(MID(Table14[[#This Row],[Color Code]], 3, 2))," , ",HEX2DEC(MID(Table14[[#This Row],[Color Code]], 5, 2)))</f>
        <v>254 , 165 , 120</v>
      </c>
      <c r="D6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71.895757872074768</v>
      </c>
      <c r="E656" t="str">
        <f>Table14[[#This Row],[Color Code]] &amp; " - " &amp;Table14[[#This Row],[Color Name]]</f>
        <v>FEA578 - 7991</v>
      </c>
    </row>
    <row r="657" spans="1:5" x14ac:dyDescent="0.35">
      <c r="A657" s="17" t="s">
        <v>3626</v>
      </c>
      <c r="B657" t="s">
        <v>5896</v>
      </c>
      <c r="C657" s="9" t="str">
        <f>_xlfn.CONCAT(HEX2DEC(MID(Table14[[#This Row],[Color Code]], 1, 2))," , ",HEX2DEC(MID(Table14[[#This Row],[Color Code]], 3, 2))," , ",HEX2DEC(MID(Table14[[#This Row],[Color Code]], 5, 2)))</f>
        <v>239 , 191 , 207</v>
      </c>
      <c r="D6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71.895757872074768</v>
      </c>
      <c r="E657" t="str">
        <f>Table14[[#This Row],[Color Code]] &amp; " - " &amp;Table14[[#This Row],[Color Name]]</f>
        <v>EFBFCF - 8137</v>
      </c>
    </row>
    <row r="658" spans="1:5" x14ac:dyDescent="0.35">
      <c r="A658" s="17" t="s">
        <v>4410</v>
      </c>
      <c r="B658" t="s">
        <v>4862</v>
      </c>
      <c r="C658" s="9" t="str">
        <f>_xlfn.CONCAT(HEX2DEC(MID(Table14[[#This Row],[Color Code]], 1, 2))," , ",HEX2DEC(MID(Table14[[#This Row],[Color Code]], 3, 2))," , ",HEX2DEC(MID(Table14[[#This Row],[Color Code]], 5, 2)))</f>
        <v>137 , 129 , 149</v>
      </c>
      <c r="D6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71.951372467799388</v>
      </c>
      <c r="E658" t="str">
        <f>Table14[[#This Row],[Color Code]] &amp; " - " &amp;Table14[[#This Row],[Color Name]]</f>
        <v>898195 - 7143</v>
      </c>
    </row>
    <row r="659" spans="1:5" x14ac:dyDescent="0.35">
      <c r="A659" s="17" t="s">
        <v>3573</v>
      </c>
      <c r="B659" t="s">
        <v>5842</v>
      </c>
      <c r="C659" s="9" t="str">
        <f>_xlfn.CONCAT(HEX2DEC(MID(Table14[[#This Row],[Color Code]], 1, 2))," , ",HEX2DEC(MID(Table14[[#This Row],[Color Code]], 3, 2))," , ",HEX2DEC(MID(Table14[[#This Row],[Color Code]], 5, 2)))</f>
        <v>218 , 114 , 127</v>
      </c>
      <c r="D6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71.979163651712426</v>
      </c>
      <c r="E659" t="str">
        <f>Table14[[#This Row],[Color Code]] &amp; " - " &amp;Table14[[#This Row],[Color Name]]</f>
        <v>DA727F - 8086</v>
      </c>
    </row>
    <row r="660" spans="1:5" x14ac:dyDescent="0.35">
      <c r="A660" s="17" t="s">
        <v>3234</v>
      </c>
      <c r="B660" t="s">
        <v>5492</v>
      </c>
      <c r="C660" s="9" t="str">
        <f>_xlfn.CONCAT(HEX2DEC(MID(Table14[[#This Row],[Color Code]], 1, 2))," , ",HEX2DEC(MID(Table14[[#This Row],[Color Code]], 3, 2))," , ",HEX2DEC(MID(Table14[[#This Row],[Color Code]], 5, 2)))</f>
        <v>244 , 225 , 153</v>
      </c>
      <c r="D6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72.166474210674863</v>
      </c>
      <c r="E660" t="str">
        <f>Table14[[#This Row],[Color Code]] &amp; " - " &amp;Table14[[#This Row],[Color Name]]</f>
        <v>F4E199 - 7832</v>
      </c>
    </row>
    <row r="661" spans="1:5" x14ac:dyDescent="0.35">
      <c r="A661" s="17" t="s">
        <v>3648</v>
      </c>
      <c r="B661" t="s">
        <v>5919</v>
      </c>
      <c r="C661" s="9" t="str">
        <f>_xlfn.CONCAT(HEX2DEC(MID(Table14[[#This Row],[Color Code]], 1, 2))," , ",HEX2DEC(MID(Table14[[#This Row],[Color Code]], 3, 2))," , ",HEX2DEC(MID(Table14[[#This Row],[Color Code]], 5, 2)))</f>
        <v>232 , 194 , 212</v>
      </c>
      <c r="D6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72.180329730474355</v>
      </c>
      <c r="E661" t="str">
        <f>Table14[[#This Row],[Color Code]] &amp; " - " &amp;Table14[[#This Row],[Color Name]]</f>
        <v>E8C2D4 - 8145</v>
      </c>
    </row>
    <row r="662" spans="1:5" x14ac:dyDescent="0.35">
      <c r="A662" s="17" t="s">
        <v>3721</v>
      </c>
      <c r="B662" t="s">
        <v>6009</v>
      </c>
      <c r="C662" s="9" t="str">
        <f>_xlfn.CONCAT(HEX2DEC(MID(Table14[[#This Row],[Color Code]], 1, 2))," , ",HEX2DEC(MID(Table14[[#This Row],[Color Code]], 3, 2))," , ",HEX2DEC(MID(Table14[[#This Row],[Color Code]], 5, 2)))</f>
        <v>134 , 135 , 139</v>
      </c>
      <c r="D6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72.249567472753768</v>
      </c>
      <c r="E662" t="str">
        <f>Table14[[#This Row],[Color Code]] &amp; " - " &amp;Table14[[#This Row],[Color Name]]</f>
        <v>86878B - 8232</v>
      </c>
    </row>
    <row r="663" spans="1:5" x14ac:dyDescent="0.35">
      <c r="A663" s="17" t="s">
        <v>3337</v>
      </c>
      <c r="B663" t="s">
        <v>5596</v>
      </c>
      <c r="C663" s="9" t="str">
        <f>_xlfn.CONCAT(HEX2DEC(MID(Table14[[#This Row],[Color Code]], 1, 2))," , ",HEX2DEC(MID(Table14[[#This Row],[Color Code]], 3, 2))," , ",HEX2DEC(MID(Table14[[#This Row],[Color Code]], 5, 2)))</f>
        <v>254 , 209 , 140</v>
      </c>
      <c r="D6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72.284161474004804</v>
      </c>
      <c r="E663" t="str">
        <f>Table14[[#This Row],[Color Code]] &amp; " - " &amp;Table14[[#This Row],[Color Name]]</f>
        <v>FED18C - 7920</v>
      </c>
    </row>
    <row r="664" spans="1:5" x14ac:dyDescent="0.35">
      <c r="A664" s="17" t="s">
        <v>4236</v>
      </c>
      <c r="B664" t="s">
        <v>6601</v>
      </c>
      <c r="C664" s="9" t="str">
        <f>_xlfn.CONCAT(HEX2DEC(MID(Table14[[#This Row],[Color Code]], 1, 2))," , ",HEX2DEC(MID(Table14[[#This Row],[Color Code]], 3, 2))," , ",HEX2DEC(MID(Table14[[#This Row],[Color Code]], 5, 2)))</f>
        <v>144 , 130 , 125</v>
      </c>
      <c r="D6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72.311824759163699</v>
      </c>
      <c r="E664" t="str">
        <f>Table14[[#This Row],[Color Code]] &amp; " - " &amp;Table14[[#This Row],[Color Name]]</f>
        <v>90827D - 8752</v>
      </c>
    </row>
    <row r="665" spans="1:5" x14ac:dyDescent="0.35">
      <c r="A665" s="17" t="s">
        <v>3710</v>
      </c>
      <c r="B665" t="s">
        <v>5998</v>
      </c>
      <c r="C665" s="9" t="str">
        <f>_xlfn.CONCAT(HEX2DEC(MID(Table14[[#This Row],[Color Code]], 1, 2))," , ",HEX2DEC(MID(Table14[[#This Row],[Color Code]], 3, 2))," , ",HEX2DEC(MID(Table14[[#This Row],[Color Code]], 5, 2)))</f>
        <v>221 , 212 , 210</v>
      </c>
      <c r="D6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72.353299855638923</v>
      </c>
      <c r="E665" t="str">
        <f>Table14[[#This Row],[Color Code]] &amp; " - " &amp;Table14[[#This Row],[Color Name]]</f>
        <v>DDD4D2 - 8219</v>
      </c>
    </row>
    <row r="666" spans="1:5" x14ac:dyDescent="0.35">
      <c r="A666" s="17" t="s">
        <v>2805</v>
      </c>
      <c r="B666" t="s">
        <v>5020</v>
      </c>
      <c r="C666" s="9" t="str">
        <f>_xlfn.CONCAT(HEX2DEC(MID(Table14[[#This Row],[Color Code]], 1, 2))," , ",HEX2DEC(MID(Table14[[#This Row],[Color Code]], 3, 2))," , ",HEX2DEC(MID(Table14[[#This Row],[Color Code]], 5, 2)))</f>
        <v>126 , 165 , 183</v>
      </c>
      <c r="D6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72.387844283415433</v>
      </c>
      <c r="E666" t="str">
        <f>Table14[[#This Row],[Color Code]] &amp; " - " &amp;Table14[[#This Row],[Color Name]]</f>
        <v>7EA5B7 - 7368</v>
      </c>
    </row>
    <row r="667" spans="1:5" x14ac:dyDescent="0.35">
      <c r="A667" s="17" t="s">
        <v>3431</v>
      </c>
      <c r="B667" t="s">
        <v>5693</v>
      </c>
      <c r="C667" s="9" t="str">
        <f>_xlfn.CONCAT(HEX2DEC(MID(Table14[[#This Row],[Color Code]], 1, 2))," , ",HEX2DEC(MID(Table14[[#This Row],[Color Code]], 3, 2))," , ",HEX2DEC(MID(Table14[[#This Row],[Color Code]], 5, 2)))</f>
        <v>254 , 208 , 173</v>
      </c>
      <c r="D6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72.505172229296861</v>
      </c>
      <c r="E667" t="str">
        <f>Table14[[#This Row],[Color Code]] &amp; " - " &amp;Table14[[#This Row],[Color Name]]</f>
        <v>FED0AD - 9933</v>
      </c>
    </row>
    <row r="668" spans="1:5" x14ac:dyDescent="0.35">
      <c r="A668" s="17" t="s">
        <v>2802</v>
      </c>
      <c r="B668" t="s">
        <v>5017</v>
      </c>
      <c r="C668" s="9" t="str">
        <f>_xlfn.CONCAT(HEX2DEC(MID(Table14[[#This Row],[Color Code]], 1, 2))," , ",HEX2DEC(MID(Table14[[#This Row],[Color Code]], 3, 2))," , ",HEX2DEC(MID(Table14[[#This Row],[Color Code]], 5, 2)))</f>
        <v>184 , 210 , 218</v>
      </c>
      <c r="D6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72.512067961133198</v>
      </c>
      <c r="E668" t="str">
        <f>Table14[[#This Row],[Color Code]] &amp; " - " &amp;Table14[[#This Row],[Color Name]]</f>
        <v>B8D2DA - 7371</v>
      </c>
    </row>
    <row r="669" spans="1:5" x14ac:dyDescent="0.35">
      <c r="A669" s="17" t="s">
        <v>3416</v>
      </c>
      <c r="B669" t="s">
        <v>5677</v>
      </c>
      <c r="C669" s="9" t="str">
        <f>_xlfn.CONCAT(HEX2DEC(MID(Table14[[#This Row],[Color Code]], 1, 2))," , ",HEX2DEC(MID(Table14[[#This Row],[Color Code]], 3, 2))," , ",HEX2DEC(MID(Table14[[#This Row],[Color Code]], 5, 2)))</f>
        <v>254 , 211 , 166</v>
      </c>
      <c r="D6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72.532751223154364</v>
      </c>
      <c r="E669" t="str">
        <f>Table14[[#This Row],[Color Code]] &amp; " - " &amp;Table14[[#This Row],[Color Name]]</f>
        <v>FED3A6 - 9917</v>
      </c>
    </row>
    <row r="670" spans="1:5" x14ac:dyDescent="0.35">
      <c r="A670" s="17" t="s">
        <v>4214</v>
      </c>
      <c r="B670" t="s">
        <v>6573</v>
      </c>
      <c r="C670" s="9" t="str">
        <f>_xlfn.CONCAT(HEX2DEC(MID(Table14[[#This Row],[Color Code]], 1, 2))," , ",HEX2DEC(MID(Table14[[#This Row],[Color Code]], 3, 2))," , ",HEX2DEC(MID(Table14[[#This Row],[Color Code]], 5, 2)))</f>
        <v>148 , 127 , 123</v>
      </c>
      <c r="D6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72.553428588868215</v>
      </c>
      <c r="E670" t="str">
        <f>Table14[[#This Row],[Color Code]] &amp; " - " &amp;Table14[[#This Row],[Color Name]]</f>
        <v>947F7B - K266</v>
      </c>
    </row>
    <row r="671" spans="1:5" x14ac:dyDescent="0.35">
      <c r="A671" s="17" t="s">
        <v>4070</v>
      </c>
      <c r="B671" t="s">
        <v>6415</v>
      </c>
      <c r="C671" s="9" t="str">
        <f>_xlfn.CONCAT(HEX2DEC(MID(Table14[[#This Row],[Color Code]], 1, 2))," , ",HEX2DEC(MID(Table14[[#This Row],[Color Code]], 3, 2))," , ",HEX2DEC(MID(Table14[[#This Row],[Color Code]], 5, 2)))</f>
        <v>163 , 130 , 106</v>
      </c>
      <c r="D6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72.574100063314603</v>
      </c>
      <c r="E671" t="str">
        <f>Table14[[#This Row],[Color Code]] &amp; " - " &amp;Table14[[#This Row],[Color Name]]</f>
        <v>A3826A - K207</v>
      </c>
    </row>
    <row r="672" spans="1:5" x14ac:dyDescent="0.35">
      <c r="A672" s="17" t="s">
        <v>2750</v>
      </c>
      <c r="B672" t="s">
        <v>4962</v>
      </c>
      <c r="C672" s="9" t="str">
        <f>_xlfn.CONCAT(HEX2DEC(MID(Table14[[#This Row],[Color Code]], 1, 2))," , ",HEX2DEC(MID(Table14[[#This Row],[Color Code]], 3, 2))," , ",HEX2DEC(MID(Table14[[#This Row],[Color Code]], 5, 2)))</f>
        <v>175 , 200 , 221</v>
      </c>
      <c r="D6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72.594765651526146</v>
      </c>
      <c r="E672" t="str">
        <f>Table14[[#This Row],[Color Code]] &amp; " - " &amp;Table14[[#This Row],[Color Name]]</f>
        <v>AFC8DD - 7274</v>
      </c>
    </row>
    <row r="673" spans="1:5" x14ac:dyDescent="0.35">
      <c r="A673" s="17" t="s">
        <v>2641</v>
      </c>
      <c r="B673" t="s">
        <v>4842</v>
      </c>
      <c r="C673" s="9" t="str">
        <f>_xlfn.CONCAT(HEX2DEC(MID(Table14[[#This Row],[Color Code]], 1, 2))," , ",HEX2DEC(MID(Table14[[#This Row],[Color Code]], 3, 2))," , ",HEX2DEC(MID(Table14[[#This Row],[Color Code]], 5, 2)))</f>
        <v>209 , 194 , 223</v>
      </c>
      <c r="D6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72.622310621461224</v>
      </c>
      <c r="E673" t="str">
        <f>Table14[[#This Row],[Color Code]] &amp; " - " &amp;Table14[[#This Row],[Color Name]]</f>
        <v>D1C2DF - K285</v>
      </c>
    </row>
    <row r="674" spans="1:5" x14ac:dyDescent="0.35">
      <c r="A674" s="17" t="s">
        <v>2730</v>
      </c>
      <c r="B674" t="s">
        <v>4941</v>
      </c>
      <c r="C674" s="9" t="str">
        <f>_xlfn.CONCAT(HEX2DEC(MID(Table14[[#This Row],[Color Code]], 1, 2))," , ",HEX2DEC(MID(Table14[[#This Row],[Color Code]], 3, 2))," , ",HEX2DEC(MID(Table14[[#This Row],[Color Code]], 5, 2)))</f>
        <v>128 , 141 , 160</v>
      </c>
      <c r="D6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72.642962494656018</v>
      </c>
      <c r="E674" t="str">
        <f>Table14[[#This Row],[Color Code]] &amp; " - " &amp;Table14[[#This Row],[Color Name]]</f>
        <v>808DA0 - 7231</v>
      </c>
    </row>
    <row r="675" spans="1:5" x14ac:dyDescent="0.35">
      <c r="A675" s="17" t="s">
        <v>2994</v>
      </c>
      <c r="B675" t="s">
        <v>5238</v>
      </c>
      <c r="C675" s="9" t="str">
        <f>_xlfn.CONCAT(HEX2DEC(MID(Table14[[#This Row],[Color Code]], 1, 2))," , ",HEX2DEC(MID(Table14[[#This Row],[Color Code]], 3, 2))," , ",HEX2DEC(MID(Table14[[#This Row],[Color Code]], 5, 2)))</f>
        <v>136 , 212 , 183</v>
      </c>
      <c r="D6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72.725511342306831</v>
      </c>
      <c r="E675" t="str">
        <f>Table14[[#This Row],[Color Code]] &amp; " - " &amp;Table14[[#This Row],[Color Name]]</f>
        <v>88D4B7 - 0266</v>
      </c>
    </row>
    <row r="676" spans="1:5" x14ac:dyDescent="0.35">
      <c r="A676" s="17" t="s">
        <v>2708</v>
      </c>
      <c r="B676" t="s">
        <v>4916</v>
      </c>
      <c r="C676" s="9" t="str">
        <f>_xlfn.CONCAT(HEX2DEC(MID(Table14[[#This Row],[Color Code]], 1, 2))," , ",HEX2DEC(MID(Table14[[#This Row],[Color Code]], 3, 2))," , ",HEX2DEC(MID(Table14[[#This Row],[Color Code]], 5, 2)))</f>
        <v>186 , 194 , 225</v>
      </c>
      <c r="D6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72.780491891715045</v>
      </c>
      <c r="E676" t="str">
        <f>Table14[[#This Row],[Color Code]] &amp; " - " &amp;Table14[[#This Row],[Color Name]]</f>
        <v>BAC2E1 - 7209</v>
      </c>
    </row>
    <row r="677" spans="1:5" x14ac:dyDescent="0.35">
      <c r="A677" s="17" t="s">
        <v>4535</v>
      </c>
      <c r="B677" t="s">
        <v>6281</v>
      </c>
      <c r="C677" s="9" t="str">
        <f>_xlfn.CONCAT(HEX2DEC(MID(Table14[[#This Row],[Color Code]], 1, 2))," , ",HEX2DEC(MID(Table14[[#This Row],[Color Code]], 3, 2))," , ",HEX2DEC(MID(Table14[[#This Row],[Color Code]], 5, 2)))</f>
        <v>147 , 137 , 112</v>
      </c>
      <c r="D6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72.924618614018129</v>
      </c>
      <c r="E677" t="str">
        <f>Table14[[#This Row],[Color Code]] &amp; " - " &amp;Table14[[#This Row],[Color Name]]</f>
        <v>938970 - 8479</v>
      </c>
    </row>
    <row r="678" spans="1:5" x14ac:dyDescent="0.35">
      <c r="A678" s="17" t="s">
        <v>3030</v>
      </c>
      <c r="B678" t="s">
        <v>5274</v>
      </c>
      <c r="C678" s="9" t="str">
        <f>_xlfn.CONCAT(HEX2DEC(MID(Table14[[#This Row],[Color Code]], 1, 2))," , ",HEX2DEC(MID(Table14[[#This Row],[Color Code]], 3, 2))," , ",HEX2DEC(MID(Table14[[#This Row],[Color Code]], 5, 2)))</f>
        <v>212 , 232 , 196</v>
      </c>
      <c r="D6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73.006848993775918</v>
      </c>
      <c r="E678" t="str">
        <f>Table14[[#This Row],[Color Code]] &amp; " - " &amp;Table14[[#This Row],[Color Name]]</f>
        <v>D4E8C4 - 7658</v>
      </c>
    </row>
    <row r="679" spans="1:5" x14ac:dyDescent="0.35">
      <c r="A679" s="17" t="s">
        <v>3607</v>
      </c>
      <c r="B679" t="s">
        <v>5877</v>
      </c>
      <c r="C679" s="9" t="str">
        <f>_xlfn.CONCAT(HEX2DEC(MID(Table14[[#This Row],[Color Code]], 1, 2))," , ",HEX2DEC(MID(Table14[[#This Row],[Color Code]], 3, 2))," , ",HEX2DEC(MID(Table14[[#This Row],[Color Code]], 5, 2)))</f>
        <v>233 , 204 , 208</v>
      </c>
      <c r="D6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73.013697345087238</v>
      </c>
      <c r="E679" t="str">
        <f>Table14[[#This Row],[Color Code]] &amp; " - " &amp;Table14[[#This Row],[Color Name]]</f>
        <v>E9CCD0 - K012</v>
      </c>
    </row>
    <row r="680" spans="1:5" x14ac:dyDescent="0.35">
      <c r="A680" s="17" t="s">
        <v>3248</v>
      </c>
      <c r="B680" t="s">
        <v>5506</v>
      </c>
      <c r="C680" s="9" t="str">
        <f>_xlfn.CONCAT(HEX2DEC(MID(Table14[[#This Row],[Color Code]], 1, 2))," , ",HEX2DEC(MID(Table14[[#This Row],[Color Code]], 3, 2))," , ",HEX2DEC(MID(Table14[[#This Row],[Color Code]], 5, 2)))</f>
        <v>233 , 222 , 193</v>
      </c>
      <c r="D6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73.034238546040854</v>
      </c>
      <c r="E680" t="str">
        <f>Table14[[#This Row],[Color Code]] &amp; " - " &amp;Table14[[#This Row],[Color Name]]</f>
        <v>E9DEC1 - 3119</v>
      </c>
    </row>
    <row r="681" spans="1:5" x14ac:dyDescent="0.35">
      <c r="A681" s="17" t="s">
        <v>3208</v>
      </c>
      <c r="B681" t="s">
        <v>5466</v>
      </c>
      <c r="C681" s="9" t="str">
        <f>_xlfn.CONCAT(HEX2DEC(MID(Table14[[#This Row],[Color Code]], 1, 2))," , ",HEX2DEC(MID(Table14[[#This Row],[Color Code]], 3, 2))," , ",HEX2DEC(MID(Table14[[#This Row],[Color Code]], 5, 2)))</f>
        <v>233 , 225 , 189</v>
      </c>
      <c r="D6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73.054773971315527</v>
      </c>
      <c r="E681" t="str">
        <f>Table14[[#This Row],[Color Code]] &amp; " - " &amp;Table14[[#This Row],[Color Name]]</f>
        <v>E9E1BD - 3226</v>
      </c>
    </row>
    <row r="682" spans="1:5" x14ac:dyDescent="0.35">
      <c r="A682" s="17" t="s">
        <v>3778</v>
      </c>
      <c r="B682" t="s">
        <v>6073</v>
      </c>
      <c r="C682" s="9" t="str">
        <f>_xlfn.CONCAT(HEX2DEC(MID(Table14[[#This Row],[Color Code]], 1, 2))," , ",HEX2DEC(MID(Table14[[#This Row],[Color Code]], 3, 2))," , ",HEX2DEC(MID(Table14[[#This Row],[Color Code]], 5, 2)))</f>
        <v>131 , 138 , 139</v>
      </c>
      <c r="D6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73.11634564172364</v>
      </c>
      <c r="E682" t="str">
        <f>Table14[[#This Row],[Color Code]] &amp; " - " &amp;Table14[[#This Row],[Color Name]]</f>
        <v>838A8B - 8288</v>
      </c>
    </row>
    <row r="683" spans="1:5" x14ac:dyDescent="0.35">
      <c r="A683" s="17" t="s">
        <v>3322</v>
      </c>
      <c r="B683" t="s">
        <v>5581</v>
      </c>
      <c r="C683" s="9" t="str">
        <f>_xlfn.CONCAT(HEX2DEC(MID(Table14[[#This Row],[Color Code]], 1, 2))," , ",HEX2DEC(MID(Table14[[#This Row],[Color Code]], 3, 2))," , ",HEX2DEC(MID(Table14[[#This Row],[Color Code]], 5, 2)))</f>
        <v>251 , 218 , 151</v>
      </c>
      <c r="D6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73.11634564172364</v>
      </c>
      <c r="E683" t="str">
        <f>Table14[[#This Row],[Color Code]] &amp; " - " &amp;Table14[[#This Row],[Color Name]]</f>
        <v>FBDA97 - 7904</v>
      </c>
    </row>
    <row r="684" spans="1:5" x14ac:dyDescent="0.35">
      <c r="A684" s="17" t="s">
        <v>2710</v>
      </c>
      <c r="B684" t="s">
        <v>4918</v>
      </c>
      <c r="C684" s="9" t="str">
        <f>_xlfn.CONCAT(HEX2DEC(MID(Table14[[#This Row],[Color Code]], 1, 2))," , ",HEX2DEC(MID(Table14[[#This Row],[Color Code]], 3, 2))," , ",HEX2DEC(MID(Table14[[#This Row],[Color Code]], 5, 2)))</f>
        <v>140 , 152 , 201</v>
      </c>
      <c r="D6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73.136858012906188</v>
      </c>
      <c r="E684" t="str">
        <f>Table14[[#This Row],[Color Code]] &amp; " - " &amp;Table14[[#This Row],[Color Name]]</f>
        <v>8C98C9 - 7207</v>
      </c>
    </row>
    <row r="685" spans="1:5" x14ac:dyDescent="0.35">
      <c r="A685" s="17" t="s">
        <v>3177</v>
      </c>
      <c r="B685" t="s">
        <v>5435</v>
      </c>
      <c r="C685" s="9" t="str">
        <f>_xlfn.CONCAT(HEX2DEC(MID(Table14[[#This Row],[Color Code]], 1, 2))," , ",HEX2DEC(MID(Table14[[#This Row],[Color Code]], 3, 2))," , ",HEX2DEC(MID(Table14[[#This Row],[Color Code]], 5, 2)))</f>
        <v>223 , 209 , 98</v>
      </c>
      <c r="D6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73.252986287249755</v>
      </c>
      <c r="E685" t="str">
        <f>Table14[[#This Row],[Color Code]] &amp; " - " &amp;Table14[[#This Row],[Color Name]]</f>
        <v>DFD162 - K287</v>
      </c>
    </row>
    <row r="686" spans="1:5" x14ac:dyDescent="0.35">
      <c r="A686" s="17" t="s">
        <v>3538</v>
      </c>
      <c r="B686" t="s">
        <v>5807</v>
      </c>
      <c r="C686" s="9" t="str">
        <f>_xlfn.CONCAT(HEX2DEC(MID(Table14[[#This Row],[Color Code]], 1, 2))," , ",HEX2DEC(MID(Table14[[#This Row],[Color Code]], 3, 2))," , ",HEX2DEC(MID(Table14[[#This Row],[Color Code]], 5, 2)))</f>
        <v>249 , 197 , 196</v>
      </c>
      <c r="D6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73.579888556588614</v>
      </c>
      <c r="E686" t="str">
        <f>Table14[[#This Row],[Color Code]] &amp; " - " &amp;Table14[[#This Row],[Color Name]]</f>
        <v>F9C5C4 - 8057</v>
      </c>
    </row>
    <row r="687" spans="1:5" x14ac:dyDescent="0.35">
      <c r="A687" s="17" t="s">
        <v>3169</v>
      </c>
      <c r="B687" t="s">
        <v>5427</v>
      </c>
      <c r="C687" s="9" t="str">
        <f>_xlfn.CONCAT(HEX2DEC(MID(Table14[[#This Row],[Color Code]], 1, 2))," , ",HEX2DEC(MID(Table14[[#This Row],[Color Code]], 3, 2))," , ",HEX2DEC(MID(Table14[[#This Row],[Color Code]], 5, 2)))</f>
        <v>232 , 229 , 185</v>
      </c>
      <c r="D6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73.593477971896391</v>
      </c>
      <c r="E687" t="str">
        <f>Table14[[#This Row],[Color Code]] &amp; " - " &amp;Table14[[#This Row],[Color Name]]</f>
        <v>E8E5B9 - 7770</v>
      </c>
    </row>
    <row r="688" spans="1:5" x14ac:dyDescent="0.35">
      <c r="A688" s="17" t="s">
        <v>3656</v>
      </c>
      <c r="B688" t="s">
        <v>5928</v>
      </c>
      <c r="C688" s="9" t="str">
        <f>_xlfn.CONCAT(HEX2DEC(MID(Table14[[#This Row],[Color Code]], 1, 2))," , ",HEX2DEC(MID(Table14[[#This Row],[Color Code]], 3, 2))," , ",HEX2DEC(MID(Table14[[#This Row],[Color Code]], 5, 2)))</f>
        <v>227 , 190 , 218</v>
      </c>
      <c r="D6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73.61385739111897</v>
      </c>
      <c r="E688" t="str">
        <f>Table14[[#This Row],[Color Code]] &amp; " - " &amp;Table14[[#This Row],[Color Name]]</f>
        <v>E3BEDA - 8169</v>
      </c>
    </row>
    <row r="689" spans="1:5" x14ac:dyDescent="0.35">
      <c r="A689" s="17" t="s">
        <v>2939</v>
      </c>
      <c r="B689" t="s">
        <v>5171</v>
      </c>
      <c r="C689" s="9" t="str">
        <f>_xlfn.CONCAT(HEX2DEC(MID(Table14[[#This Row],[Color Code]], 1, 2))," , ",HEX2DEC(MID(Table14[[#This Row],[Color Code]], 3, 2))," , ",HEX2DEC(MID(Table14[[#This Row],[Color Code]], 5, 2)))</f>
        <v>170 , 220 , 209</v>
      </c>
      <c r="D6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73.654599313281182</v>
      </c>
      <c r="E689" t="str">
        <f>Table14[[#This Row],[Color Code]] &amp; " - " &amp;Table14[[#This Row],[Color Name]]</f>
        <v>AADCD1 - 7530</v>
      </c>
    </row>
    <row r="690" spans="1:5" x14ac:dyDescent="0.35">
      <c r="A690" s="17" t="s">
        <v>3829</v>
      </c>
      <c r="B690" t="s">
        <v>6141</v>
      </c>
      <c r="C690" s="9" t="str">
        <f>_xlfn.CONCAT(HEX2DEC(MID(Table14[[#This Row],[Color Code]], 1, 2))," , ",HEX2DEC(MID(Table14[[#This Row],[Color Code]], 3, 2))," , ",HEX2DEC(MID(Table14[[#This Row],[Color Code]], 5, 2)))</f>
        <v>213 , 218 , 211</v>
      </c>
      <c r="D6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73.661387442811588</v>
      </c>
      <c r="E690" t="str">
        <f>Table14[[#This Row],[Color Code]] &amp; " - " &amp;Table14[[#This Row],[Color Name]]</f>
        <v>D5DAD3 - 0956</v>
      </c>
    </row>
    <row r="691" spans="1:5" x14ac:dyDescent="0.35">
      <c r="A691" s="17" t="s">
        <v>2976</v>
      </c>
      <c r="B691" t="s">
        <v>5218</v>
      </c>
      <c r="C691" s="9" t="str">
        <f>_xlfn.CONCAT(HEX2DEC(MID(Table14[[#This Row],[Color Code]], 1, 2))," , ",HEX2DEC(MID(Table14[[#This Row],[Color Code]], 3, 2))," , ",HEX2DEC(MID(Table14[[#This Row],[Color Code]], 5, 2)))</f>
        <v>119 , 165 , 155</v>
      </c>
      <c r="D6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73.681748079154588</v>
      </c>
      <c r="E691" t="str">
        <f>Table14[[#This Row],[Color Code]] &amp; " - " &amp;Table14[[#This Row],[Color Name]]</f>
        <v>77A59B - 9745</v>
      </c>
    </row>
    <row r="692" spans="1:5" x14ac:dyDescent="0.35">
      <c r="A692" s="17" t="s">
        <v>4318</v>
      </c>
      <c r="B692" t="s">
        <v>6689</v>
      </c>
      <c r="C692" s="9" t="str">
        <f>_xlfn.CONCAT(HEX2DEC(MID(Table14[[#This Row],[Color Code]], 1, 2))," , ",HEX2DEC(MID(Table14[[#This Row],[Color Code]], 3, 2))," , ",HEX2DEC(MID(Table14[[#This Row],[Color Code]], 5, 2)))</f>
        <v>215 , 173 , 85</v>
      </c>
      <c r="D6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73.70888684548153</v>
      </c>
      <c r="E692" t="str">
        <f>Table14[[#This Row],[Color Code]] &amp; " - " &amp;Table14[[#This Row],[Color Name]]</f>
        <v>D7AD55 - X167</v>
      </c>
    </row>
    <row r="693" spans="1:5" x14ac:dyDescent="0.35">
      <c r="A693" s="17" t="s">
        <v>3148</v>
      </c>
      <c r="B693" t="s">
        <v>5404</v>
      </c>
      <c r="C693" s="9" t="str">
        <f>_xlfn.CONCAT(HEX2DEC(MID(Table14[[#This Row],[Color Code]], 1, 2))," , ",HEX2DEC(MID(Table14[[#This Row],[Color Code]], 3, 2))," , ",HEX2DEC(MID(Table14[[#This Row],[Color Code]], 5, 2)))</f>
        <v>231 , 233 , 179</v>
      </c>
      <c r="D6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73.898579147369261</v>
      </c>
      <c r="E693" t="str">
        <f>Table14[[#This Row],[Color Code]] &amp; " - " &amp;Table14[[#This Row],[Color Name]]</f>
        <v>E7E9B3 - 7745</v>
      </c>
    </row>
    <row r="694" spans="1:5" x14ac:dyDescent="0.35">
      <c r="A694" s="17" t="s">
        <v>2809</v>
      </c>
      <c r="B694" t="s">
        <v>5025</v>
      </c>
      <c r="C694" s="9" t="str">
        <f>_xlfn.CONCAT(HEX2DEC(MID(Table14[[#This Row],[Color Code]], 1, 2))," , ",HEX2DEC(MID(Table14[[#This Row],[Color Code]], 3, 2))," , ",HEX2DEC(MID(Table14[[#This Row],[Color Code]], 5, 2)))</f>
        <v>198 , 215 , 217</v>
      </c>
      <c r="D6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74.027022093286988</v>
      </c>
      <c r="E694" t="str">
        <f>Table14[[#This Row],[Color Code]] &amp; " - " &amp;Table14[[#This Row],[Color Name]]</f>
        <v>C6D7D9 - 1203</v>
      </c>
    </row>
    <row r="695" spans="1:5" x14ac:dyDescent="0.35">
      <c r="A695" s="17" t="s">
        <v>3523</v>
      </c>
      <c r="B695" t="s">
        <v>5791</v>
      </c>
      <c r="C695" s="9" t="str">
        <f>_xlfn.CONCAT(HEX2DEC(MID(Table14[[#This Row],[Color Code]], 1, 2))," , ",HEX2DEC(MID(Table14[[#This Row],[Color Code]], 3, 2))," , ",HEX2DEC(MID(Table14[[#This Row],[Color Code]], 5, 2)))</f>
        <v>250 , 201 , 193</v>
      </c>
      <c r="D6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74.05403432629447</v>
      </c>
      <c r="E695" t="str">
        <f>Table14[[#This Row],[Color Code]] &amp; " - " &amp;Table14[[#This Row],[Color Name]]</f>
        <v>FAC9C1 - 8049</v>
      </c>
    </row>
    <row r="696" spans="1:5" x14ac:dyDescent="0.35">
      <c r="A696" s="17" t="s">
        <v>3986</v>
      </c>
      <c r="B696" t="s">
        <v>6326</v>
      </c>
      <c r="C696" s="9" t="str">
        <f>_xlfn.CONCAT(HEX2DEC(MID(Table14[[#This Row],[Color Code]], 1, 2))," , ",HEX2DEC(MID(Table14[[#This Row],[Color Code]], 3, 2))," , ",HEX2DEC(MID(Table14[[#This Row],[Color Code]], 5, 2)))</f>
        <v>241 , 219 , 189</v>
      </c>
      <c r="D6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74.114775854751116</v>
      </c>
      <c r="E696" t="str">
        <f>Table14[[#This Row],[Color Code]] &amp; " - " &amp;Table14[[#This Row],[Color Name]]</f>
        <v>F1DBBD - 0387</v>
      </c>
    </row>
    <row r="697" spans="1:5" x14ac:dyDescent="0.35">
      <c r="A697" s="17" t="s">
        <v>3388</v>
      </c>
      <c r="B697" t="s">
        <v>5647</v>
      </c>
      <c r="C697" s="9" t="str">
        <f>_xlfn.CONCAT(HEX2DEC(MID(Table14[[#This Row],[Color Code]], 1, 2))," , ",HEX2DEC(MID(Table14[[#This Row],[Color Code]], 3, 2))," , ",HEX2DEC(MID(Table14[[#This Row],[Color Code]], 5, 2)))</f>
        <v>253 , 214 , 171</v>
      </c>
      <c r="D6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74.148499647666512</v>
      </c>
      <c r="E697" t="str">
        <f>Table14[[#This Row],[Color Code]] &amp; " - " &amp;Table14[[#This Row],[Color Name]]</f>
        <v>FDD6AB - 7969</v>
      </c>
    </row>
    <row r="698" spans="1:5" x14ac:dyDescent="0.35">
      <c r="A698" s="17" t="s">
        <v>2716</v>
      </c>
      <c r="B698" t="s">
        <v>4924</v>
      </c>
      <c r="C698" s="9" t="str">
        <f>_xlfn.CONCAT(HEX2DEC(MID(Table14[[#This Row],[Color Code]], 1, 2))," , ",HEX2DEC(MID(Table14[[#This Row],[Color Code]], 3, 2))," , ",HEX2DEC(MID(Table14[[#This Row],[Color Code]], 5, 2)))</f>
        <v>184 , 195 , 226</v>
      </c>
      <c r="D6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74.195687206198173</v>
      </c>
      <c r="E698" t="str">
        <f>Table14[[#This Row],[Color Code]] &amp; " - " &amp;Table14[[#This Row],[Color Name]]</f>
        <v>B8C3E2 - 7217</v>
      </c>
    </row>
    <row r="699" spans="1:5" x14ac:dyDescent="0.35">
      <c r="A699" s="17" t="s">
        <v>3893</v>
      </c>
      <c r="B699" t="s">
        <v>6218</v>
      </c>
      <c r="C699" s="9" t="str">
        <f>_xlfn.CONCAT(HEX2DEC(MID(Table14[[#This Row],[Color Code]], 1, 2))," , ",HEX2DEC(MID(Table14[[#This Row],[Color Code]], 3, 2))," , ",HEX2DEC(MID(Table14[[#This Row],[Color Code]], 5, 2)))</f>
        <v>138 , 141 , 117</v>
      </c>
      <c r="D6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74.269778510508573</v>
      </c>
      <c r="E699" t="str">
        <f>Table14[[#This Row],[Color Code]] &amp; " - " &amp;Table14[[#This Row],[Color Name]]</f>
        <v>8A8D75 - 8407</v>
      </c>
    </row>
    <row r="700" spans="1:5" x14ac:dyDescent="0.35">
      <c r="A700" s="17" t="s">
        <v>3562</v>
      </c>
      <c r="B700" t="s">
        <v>5831</v>
      </c>
      <c r="C700" s="9" t="str">
        <f>_xlfn.CONCAT(HEX2DEC(MID(Table14[[#This Row],[Color Code]], 1, 2))," , ",HEX2DEC(MID(Table14[[#This Row],[Color Code]], 3, 2))," , ",HEX2DEC(MID(Table14[[#This Row],[Color Code]], 5, 2)))</f>
        <v>246 , 199 , 200</v>
      </c>
      <c r="D7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74.276510418839678</v>
      </c>
      <c r="E700" t="str">
        <f>Table14[[#This Row],[Color Code]] &amp; " - " &amp;Table14[[#This Row],[Color Name]]</f>
        <v>F6C7C8 - 9410</v>
      </c>
    </row>
    <row r="701" spans="1:5" x14ac:dyDescent="0.35">
      <c r="A701" s="17" t="s">
        <v>3634</v>
      </c>
      <c r="B701" t="s">
        <v>5904</v>
      </c>
      <c r="C701" s="9" t="str">
        <f>_xlfn.CONCAT(HEX2DEC(MID(Table14[[#This Row],[Color Code]], 1, 2))," , ",HEX2DEC(MID(Table14[[#This Row],[Color Code]], 3, 2))," , ",HEX2DEC(MID(Table14[[#This Row],[Color Code]], 5, 2)))</f>
        <v>155 , 118 , 125</v>
      </c>
      <c r="D7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74.283241717092551</v>
      </c>
      <c r="E701" t="str">
        <f>Table14[[#This Row],[Color Code]] &amp; " - " &amp;Table14[[#This Row],[Color Name]]</f>
        <v>9B767D - K026</v>
      </c>
    </row>
    <row r="702" spans="1:5" x14ac:dyDescent="0.35">
      <c r="A702" s="17" t="s">
        <v>4500</v>
      </c>
      <c r="B702" t="s">
        <v>6082</v>
      </c>
      <c r="C702" s="9" t="str">
        <f>_xlfn.CONCAT(HEX2DEC(MID(Table14[[#This Row],[Color Code]], 1, 2))," , ",HEX2DEC(MID(Table14[[#This Row],[Color Code]], 3, 2))," , ",HEX2DEC(MID(Table14[[#This Row],[Color Code]], 5, 2)))</f>
        <v>134 , 134 , 133</v>
      </c>
      <c r="D7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74.357245780085208</v>
      </c>
      <c r="E702" t="str">
        <f>Table14[[#This Row],[Color Code]] &amp; " - " &amp;Table14[[#This Row],[Color Name]]</f>
        <v>868685 - 8295</v>
      </c>
    </row>
    <row r="703" spans="1:5" x14ac:dyDescent="0.35">
      <c r="A703" s="17" t="s">
        <v>3355</v>
      </c>
      <c r="B703" t="s">
        <v>5614</v>
      </c>
      <c r="C703" s="9" t="str">
        <f>_xlfn.CONCAT(HEX2DEC(MID(Table14[[#This Row],[Color Code]], 1, 2))," , ",HEX2DEC(MID(Table14[[#This Row],[Color Code]], 3, 2))," , ",HEX2DEC(MID(Table14[[#This Row],[Color Code]], 5, 2)))</f>
        <v>217 , 158 , 87</v>
      </c>
      <c r="D7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74.417739820556221</v>
      </c>
      <c r="E703" t="str">
        <f>Table14[[#This Row],[Color Code]] &amp; " - " &amp;Table14[[#This Row],[Color Name]]</f>
        <v>D99E57 - 7934</v>
      </c>
    </row>
    <row r="704" spans="1:5" x14ac:dyDescent="0.35">
      <c r="A704" s="17" t="s">
        <v>3608</v>
      </c>
      <c r="B704" t="s">
        <v>5878</v>
      </c>
      <c r="C704" s="9" t="str">
        <f>_xlfn.CONCAT(HEX2DEC(MID(Table14[[#This Row],[Color Code]], 1, 2))," , ",HEX2DEC(MID(Table14[[#This Row],[Color Code]], 3, 2))," , ",HEX2DEC(MID(Table14[[#This Row],[Color Code]], 5, 2)))</f>
        <v>242 , 196 , 206</v>
      </c>
      <c r="D7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74.444610281739003</v>
      </c>
      <c r="E704" t="str">
        <f>Table14[[#This Row],[Color Code]] &amp; " - " &amp;Table14[[#This Row],[Color Name]]</f>
        <v>F2C4CE - K013</v>
      </c>
    </row>
    <row r="705" spans="1:5" x14ac:dyDescent="0.35">
      <c r="A705" s="17" t="s">
        <v>3617</v>
      </c>
      <c r="B705" t="s">
        <v>5887</v>
      </c>
      <c r="C705" s="9" t="str">
        <f>_xlfn.CONCAT(HEX2DEC(MID(Table14[[#This Row],[Color Code]], 1, 2))," , ",HEX2DEC(MID(Table14[[#This Row],[Color Code]], 3, 2))," , ",HEX2DEC(MID(Table14[[#This Row],[Color Code]], 5, 2)))</f>
        <v>240 , 190 , 210</v>
      </c>
      <c r="D7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74.525163535546838</v>
      </c>
      <c r="E705" t="str">
        <f>Table14[[#This Row],[Color Code]] &amp; " - " &amp;Table14[[#This Row],[Color Name]]</f>
        <v>F0BED2 - 8129</v>
      </c>
    </row>
    <row r="706" spans="1:5" x14ac:dyDescent="0.35">
      <c r="A706" s="17" t="s">
        <v>2897</v>
      </c>
      <c r="B706" t="s">
        <v>5121</v>
      </c>
      <c r="C706" s="9" t="str">
        <f>_xlfn.CONCAT(HEX2DEC(MID(Table14[[#This Row],[Color Code]], 1, 2))," , ",HEX2DEC(MID(Table14[[#This Row],[Color Code]], 3, 2))," , ",HEX2DEC(MID(Table14[[#This Row],[Color Code]], 5, 2)))</f>
        <v>199 , 220 , 214</v>
      </c>
      <c r="D7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74.531872376856327</v>
      </c>
      <c r="E706" t="str">
        <f>Table14[[#This Row],[Color Code]] &amp; " - " &amp;Table14[[#This Row],[Color Name]]</f>
        <v>C7DCD6 - 7483</v>
      </c>
    </row>
    <row r="707" spans="1:5" x14ac:dyDescent="0.35">
      <c r="A707" s="17" t="s">
        <v>2931</v>
      </c>
      <c r="B707" t="s">
        <v>5161</v>
      </c>
      <c r="C707" s="9" t="str">
        <f>_xlfn.CONCAT(HEX2DEC(MID(Table14[[#This Row],[Color Code]], 1, 2))," , ",HEX2DEC(MID(Table14[[#This Row],[Color Code]], 3, 2))," , ",HEX2DEC(MID(Table14[[#This Row],[Color Code]], 5, 2)))</f>
        <v>190 , 222 , 213</v>
      </c>
      <c r="D7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74.679314404994372</v>
      </c>
      <c r="E707" t="str">
        <f>Table14[[#This Row],[Color Code]] &amp; " - " &amp;Table14[[#This Row],[Color Name]]</f>
        <v>BEDED5 - 9266</v>
      </c>
    </row>
    <row r="708" spans="1:5" x14ac:dyDescent="0.35">
      <c r="A708" s="17" t="s">
        <v>3323</v>
      </c>
      <c r="B708" t="s">
        <v>5582</v>
      </c>
      <c r="C708" s="9" t="str">
        <f>_xlfn.CONCAT(HEX2DEC(MID(Table14[[#This Row],[Color Code]], 1, 2))," , ",HEX2DEC(MID(Table14[[#This Row],[Color Code]], 3, 2))," , ",HEX2DEC(MID(Table14[[#This Row],[Color Code]], 5, 2)))</f>
        <v>249 , 206 , 118</v>
      </c>
      <c r="D7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74.692703793610264</v>
      </c>
      <c r="E708" t="str">
        <f>Table14[[#This Row],[Color Code]] &amp; " - " &amp;Table14[[#This Row],[Color Name]]</f>
        <v>F9CE76 - 7903</v>
      </c>
    </row>
    <row r="709" spans="1:5" x14ac:dyDescent="0.35">
      <c r="A709" s="17" t="s">
        <v>2992</v>
      </c>
      <c r="B709" t="s">
        <v>5236</v>
      </c>
      <c r="C709" s="9" t="str">
        <f>_xlfn.CONCAT(HEX2DEC(MID(Table14[[#This Row],[Color Code]], 1, 2))," , ",HEX2DEC(MID(Table14[[#This Row],[Color Code]], 3, 2))," , ",HEX2DEC(MID(Table14[[#This Row],[Color Code]], 5, 2)))</f>
        <v>152 , 223 , 196</v>
      </c>
      <c r="D7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74.732857566133518</v>
      </c>
      <c r="E709" t="str">
        <f>Table14[[#This Row],[Color Code]] &amp; " - " &amp;Table14[[#This Row],[Color Name]]</f>
        <v>98DFC4 - 7569</v>
      </c>
    </row>
    <row r="710" spans="1:5" x14ac:dyDescent="0.35">
      <c r="A710" s="17" t="s">
        <v>3762</v>
      </c>
      <c r="B710" t="s">
        <v>6055</v>
      </c>
      <c r="C710" s="9" t="str">
        <f>_xlfn.CONCAT(HEX2DEC(MID(Table14[[#This Row],[Color Code]], 1, 2))," , ",HEX2DEC(MID(Table14[[#This Row],[Color Code]], 3, 2))," , ",HEX2DEC(MID(Table14[[#This Row],[Color Code]], 5, 2)))</f>
        <v>208 , 218 , 214</v>
      </c>
      <c r="D7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74.739547764219182</v>
      </c>
      <c r="E710" t="str">
        <f>Table14[[#This Row],[Color Code]] &amp; " - " &amp;Table14[[#This Row],[Color Name]]</f>
        <v>D0DAD6 - 9475</v>
      </c>
    </row>
    <row r="711" spans="1:5" x14ac:dyDescent="0.35">
      <c r="A711" s="17" t="s">
        <v>3503</v>
      </c>
      <c r="B711" t="s">
        <v>5770</v>
      </c>
      <c r="C711" s="9" t="str">
        <f>_xlfn.CONCAT(HEX2DEC(MID(Table14[[#This Row],[Color Code]], 1, 2))," , ",HEX2DEC(MID(Table14[[#This Row],[Color Code]], 3, 2))," , ",HEX2DEC(MID(Table14[[#This Row],[Color Code]], 5, 2)))</f>
        <v>220 , 127 , 105</v>
      </c>
      <c r="D7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74.752926364123027</v>
      </c>
      <c r="E711" t="str">
        <f>Table14[[#This Row],[Color Code]] &amp; " - " &amp;Table14[[#This Row],[Color Name]]</f>
        <v>DC7F69 - 8030</v>
      </c>
    </row>
    <row r="712" spans="1:5" x14ac:dyDescent="0.35">
      <c r="A712" s="17" t="s">
        <v>3256</v>
      </c>
      <c r="B712" t="s">
        <v>5515</v>
      </c>
      <c r="C712" s="9" t="str">
        <f>_xlfn.CONCAT(HEX2DEC(MID(Table14[[#This Row],[Color Code]], 1, 2))," , ",HEX2DEC(MID(Table14[[#This Row],[Color Code]], 3, 2))," , ",HEX2DEC(MID(Table14[[#This Row],[Color Code]], 5, 2)))</f>
        <v>242 , 209 , 111</v>
      </c>
      <c r="D7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74.779676383359671</v>
      </c>
      <c r="E712" t="str">
        <f>Table14[[#This Row],[Color Code]] &amp; " - " &amp;Table14[[#This Row],[Color Name]]</f>
        <v>F2D16F - 9867</v>
      </c>
    </row>
    <row r="713" spans="1:5" x14ac:dyDescent="0.35">
      <c r="A713" s="17" t="s">
        <v>4044</v>
      </c>
      <c r="B713" t="s">
        <v>6386</v>
      </c>
      <c r="C713" s="9" t="str">
        <f>_xlfn.CONCAT(HEX2DEC(MID(Table14[[#This Row],[Color Code]], 1, 2))," , ",HEX2DEC(MID(Table14[[#This Row],[Color Code]], 3, 2))," , ",HEX2DEC(MID(Table14[[#This Row],[Color Code]], 5, 2)))</f>
        <v>164 , 129 , 103</v>
      </c>
      <c r="D7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74.85986908885161</v>
      </c>
      <c r="E713" t="str">
        <f>Table14[[#This Row],[Color Code]] &amp; " - " &amp;Table14[[#This Row],[Color Name]]</f>
        <v>A48167 - 8575</v>
      </c>
    </row>
    <row r="714" spans="1:5" x14ac:dyDescent="0.35">
      <c r="A714" s="17" t="s">
        <v>4198</v>
      </c>
      <c r="B714" t="s">
        <v>6554</v>
      </c>
      <c r="C714" s="9" t="str">
        <f>_xlfn.CONCAT(HEX2DEC(MID(Table14[[#This Row],[Color Code]], 1, 2))," , ",HEX2DEC(MID(Table14[[#This Row],[Color Code]], 3, 2))," , ",HEX2DEC(MID(Table14[[#This Row],[Color Code]], 5, 2)))</f>
        <v>152 , 121 , 122</v>
      </c>
      <c r="D7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74.866547936979174</v>
      </c>
      <c r="E714" t="str">
        <f>Table14[[#This Row],[Color Code]] &amp; " - " &amp;Table14[[#This Row],[Color Name]]</f>
        <v>98797A - 8687</v>
      </c>
    </row>
    <row r="715" spans="1:5" x14ac:dyDescent="0.35">
      <c r="A715" s="17" t="s">
        <v>4168</v>
      </c>
      <c r="B715" t="s">
        <v>6522</v>
      </c>
      <c r="C715" s="9" t="str">
        <f>_xlfn.CONCAT(HEX2DEC(MID(Table14[[#This Row],[Color Code]], 1, 2))," , ",HEX2DEC(MID(Table14[[#This Row],[Color Code]], 3, 2))," , ",HEX2DEC(MID(Table14[[#This Row],[Color Code]], 5, 2)))</f>
        <v>173 , 119 , 109</v>
      </c>
      <c r="D7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74.919957287761449</v>
      </c>
      <c r="E715" t="str">
        <f>Table14[[#This Row],[Color Code]] &amp; " - " &amp;Table14[[#This Row],[Color Name]]</f>
        <v>AD776D - K244</v>
      </c>
    </row>
    <row r="716" spans="1:5" x14ac:dyDescent="0.35">
      <c r="A716" s="17" t="s">
        <v>3661</v>
      </c>
      <c r="B716" t="s">
        <v>5933</v>
      </c>
      <c r="C716" s="9" t="str">
        <f>_xlfn.CONCAT(HEX2DEC(MID(Table14[[#This Row],[Color Code]], 1, 2))," , ",HEX2DEC(MID(Table14[[#This Row],[Color Code]], 3, 2))," , ",HEX2DEC(MID(Table14[[#This Row],[Color Code]], 5, 2)))</f>
        <v>224 , 216 , 209</v>
      </c>
      <c r="D7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74.973328590906249</v>
      </c>
      <c r="E716" t="str">
        <f>Table14[[#This Row],[Color Code]] &amp; " - " &amp;Table14[[#This Row],[Color Name]]</f>
        <v>E0D8D1 - K041</v>
      </c>
    </row>
    <row r="717" spans="1:5" x14ac:dyDescent="0.35">
      <c r="A717" s="17" t="s">
        <v>2902</v>
      </c>
      <c r="B717" t="s">
        <v>5129</v>
      </c>
      <c r="C717" s="9" t="str">
        <f>_xlfn.CONCAT(HEX2DEC(MID(Table14[[#This Row],[Color Code]], 1, 2))," , ",HEX2DEC(MID(Table14[[#This Row],[Color Code]], 3, 2))," , ",HEX2DEC(MID(Table14[[#This Row],[Color Code]], 5, 2)))</f>
        <v>186 , 221 , 214</v>
      </c>
      <c r="D7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75.053314383843173</v>
      </c>
      <c r="E717" t="str">
        <f>Table14[[#This Row],[Color Code]] &amp; " - " &amp;Table14[[#This Row],[Color Name]]</f>
        <v>BADDD6 - 7490</v>
      </c>
    </row>
    <row r="718" spans="1:5" x14ac:dyDescent="0.35">
      <c r="A718" s="17" t="s">
        <v>2945</v>
      </c>
      <c r="B718" t="s">
        <v>5178</v>
      </c>
      <c r="C718" s="9" t="str">
        <f>_xlfn.CONCAT(HEX2DEC(MID(Table14[[#This Row],[Color Code]], 1, 2))," , ",HEX2DEC(MID(Table14[[#This Row],[Color Code]], 3, 2))," , ",HEX2DEC(MID(Table14[[#This Row],[Color Code]], 5, 2)))</f>
        <v>192 , 225 , 211</v>
      </c>
      <c r="D7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75.073297516493838</v>
      </c>
      <c r="E718" t="str">
        <f>Table14[[#This Row],[Color Code]] &amp; " - " &amp;Table14[[#This Row],[Color Name]]</f>
        <v>C0E1D3 - 7547</v>
      </c>
    </row>
    <row r="719" spans="1:5" x14ac:dyDescent="0.35">
      <c r="A719" s="17" t="s">
        <v>3774</v>
      </c>
      <c r="B719" t="s">
        <v>6069</v>
      </c>
      <c r="C719" s="9" t="str">
        <f>_xlfn.CONCAT(HEX2DEC(MID(Table14[[#This Row],[Color Code]], 1, 2))," , ",HEX2DEC(MID(Table14[[#This Row],[Color Code]], 3, 2))," , ",HEX2DEC(MID(Table14[[#This Row],[Color Code]], 5, 2)))</f>
        <v>213 , 215 , 215</v>
      </c>
      <c r="D7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75.106590922501596</v>
      </c>
      <c r="E719" t="str">
        <f>Table14[[#This Row],[Color Code]] &amp; " - " &amp;Table14[[#This Row],[Color Name]]</f>
        <v>D5D7D7 - K100</v>
      </c>
    </row>
    <row r="720" spans="1:5" x14ac:dyDescent="0.35">
      <c r="A720" s="17" t="s">
        <v>4162</v>
      </c>
      <c r="B720" t="s">
        <v>6515</v>
      </c>
      <c r="C720" s="9" t="str">
        <f>_xlfn.CONCAT(HEX2DEC(MID(Table14[[#This Row],[Color Code]], 1, 2))," , ",HEX2DEC(MID(Table14[[#This Row],[Color Code]], 3, 2))," , ",HEX2DEC(MID(Table14[[#This Row],[Color Code]], 5, 2)))</f>
        <v>159 , 123 , 112</v>
      </c>
      <c r="D7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75.113247832855691</v>
      </c>
      <c r="E720" t="str">
        <f>Table14[[#This Row],[Color Code]] &amp; " - " &amp;Table14[[#This Row],[Color Name]]</f>
        <v>9F7B70 - K237</v>
      </c>
    </row>
    <row r="721" spans="1:5" x14ac:dyDescent="0.35">
      <c r="A721" s="17" t="s">
        <v>3381</v>
      </c>
      <c r="B721" t="s">
        <v>5640</v>
      </c>
      <c r="C721" s="9" t="str">
        <f>_xlfn.CONCAT(HEX2DEC(MID(Table14[[#This Row],[Color Code]], 1, 2))," , ",HEX2DEC(MID(Table14[[#This Row],[Color Code]], 3, 2))," , ",HEX2DEC(MID(Table14[[#This Row],[Color Code]], 5, 2)))</f>
        <v>254 , 217 , 161</v>
      </c>
      <c r="D7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75.126559883971794</v>
      </c>
      <c r="E721" t="str">
        <f>Table14[[#This Row],[Color Code]] &amp; " - " &amp;Table14[[#This Row],[Color Name]]</f>
        <v>FED9A1 - 7961</v>
      </c>
    </row>
    <row r="722" spans="1:5" x14ac:dyDescent="0.35">
      <c r="A722" s="17" t="s">
        <v>3042</v>
      </c>
      <c r="B722" t="s">
        <v>5287</v>
      </c>
      <c r="C722" s="9" t="str">
        <f>_xlfn.CONCAT(HEX2DEC(MID(Table14[[#This Row],[Color Code]], 1, 2))," , ",HEX2DEC(MID(Table14[[#This Row],[Color Code]], 3, 2))," , ",HEX2DEC(MID(Table14[[#This Row],[Color Code]], 5, 2)))</f>
        <v>148 , 194 , 97</v>
      </c>
      <c r="D7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75.23961722390672</v>
      </c>
      <c r="E722" t="str">
        <f>Table14[[#This Row],[Color Code]] &amp; " - " &amp;Table14[[#This Row],[Color Name]]</f>
        <v>94C261 - 7662</v>
      </c>
    </row>
    <row r="723" spans="1:5" x14ac:dyDescent="0.35">
      <c r="A723" s="17" t="s">
        <v>4207</v>
      </c>
      <c r="B723" t="s">
        <v>6565</v>
      </c>
      <c r="C723" s="9" t="str">
        <f>_xlfn.CONCAT(HEX2DEC(MID(Table14[[#This Row],[Color Code]], 1, 2))," , ",HEX2DEC(MID(Table14[[#This Row],[Color Code]], 3, 2))," , ",HEX2DEC(MID(Table14[[#This Row],[Color Code]], 5, 2)))</f>
        <v>230 , 208 , 211</v>
      </c>
      <c r="D7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75.292761936324268</v>
      </c>
      <c r="E723" t="str">
        <f>Table14[[#This Row],[Color Code]] &amp; " - " &amp;Table14[[#This Row],[Color Name]]</f>
        <v>E6D0D3 - 0481</v>
      </c>
    </row>
    <row r="724" spans="1:5" x14ac:dyDescent="0.35">
      <c r="A724" s="17" t="s">
        <v>2745</v>
      </c>
      <c r="B724" t="s">
        <v>4957</v>
      </c>
      <c r="C724" s="9" t="str">
        <f>_xlfn.CONCAT(HEX2DEC(MID(Table14[[#This Row],[Color Code]], 1, 2))," , ",HEX2DEC(MID(Table14[[#This Row],[Color Code]], 3, 2))," , ",HEX2DEC(MID(Table14[[#This Row],[Color Code]], 5, 2)))</f>
        <v>148 , 179 , 216</v>
      </c>
      <c r="D7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75.319320230602187</v>
      </c>
      <c r="E724" t="str">
        <f>Table14[[#This Row],[Color Code]] &amp; " - " &amp;Table14[[#This Row],[Color Name]]</f>
        <v>94B3D8 - 7248</v>
      </c>
    </row>
    <row r="725" spans="1:5" x14ac:dyDescent="0.35">
      <c r="A725" s="17" t="s">
        <v>4377</v>
      </c>
      <c r="B725" t="s">
        <v>6758</v>
      </c>
      <c r="C725" s="9" t="str">
        <f>_xlfn.CONCAT(HEX2DEC(MID(Table14[[#This Row],[Color Code]], 1, 2))," , ",HEX2DEC(MID(Table14[[#This Row],[Color Code]], 3, 2))," , ",HEX2DEC(MID(Table14[[#This Row],[Color Code]], 5, 2)))</f>
        <v>197 , 100 , 150</v>
      </c>
      <c r="D7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75.332595866596819</v>
      </c>
      <c r="E725" t="str">
        <f>Table14[[#This Row],[Color Code]] &amp; " - " &amp;Table14[[#This Row],[Color Name]]</f>
        <v>C56496 - X205</v>
      </c>
    </row>
    <row r="726" spans="1:5" x14ac:dyDescent="0.35">
      <c r="A726" s="17" t="s">
        <v>3292</v>
      </c>
      <c r="B726" t="s">
        <v>5551</v>
      </c>
      <c r="C726" s="9" t="str">
        <f>_xlfn.CONCAT(HEX2DEC(MID(Table14[[#This Row],[Color Code]], 1, 2))," , ",HEX2DEC(MID(Table14[[#This Row],[Color Code]], 3, 2))," , ",HEX2DEC(MID(Table14[[#This Row],[Color Code]], 5, 2)))</f>
        <v>207 , 164 , 82</v>
      </c>
      <c r="D7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75.332595866596819</v>
      </c>
      <c r="E726" t="str">
        <f>Table14[[#This Row],[Color Code]] &amp; " - " &amp;Table14[[#This Row],[Color Name]]</f>
        <v>CFA452 - 7878</v>
      </c>
    </row>
    <row r="727" spans="1:5" x14ac:dyDescent="0.35">
      <c r="A727" s="17" t="s">
        <v>2456</v>
      </c>
      <c r="B727" t="s">
        <v>4648</v>
      </c>
      <c r="C727" s="9" t="str">
        <f>_xlfn.CONCAT(HEX2DEC(MID(Table14[[#This Row],[Color Code]], 1, 2))," , ",HEX2DEC(MID(Table14[[#This Row],[Color Code]], 3, 2))," , ",HEX2DEC(MID(Table14[[#This Row],[Color Code]], 5, 2)))</f>
        <v>230 , 220 , 202</v>
      </c>
      <c r="D7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75.352504935138029</v>
      </c>
      <c r="E727" t="str">
        <f>Table14[[#This Row],[Color Code]] &amp; " - " &amp;Table14[[#This Row],[Color Name]]</f>
        <v>E6DCCA - L135</v>
      </c>
    </row>
    <row r="728" spans="1:5" x14ac:dyDescent="0.35">
      <c r="A728" s="17" t="s">
        <v>3017</v>
      </c>
      <c r="B728" t="s">
        <v>5261</v>
      </c>
      <c r="C728" s="9" t="str">
        <f>_xlfn.CONCAT(HEX2DEC(MID(Table14[[#This Row],[Color Code]], 1, 2))," , ",HEX2DEC(MID(Table14[[#This Row],[Color Code]], 3, 2))," , ",HEX2DEC(MID(Table14[[#This Row],[Color Code]], 5, 2)))</f>
        <v>119 , 185 , 139</v>
      </c>
      <c r="D7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75.398938984577228</v>
      </c>
      <c r="E728" t="str">
        <f>Table14[[#This Row],[Color Code]] &amp; " - " &amp;Table14[[#This Row],[Color Name]]</f>
        <v>77B98B - 7607</v>
      </c>
    </row>
    <row r="729" spans="1:5" x14ac:dyDescent="0.35">
      <c r="A729" s="17" t="s">
        <v>3213</v>
      </c>
      <c r="B729" t="s">
        <v>5471</v>
      </c>
      <c r="C729" s="9" t="str">
        <f>_xlfn.CONCAT(HEX2DEC(MID(Table14[[#This Row],[Color Code]], 1, 2))," , ",HEX2DEC(MID(Table14[[#This Row],[Color Code]], 3, 2))," , ",HEX2DEC(MID(Table14[[#This Row],[Color Code]], 5, 2)))</f>
        <v>166 , 152 , 88</v>
      </c>
      <c r="D7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75.458597919653926</v>
      </c>
      <c r="E729" t="str">
        <f>Table14[[#This Row],[Color Code]] &amp; " - " &amp;Table14[[#This Row],[Color Name]]</f>
        <v>A69858 - 7806</v>
      </c>
    </row>
    <row r="730" spans="1:5" x14ac:dyDescent="0.35">
      <c r="A730" s="17" t="s">
        <v>3768</v>
      </c>
      <c r="B730" t="s">
        <v>6061</v>
      </c>
      <c r="C730" s="9" t="str">
        <f>_xlfn.CONCAT(HEX2DEC(MID(Table14[[#This Row],[Color Code]], 1, 2))," , ",HEX2DEC(MID(Table14[[#This Row],[Color Code]], 3, 2))," , ",HEX2DEC(MID(Table14[[#This Row],[Color Code]], 5, 2)))</f>
        <v>205 , 216 , 217</v>
      </c>
      <c r="D7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75.458597919653926</v>
      </c>
      <c r="E730" t="str">
        <f>Table14[[#This Row],[Color Code]] &amp; " - " &amp;Table14[[#This Row],[Color Name]]</f>
        <v>CDD8D9 - 8275</v>
      </c>
    </row>
    <row r="731" spans="1:5" x14ac:dyDescent="0.35">
      <c r="A731" s="17" t="s">
        <v>2663</v>
      </c>
      <c r="B731" t="s">
        <v>4870</v>
      </c>
      <c r="C731" s="9" t="str">
        <f>_xlfn.CONCAT(HEX2DEC(MID(Table14[[#This Row],[Color Code]], 1, 2))," , ",HEX2DEC(MID(Table14[[#This Row],[Color Code]], 3, 2))," , ",HEX2DEC(MID(Table14[[#This Row],[Color Code]], 5, 2)))</f>
        <v>136 , 125 , 163</v>
      </c>
      <c r="D7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75.498344352707491</v>
      </c>
      <c r="E731" t="str">
        <f>Table14[[#This Row],[Color Code]] &amp; " - " &amp;Table14[[#This Row],[Color Name]]</f>
        <v>887DA3 - 7150</v>
      </c>
    </row>
    <row r="732" spans="1:5" x14ac:dyDescent="0.35">
      <c r="A732" s="17" t="s">
        <v>3288</v>
      </c>
      <c r="B732" t="s">
        <v>5547</v>
      </c>
      <c r="C732" s="9" t="str">
        <f>_xlfn.CONCAT(HEX2DEC(MID(Table14[[#This Row],[Color Code]], 1, 2))," , ",HEX2DEC(MID(Table14[[#This Row],[Color Code]], 3, 2))," , ",HEX2DEC(MID(Table14[[#This Row],[Color Code]], 5, 2)))</f>
        <v>244 , 224 , 180</v>
      </c>
      <c r="D7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75.696763471102244</v>
      </c>
      <c r="E732" t="str">
        <f>Table14[[#This Row],[Color Code]] &amp; " - " &amp;Table14[[#This Row],[Color Name]]</f>
        <v>F4E0B4 - 7882</v>
      </c>
    </row>
    <row r="733" spans="1:5" x14ac:dyDescent="0.35">
      <c r="A733" s="17" t="s">
        <v>3314</v>
      </c>
      <c r="B733" t="s">
        <v>5573</v>
      </c>
      <c r="C733" s="9" t="str">
        <f>_xlfn.CONCAT(HEX2DEC(MID(Table14[[#This Row],[Color Code]], 1, 2))," , ",HEX2DEC(MID(Table14[[#This Row],[Color Code]], 3, 2))," , ",HEX2DEC(MID(Table14[[#This Row],[Color Code]], 5, 2)))</f>
        <v>253 , 217 , 139</v>
      </c>
      <c r="D7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75.769386958058462</v>
      </c>
      <c r="E733" t="str">
        <f>Table14[[#This Row],[Color Code]] &amp; " - " &amp;Table14[[#This Row],[Color Name]]</f>
        <v>FDD98B - 7896</v>
      </c>
    </row>
    <row r="734" spans="1:5" x14ac:dyDescent="0.35">
      <c r="A734" s="17" t="s">
        <v>3361</v>
      </c>
      <c r="B734" t="s">
        <v>5620</v>
      </c>
      <c r="C734" s="9" t="str">
        <f>_xlfn.CONCAT(HEX2DEC(MID(Table14[[#This Row],[Color Code]], 1, 2))," , ",HEX2DEC(MID(Table14[[#This Row],[Color Code]], 3, 2))," , ",HEX2DEC(MID(Table14[[#This Row],[Color Code]], 5, 2)))</f>
        <v>254 , 217 , 143</v>
      </c>
      <c r="D7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75.841940903434164</v>
      </c>
      <c r="E734" t="str">
        <f>Table14[[#This Row],[Color Code]] &amp; " - " &amp;Table14[[#This Row],[Color Name]]</f>
        <v>FED98F - 7944</v>
      </c>
    </row>
    <row r="735" spans="1:5" x14ac:dyDescent="0.35">
      <c r="A735" s="17" t="s">
        <v>3002</v>
      </c>
      <c r="B735" t="s">
        <v>5246</v>
      </c>
      <c r="C735" s="9" t="str">
        <f>_xlfn.CONCAT(HEX2DEC(MID(Table14[[#This Row],[Color Code]], 1, 2))," , ",HEX2DEC(MID(Table14[[#This Row],[Color Code]], 3, 2))," , ",HEX2DEC(MID(Table14[[#This Row],[Color Code]], 5, 2)))</f>
        <v>119 , 163 , 138</v>
      </c>
      <c r="D7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75.907838857393372</v>
      </c>
      <c r="E735" t="str">
        <f>Table14[[#This Row],[Color Code]] &amp; " - " &amp;Table14[[#This Row],[Color Name]]</f>
        <v>77A38A - 7583</v>
      </c>
    </row>
    <row r="736" spans="1:5" x14ac:dyDescent="0.35">
      <c r="A736" s="17" t="s">
        <v>4130</v>
      </c>
      <c r="B736" t="s">
        <v>6482</v>
      </c>
      <c r="C736" s="9" t="str">
        <f>_xlfn.CONCAT(HEX2DEC(MID(Table14[[#This Row],[Color Code]], 1, 2))," , ",HEX2DEC(MID(Table14[[#This Row],[Color Code]], 3, 2))," , ",HEX2DEC(MID(Table14[[#This Row],[Color Code]], 5, 2)))</f>
        <v>153 , 125 , 113</v>
      </c>
      <c r="D7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76.05918747922567</v>
      </c>
      <c r="E736" t="str">
        <f>Table14[[#This Row],[Color Code]] &amp; " - " &amp;Table14[[#This Row],[Color Name]]</f>
        <v>997D71 - 8647</v>
      </c>
    </row>
    <row r="737" spans="1:5" x14ac:dyDescent="0.35">
      <c r="A737" s="17" t="s">
        <v>3344</v>
      </c>
      <c r="B737" t="s">
        <v>5603</v>
      </c>
      <c r="C737" s="9" t="str">
        <f>_xlfn.CONCAT(HEX2DEC(MID(Table14[[#This Row],[Color Code]], 1, 2))," , ",HEX2DEC(MID(Table14[[#This Row],[Color Code]], 3, 2))," , ",HEX2DEC(MID(Table14[[#This Row],[Color Code]], 5, 2)))</f>
        <v>251 , 221 , 169</v>
      </c>
      <c r="D7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76.111759932352115</v>
      </c>
      <c r="E737" t="str">
        <f>Table14[[#This Row],[Color Code]] &amp; " - " &amp;Table14[[#This Row],[Color Name]]</f>
        <v>FBDDA9 - 7929</v>
      </c>
    </row>
    <row r="738" spans="1:5" x14ac:dyDescent="0.35">
      <c r="A738" s="17" t="s">
        <v>3896</v>
      </c>
      <c r="B738" t="s">
        <v>6221</v>
      </c>
      <c r="C738" s="9" t="str">
        <f>_xlfn.CONCAT(HEX2DEC(MID(Table14[[#This Row],[Color Code]], 1, 2))," , ",HEX2DEC(MID(Table14[[#This Row],[Color Code]], 3, 2))," , ",HEX2DEC(MID(Table14[[#This Row],[Color Code]], 5, 2)))</f>
        <v>222 , 224 , 205</v>
      </c>
      <c r="D7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76.164296097318456</v>
      </c>
      <c r="E738" t="str">
        <f>Table14[[#This Row],[Color Code]] &amp; " - " &amp;Table14[[#This Row],[Color Name]]</f>
        <v>DEE0CD - 0W50</v>
      </c>
    </row>
    <row r="739" spans="1:5" x14ac:dyDescent="0.35">
      <c r="A739" s="17" t="s">
        <v>4149</v>
      </c>
      <c r="B739" t="s">
        <v>6502</v>
      </c>
      <c r="C739" s="9" t="str">
        <f>_xlfn.CONCAT(HEX2DEC(MID(Table14[[#This Row],[Color Code]], 1, 2))," , ",HEX2DEC(MID(Table14[[#This Row],[Color Code]], 3, 2))," , ",HEX2DEC(MID(Table14[[#This Row],[Color Code]], 5, 2)))</f>
        <v>237 , 218 , 199</v>
      </c>
      <c r="D7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76.22335600063802</v>
      </c>
      <c r="E739" t="str">
        <f>Table14[[#This Row],[Color Code]] &amp; " - " &amp;Table14[[#This Row],[Color Name]]</f>
        <v>EDDAC7 - K224</v>
      </c>
    </row>
    <row r="740" spans="1:5" x14ac:dyDescent="0.35">
      <c r="A740" s="17" t="s">
        <v>4502</v>
      </c>
      <c r="B740" t="s">
        <v>6088</v>
      </c>
      <c r="C740" s="9" t="str">
        <f>_xlfn.CONCAT(HEX2DEC(MID(Table14[[#This Row],[Color Code]], 1, 2))," , ",HEX2DEC(MID(Table14[[#This Row],[Color Code]], 3, 2))," , ",HEX2DEC(MID(Table14[[#This Row],[Color Code]], 5, 2)))</f>
        <v>129 , 137 , 135</v>
      </c>
      <c r="D7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76.243032468547582</v>
      </c>
      <c r="E740" t="str">
        <f>Table14[[#This Row],[Color Code]] &amp; " - " &amp;Table14[[#This Row],[Color Name]]</f>
        <v>818987 - K105</v>
      </c>
    </row>
    <row r="741" spans="1:5" x14ac:dyDescent="0.35">
      <c r="A741" s="17" t="s">
        <v>3598</v>
      </c>
      <c r="B741" t="s">
        <v>5867</v>
      </c>
      <c r="C741" s="9" t="str">
        <f>_xlfn.CONCAT(HEX2DEC(MID(Table14[[#This Row],[Color Code]], 1, 2))," , ",HEX2DEC(MID(Table14[[#This Row],[Color Code]], 3, 2))," , ",HEX2DEC(MID(Table14[[#This Row],[Color Code]], 5, 2)))</f>
        <v>177 , 110 , 118</v>
      </c>
      <c r="D7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76.28237017817419</v>
      </c>
      <c r="E741" t="str">
        <f>Table14[[#This Row],[Color Code]] &amp; " - " &amp;Table14[[#This Row],[Color Name]]</f>
        <v>B16E76 - 8110</v>
      </c>
    </row>
    <row r="742" spans="1:5" x14ac:dyDescent="0.35">
      <c r="A742" s="17" t="s">
        <v>4337</v>
      </c>
      <c r="B742" t="s">
        <v>6709</v>
      </c>
      <c r="C742" s="9" t="str">
        <f>_xlfn.CONCAT(HEX2DEC(MID(Table14[[#This Row],[Color Code]], 1, 2))," , ",HEX2DEC(MID(Table14[[#This Row],[Color Code]], 3, 2))," , ",HEX2DEC(MID(Table14[[#This Row],[Color Code]], 5, 2)))</f>
        <v>217 , 210 , 92</v>
      </c>
      <c r="D7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76.28237017817419</v>
      </c>
      <c r="E742" t="str">
        <f>Table14[[#This Row],[Color Code]] &amp; " - " &amp;Table14[[#This Row],[Color Name]]</f>
        <v>D9D25C - X165</v>
      </c>
    </row>
    <row r="743" spans="1:5" x14ac:dyDescent="0.35">
      <c r="A743" s="17" t="s">
        <v>3302</v>
      </c>
      <c r="B743" t="s">
        <v>5561</v>
      </c>
      <c r="C743" s="9" t="str">
        <f>_xlfn.CONCAT(HEX2DEC(MID(Table14[[#This Row],[Color Code]], 1, 2))," , ",HEX2DEC(MID(Table14[[#This Row],[Color Code]], 3, 2))," , ",HEX2DEC(MID(Table14[[#This Row],[Color Code]], 5, 2)))</f>
        <v>240 , 223 , 190</v>
      </c>
      <c r="D7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76.3740793725201</v>
      </c>
      <c r="E743" t="str">
        <f>Table14[[#This Row],[Color Code]] &amp; " - " &amp;Table14[[#This Row],[Color Name]]</f>
        <v>F0DFBE - 7891</v>
      </c>
    </row>
    <row r="744" spans="1:5" x14ac:dyDescent="0.35">
      <c r="A744" s="17" t="s">
        <v>2990</v>
      </c>
      <c r="B744" t="s">
        <v>5234</v>
      </c>
      <c r="C744" s="9" t="str">
        <f>_xlfn.CONCAT(HEX2DEC(MID(Table14[[#This Row],[Color Code]], 1, 2))," , ",HEX2DEC(MID(Table14[[#This Row],[Color Code]], 3, 2))," , ",HEX2DEC(MID(Table14[[#This Row],[Color Code]], 5, 2)))</f>
        <v>182 , 231 , 206</v>
      </c>
      <c r="D7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76.400261779656233</v>
      </c>
      <c r="E744" t="str">
        <f>Table14[[#This Row],[Color Code]] &amp; " - " &amp;Table14[[#This Row],[Color Name]]</f>
        <v>B6E7CE - 9298</v>
      </c>
    </row>
    <row r="745" spans="1:5" x14ac:dyDescent="0.35">
      <c r="A745" s="17" t="s">
        <v>2626</v>
      </c>
      <c r="B745" t="s">
        <v>4826</v>
      </c>
      <c r="C745" s="9" t="str">
        <f>_xlfn.CONCAT(HEX2DEC(MID(Table14[[#This Row],[Color Code]], 1, 2))," , ",HEX2DEC(MID(Table14[[#This Row],[Color Code]], 3, 2))," , ",HEX2DEC(MID(Table14[[#This Row],[Color Code]], 5, 2)))</f>
        <v>224 , 193 , 222</v>
      </c>
      <c r="D7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76.400261779656233</v>
      </c>
      <c r="E745" t="str">
        <f>Table14[[#This Row],[Color Code]] &amp; " - " &amp;Table14[[#This Row],[Color Name]]</f>
        <v>E0C1DE - 7113</v>
      </c>
    </row>
    <row r="746" spans="1:5" x14ac:dyDescent="0.35">
      <c r="A746" s="17" t="s">
        <v>3975</v>
      </c>
      <c r="B746" t="s">
        <v>6315</v>
      </c>
      <c r="C746" s="9" t="str">
        <f>_xlfn.CONCAT(HEX2DEC(MID(Table14[[#This Row],[Color Code]], 1, 2))," , ",HEX2DEC(MID(Table14[[#This Row],[Color Code]], 3, 2))," , ",HEX2DEC(MID(Table14[[#This Row],[Color Code]], 5, 2)))</f>
        <v>166 , 137 , 94</v>
      </c>
      <c r="D7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76.426435217141986</v>
      </c>
      <c r="E746" t="str">
        <f>Table14[[#This Row],[Color Code]] &amp; " - " &amp;Table14[[#This Row],[Color Name]]</f>
        <v>A6895E - 8502</v>
      </c>
    </row>
    <row r="747" spans="1:5" x14ac:dyDescent="0.35">
      <c r="A747" s="17" t="s">
        <v>4507</v>
      </c>
      <c r="B747" t="s">
        <v>6103</v>
      </c>
      <c r="C747" s="9" t="str">
        <f>_xlfn.CONCAT(HEX2DEC(MID(Table14[[#This Row],[Color Code]], 1, 2))," , ",HEX2DEC(MID(Table14[[#This Row],[Color Code]], 3, 2))," , ",HEX2DEC(MID(Table14[[#This Row],[Color Code]], 5, 2)))</f>
        <v>134 , 133 , 128</v>
      </c>
      <c r="D7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76.53103945458993</v>
      </c>
      <c r="E747" t="str">
        <f>Table14[[#This Row],[Color Code]] &amp; " - " &amp;Table14[[#This Row],[Color Name]]</f>
        <v>868580 - K297</v>
      </c>
    </row>
    <row r="748" spans="1:5" x14ac:dyDescent="0.35">
      <c r="A748" s="17" t="s">
        <v>2541</v>
      </c>
      <c r="B748" t="s">
        <v>4735</v>
      </c>
      <c r="C748" s="9" t="str">
        <f>_xlfn.CONCAT(HEX2DEC(MID(Table14[[#This Row],[Color Code]], 1, 2))," , ",HEX2DEC(MID(Table14[[#This Row],[Color Code]], 3, 2))," , ",HEX2DEC(MID(Table14[[#This Row],[Color Code]], 5, 2)))</f>
        <v>218 , 219 , 212</v>
      </c>
      <c r="D7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76.557168181692816</v>
      </c>
      <c r="E748" t="str">
        <f>Table14[[#This Row],[Color Code]] &amp; " - " &amp;Table14[[#This Row],[Color Name]]</f>
        <v>DADBD4 - 8316</v>
      </c>
    </row>
    <row r="749" spans="1:5" x14ac:dyDescent="0.35">
      <c r="A749" s="17" t="s">
        <v>4514</v>
      </c>
      <c r="B749" t="s">
        <v>6129</v>
      </c>
      <c r="C749" s="9" t="str">
        <f>_xlfn.CONCAT(HEX2DEC(MID(Table14[[#This Row],[Color Code]], 1, 2))," , ",HEX2DEC(MID(Table14[[#This Row],[Color Code]], 3, 2))," , ",HEX2DEC(MID(Table14[[#This Row],[Color Code]], 5, 2)))</f>
        <v>128 , 137 , 137</v>
      </c>
      <c r="D7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76.576758876306585</v>
      </c>
      <c r="E749" t="str">
        <f>Table14[[#This Row],[Color Code]] &amp; " - " &amp;Table14[[#This Row],[Color Name]]</f>
        <v>808989 - 8312</v>
      </c>
    </row>
    <row r="750" spans="1:5" x14ac:dyDescent="0.35">
      <c r="A750" s="17" t="s">
        <v>2965</v>
      </c>
      <c r="B750" t="s">
        <v>5204</v>
      </c>
      <c r="C750" s="9" t="str">
        <f>_xlfn.CONCAT(HEX2DEC(MID(Table14[[#This Row],[Color Code]], 1, 2))," , ",HEX2DEC(MID(Table14[[#This Row],[Color Code]], 3, 2))," , ",HEX2DEC(MID(Table14[[#This Row],[Color Code]], 5, 2)))</f>
        <v>126 , 203 , 182</v>
      </c>
      <c r="D7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76.609398901179219</v>
      </c>
      <c r="E750" t="str">
        <f>Table14[[#This Row],[Color Code]] &amp; " - " &amp;Table14[[#This Row],[Color Name]]</f>
        <v>7ECBB6 - 7552</v>
      </c>
    </row>
    <row r="751" spans="1:5" x14ac:dyDescent="0.35">
      <c r="A751" s="17" t="s">
        <v>3999</v>
      </c>
      <c r="B751" t="s">
        <v>6339</v>
      </c>
      <c r="C751" s="9" t="str">
        <f>_xlfn.CONCAT(HEX2DEC(MID(Table14[[#This Row],[Color Code]], 1, 2))," , ",HEX2DEC(MID(Table14[[#This Row],[Color Code]], 3, 2))," , ",HEX2DEC(MID(Table14[[#This Row],[Color Code]], 5, 2)))</f>
        <v>164 , 132 , 98</v>
      </c>
      <c r="D7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76.694197955256044</v>
      </c>
      <c r="E751" t="str">
        <f>Table14[[#This Row],[Color Code]] &amp; " - " &amp;Table14[[#This Row],[Color Name]]</f>
        <v>A48462 - 8526</v>
      </c>
    </row>
    <row r="752" spans="1:5" x14ac:dyDescent="0.35">
      <c r="A752" s="17" t="s">
        <v>2993</v>
      </c>
      <c r="B752" t="s">
        <v>5237</v>
      </c>
      <c r="C752" s="9" t="str">
        <f>_xlfn.CONCAT(HEX2DEC(MID(Table14[[#This Row],[Color Code]], 1, 2))," , ",HEX2DEC(MID(Table14[[#This Row],[Color Code]], 3, 2))," , ",HEX2DEC(MID(Table14[[#This Row],[Color Code]], 5, 2)))</f>
        <v>133 , 216 , 182</v>
      </c>
      <c r="D7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76.752850109947062</v>
      </c>
      <c r="E752" t="str">
        <f>Table14[[#This Row],[Color Code]] &amp; " - " &amp;Table14[[#This Row],[Color Name]]</f>
        <v>85D8B6 - 9757</v>
      </c>
    </row>
    <row r="753" spans="1:5" x14ac:dyDescent="0.35">
      <c r="A753" s="17" t="s">
        <v>3492</v>
      </c>
      <c r="B753" t="s">
        <v>5759</v>
      </c>
      <c r="C753" s="9" t="str">
        <f>_xlfn.CONCAT(HEX2DEC(MID(Table14[[#This Row],[Color Code]], 1, 2))," , ",HEX2DEC(MID(Table14[[#This Row],[Color Code]], 3, 2))," , ",HEX2DEC(MID(Table14[[#This Row],[Color Code]], 5, 2)))</f>
        <v>254 , 209 , 185</v>
      </c>
      <c r="D7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76.81145747868608</v>
      </c>
      <c r="E753" t="str">
        <f>Table14[[#This Row],[Color Code]] &amp; " - " &amp;Table14[[#This Row],[Color Name]]</f>
        <v>FED1B9 - 8025</v>
      </c>
    </row>
    <row r="754" spans="1:5" x14ac:dyDescent="0.35">
      <c r="A754" s="17" t="s">
        <v>2518</v>
      </c>
      <c r="B754" t="s">
        <v>4712</v>
      </c>
      <c r="C754" s="9" t="str">
        <f>_xlfn.CONCAT(HEX2DEC(MID(Table14[[#This Row],[Color Code]], 1, 2))," , ",HEX2DEC(MID(Table14[[#This Row],[Color Code]], 3, 2))," , ",HEX2DEC(MID(Table14[[#This Row],[Color Code]], 5, 2)))</f>
        <v>220 , 222 , 209</v>
      </c>
      <c r="D7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76.870020163910453</v>
      </c>
      <c r="E754" t="str">
        <f>Table14[[#This Row],[Color Code]] &amp; " - " &amp;Table14[[#This Row],[Color Name]]</f>
        <v>DCDED1 - 8396</v>
      </c>
    </row>
    <row r="755" spans="1:5" x14ac:dyDescent="0.35">
      <c r="A755" s="17" t="s">
        <v>2681</v>
      </c>
      <c r="B755" t="s">
        <v>4889</v>
      </c>
      <c r="C755" s="9" t="str">
        <f>_xlfn.CONCAT(HEX2DEC(MID(Table14[[#This Row],[Color Code]], 1, 2))," , ",HEX2DEC(MID(Table14[[#This Row],[Color Code]], 3, 2))," , ",HEX2DEC(MID(Table14[[#This Row],[Color Code]], 5, 2)))</f>
        <v>217 , 213 , 217</v>
      </c>
      <c r="D7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76.896033707857782</v>
      </c>
      <c r="E755" t="str">
        <f>Table14[[#This Row],[Color Code]] &amp; " - " &amp;Table14[[#This Row],[Color Name]]</f>
        <v>D9D5D9 - 7187</v>
      </c>
    </row>
    <row r="756" spans="1:5" x14ac:dyDescent="0.35">
      <c r="A756" s="17" t="s">
        <v>2964</v>
      </c>
      <c r="B756" t="s">
        <v>5203</v>
      </c>
      <c r="C756" s="9" t="str">
        <f>_xlfn.CONCAT(HEX2DEC(MID(Table14[[#This Row],[Color Code]], 1, 2))," , ",HEX2DEC(MID(Table14[[#This Row],[Color Code]], 3, 2))," , ",HEX2DEC(MID(Table14[[#This Row],[Color Code]], 5, 2)))</f>
        <v>139 , 215 , 194</v>
      </c>
      <c r="D7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77.006493232713822</v>
      </c>
      <c r="E756" t="str">
        <f>Table14[[#This Row],[Color Code]] &amp; " - " &amp;Table14[[#This Row],[Color Name]]</f>
        <v>8BD7C2 - 7553</v>
      </c>
    </row>
    <row r="757" spans="1:5" x14ac:dyDescent="0.35">
      <c r="A757" s="17" t="s">
        <v>4098</v>
      </c>
      <c r="B757" t="s">
        <v>6445</v>
      </c>
      <c r="C757" s="9" t="str">
        <f>_xlfn.CONCAT(HEX2DEC(MID(Table14[[#This Row],[Color Code]], 1, 2))," , ",HEX2DEC(MID(Table14[[#This Row],[Color Code]], 3, 2))," , ",HEX2DEC(MID(Table14[[#This Row],[Color Code]], 5, 2)))</f>
        <v>238 , 214 , 203</v>
      </c>
      <c r="D7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77.077882690172544</v>
      </c>
      <c r="E757" t="str">
        <f>Table14[[#This Row],[Color Code]] &amp; " - " &amp;Table14[[#This Row],[Color Name]]</f>
        <v>EED6CB - 5260</v>
      </c>
    </row>
    <row r="758" spans="1:5" x14ac:dyDescent="0.35">
      <c r="A758" s="17" t="s">
        <v>2408</v>
      </c>
      <c r="B758" t="s">
        <v>4600</v>
      </c>
      <c r="C758" s="9" t="str">
        <f>_xlfn.CONCAT(HEX2DEC(MID(Table14[[#This Row],[Color Code]], 1, 2))," , ",HEX2DEC(MID(Table14[[#This Row],[Color Code]], 3, 2))," , ",HEX2DEC(MID(Table14[[#This Row],[Color Code]], 5, 2)))</f>
        <v>231 , 211 , 211</v>
      </c>
      <c r="D7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77.155686763841331</v>
      </c>
      <c r="E758" t="str">
        <f>Table14[[#This Row],[Color Code]] &amp; " - " &amp;Table14[[#This Row],[Color Name]]</f>
        <v>E7D3D3 - 5182</v>
      </c>
    </row>
    <row r="759" spans="1:5" x14ac:dyDescent="0.35">
      <c r="A759" s="17" t="s">
        <v>3549</v>
      </c>
      <c r="B759" t="s">
        <v>5818</v>
      </c>
      <c r="C759" s="9" t="str">
        <f>_xlfn.CONCAT(HEX2DEC(MID(Table14[[#This Row],[Color Code]], 1, 2))," , ",HEX2DEC(MID(Table14[[#This Row],[Color Code]], 3, 2))," , ",HEX2DEC(MID(Table14[[#This Row],[Color Code]], 5, 2)))</f>
        <v>235 , 122 , 119</v>
      </c>
      <c r="D7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77.1621668954417</v>
      </c>
      <c r="E759" t="str">
        <f>Table14[[#This Row],[Color Code]] &amp; " - " &amp;Table14[[#This Row],[Color Name]]</f>
        <v>EB7A77 - 8062</v>
      </c>
    </row>
    <row r="760" spans="1:5" x14ac:dyDescent="0.35">
      <c r="A760" s="17" t="s">
        <v>3482</v>
      </c>
      <c r="B760" t="s">
        <v>5749</v>
      </c>
      <c r="C760" s="9" t="str">
        <f>_xlfn.CONCAT(HEX2DEC(MID(Table14[[#This Row],[Color Code]], 1, 2))," , ",HEX2DEC(MID(Table14[[#This Row],[Color Code]], 3, 2))," , ",HEX2DEC(MID(Table14[[#This Row],[Color Code]], 5, 2)))</f>
        <v>253 , 209 , 188</v>
      </c>
      <c r="D7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77.239886069310074</v>
      </c>
      <c r="E760" t="str">
        <f>Table14[[#This Row],[Color Code]] &amp; " - " &amp;Table14[[#This Row],[Color Name]]</f>
        <v>FDD1BC - 9962</v>
      </c>
    </row>
    <row r="761" spans="1:5" x14ac:dyDescent="0.35">
      <c r="A761" s="17" t="s">
        <v>2566</v>
      </c>
      <c r="B761" t="s">
        <v>4760</v>
      </c>
      <c r="C761" s="9" t="str">
        <f>_xlfn.CONCAT(HEX2DEC(MID(Table14[[#This Row],[Color Code]], 1, 2))," , ",HEX2DEC(MID(Table14[[#This Row],[Color Code]], 3, 2))," , ",HEX2DEC(MID(Table14[[#This Row],[Color Code]], 5, 2)))</f>
        <v>212 , 218 , 216</v>
      </c>
      <c r="D7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77.26577508832743</v>
      </c>
      <c r="E761" t="str">
        <f>Table14[[#This Row],[Color Code]] &amp; " - " &amp;Table14[[#This Row],[Color Name]]</f>
        <v>D4DAD8 - 0977</v>
      </c>
    </row>
    <row r="762" spans="1:5" x14ac:dyDescent="0.35">
      <c r="A762" s="17" t="s">
        <v>3315</v>
      </c>
      <c r="B762" t="s">
        <v>5574</v>
      </c>
      <c r="C762" s="9" t="str">
        <f>_xlfn.CONCAT(HEX2DEC(MID(Table14[[#This Row],[Color Code]], 1, 2))," , ",HEX2DEC(MID(Table14[[#This Row],[Color Code]], 3, 2))," , ",HEX2DEC(MID(Table14[[#This Row],[Color Code]], 5, 2)))</f>
        <v>250 , 208 , 116</v>
      </c>
      <c r="D7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77.2916554357584</v>
      </c>
      <c r="E762" t="str">
        <f>Table14[[#This Row],[Color Code]] &amp; " - " &amp;Table14[[#This Row],[Color Name]]</f>
        <v>FAD074 - 7895</v>
      </c>
    </row>
    <row r="763" spans="1:5" x14ac:dyDescent="0.35">
      <c r="A763" s="17" t="s">
        <v>3185</v>
      </c>
      <c r="B763" t="s">
        <v>5443</v>
      </c>
      <c r="C763" s="9" t="str">
        <f>_xlfn.CONCAT(HEX2DEC(MID(Table14[[#This Row],[Color Code]], 1, 2))," , ",HEX2DEC(MID(Table14[[#This Row],[Color Code]], 3, 2))," , ",HEX2DEC(MID(Table14[[#This Row],[Color Code]], 5, 2)))</f>
        <v>234 , 232 , 186</v>
      </c>
      <c r="D7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77.2916554357584</v>
      </c>
      <c r="E763" t="str">
        <f>Table14[[#This Row],[Color Code]] &amp; " - " &amp;Table14[[#This Row],[Color Name]]</f>
        <v>EAE8BA - 7778</v>
      </c>
    </row>
    <row r="764" spans="1:5" x14ac:dyDescent="0.35">
      <c r="A764" s="17" t="s">
        <v>2814</v>
      </c>
      <c r="B764" t="s">
        <v>5030</v>
      </c>
      <c r="C764" s="9" t="str">
        <f>_xlfn.CONCAT(HEX2DEC(MID(Table14[[#This Row],[Color Code]], 1, 2))," , ",HEX2DEC(MID(Table14[[#This Row],[Color Code]], 3, 2))," , ",HEX2DEC(MID(Table14[[#This Row],[Color Code]], 5, 2)))</f>
        <v>119 , 150 , 160</v>
      </c>
      <c r="D7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77.323993688893225</v>
      </c>
      <c r="E764" t="str">
        <f>Table14[[#This Row],[Color Code]] &amp; " - " &amp;Table14[[#This Row],[Color Name]]</f>
        <v>7796A0 - 0U42</v>
      </c>
    </row>
    <row r="765" spans="1:5" x14ac:dyDescent="0.35">
      <c r="A765" s="17" t="s">
        <v>3447</v>
      </c>
      <c r="B765" t="s">
        <v>5711</v>
      </c>
      <c r="C765" s="9" t="str">
        <f>_xlfn.CONCAT(HEX2DEC(MID(Table14[[#This Row],[Color Code]], 1, 2))," , ",HEX2DEC(MID(Table14[[#This Row],[Color Code]], 3, 2))," , ",HEX2DEC(MID(Table14[[#This Row],[Color Code]], 5, 2)))</f>
        <v>254 , 214 , 180</v>
      </c>
      <c r="D7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77.395090283557394</v>
      </c>
      <c r="E765" t="str">
        <f>Table14[[#This Row],[Color Code]] &amp; " - " &amp;Table14[[#This Row],[Color Name]]</f>
        <v>FED6B4 - 7993</v>
      </c>
    </row>
    <row r="766" spans="1:5" x14ac:dyDescent="0.35">
      <c r="A766" s="17" t="s">
        <v>3978</v>
      </c>
      <c r="B766" t="s">
        <v>6318</v>
      </c>
      <c r="C766" s="9" t="str">
        <f>_xlfn.CONCAT(HEX2DEC(MID(Table14[[#This Row],[Color Code]], 1, 2))," , ",HEX2DEC(MID(Table14[[#This Row],[Color Code]], 3, 2))," , ",HEX2DEC(MID(Table14[[#This Row],[Color Code]], 5, 2)))</f>
        <v>235 , 222 , 199</v>
      </c>
      <c r="D7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77.420927403383644</v>
      </c>
      <c r="E766" t="str">
        <f>Table14[[#This Row],[Color Code]] &amp; " - " &amp;Table14[[#This Row],[Color Name]]</f>
        <v>EBDEC7 - 3196</v>
      </c>
    </row>
    <row r="767" spans="1:5" x14ac:dyDescent="0.35">
      <c r="A767" s="17" t="s">
        <v>2444</v>
      </c>
      <c r="B767" t="s">
        <v>4636</v>
      </c>
      <c r="C767" s="9" t="str">
        <f>_xlfn.CONCAT(HEX2DEC(MID(Table14[[#This Row],[Color Code]], 1, 2))," , ",HEX2DEC(MID(Table14[[#This Row],[Color Code]], 3, 2))," , ",HEX2DEC(MID(Table14[[#This Row],[Color Code]], 5, 2)))</f>
        <v>236 , 222 , 198</v>
      </c>
      <c r="D7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77.420927403383644</v>
      </c>
      <c r="E767" t="str">
        <f>Table14[[#This Row],[Color Code]] &amp; " - " &amp;Table14[[#This Row],[Color Name]]</f>
        <v>ECDEC6 - 3203</v>
      </c>
    </row>
    <row r="768" spans="1:5" x14ac:dyDescent="0.35">
      <c r="A768" s="17" t="s">
        <v>2972</v>
      </c>
      <c r="B768" t="s">
        <v>5213</v>
      </c>
      <c r="C768" s="9" t="str">
        <f>_xlfn.CONCAT(HEX2DEC(MID(Table14[[#This Row],[Color Code]], 1, 2))," , ",HEX2DEC(MID(Table14[[#This Row],[Color Code]], 3, 2))," , ",HEX2DEC(MID(Table14[[#This Row],[Color Code]], 5, 2)))</f>
        <v>116 , 164 , 145</v>
      </c>
      <c r="D7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77.440299586197369</v>
      </c>
      <c r="E768" t="str">
        <f>Table14[[#This Row],[Color Code]] &amp; " - " &amp;Table14[[#This Row],[Color Name]]</f>
        <v>74A491 - 7559</v>
      </c>
    </row>
    <row r="769" spans="1:5" x14ac:dyDescent="0.35">
      <c r="A769" s="17" t="s">
        <v>3264</v>
      </c>
      <c r="B769" t="s">
        <v>5523</v>
      </c>
      <c r="C769" s="9" t="str">
        <f>_xlfn.CONCAT(HEX2DEC(MID(Table14[[#This Row],[Color Code]], 1, 2))," , ",HEX2DEC(MID(Table14[[#This Row],[Color Code]], 3, 2))," , ",HEX2DEC(MID(Table14[[#This Row],[Color Code]], 5, 2)))</f>
        <v>244 , 228 , 177</v>
      </c>
      <c r="D7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77.440299586197369</v>
      </c>
      <c r="E769" t="str">
        <f>Table14[[#This Row],[Color Code]] &amp; " - " &amp;Table14[[#This Row],[Color Name]]</f>
        <v>F4E4B1 - 7857</v>
      </c>
    </row>
    <row r="770" spans="1:5" x14ac:dyDescent="0.35">
      <c r="A770" s="17" t="s">
        <v>2599</v>
      </c>
      <c r="B770" t="s">
        <v>4794</v>
      </c>
      <c r="C770" s="9" t="str">
        <f>_xlfn.CONCAT(HEX2DEC(MID(Table14[[#This Row],[Color Code]], 1, 2))," , ",HEX2DEC(MID(Table14[[#This Row],[Color Code]], 3, 2))," , ",HEX2DEC(MID(Table14[[#This Row],[Color Code]], 5, 2)))</f>
        <v>236 , 190 , 217</v>
      </c>
      <c r="D7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77.491935064237495</v>
      </c>
      <c r="E770" t="str">
        <f>Table14[[#This Row],[Color Code]] &amp; " - " &amp;Table14[[#This Row],[Color Name]]</f>
        <v>ECBED9 - 9417</v>
      </c>
    </row>
    <row r="771" spans="1:5" x14ac:dyDescent="0.35">
      <c r="A771" s="17" t="s">
        <v>3336</v>
      </c>
      <c r="B771" t="s">
        <v>5595</v>
      </c>
      <c r="C771" s="9" t="str">
        <f>_xlfn.CONCAT(HEX2DEC(MID(Table14[[#This Row],[Color Code]], 1, 2))," , ",HEX2DEC(MID(Table14[[#This Row],[Color Code]], 3, 2))," , ",HEX2DEC(MID(Table14[[#This Row],[Color Code]], 5, 2)))</f>
        <v>254 , 221 , 162</v>
      </c>
      <c r="D7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77.517739905133979</v>
      </c>
      <c r="E771" t="str">
        <f>Table14[[#This Row],[Color Code]] &amp; " - " &amp;Table14[[#This Row],[Color Name]]</f>
        <v>FEDDA2 - 7921</v>
      </c>
    </row>
    <row r="772" spans="1:5" x14ac:dyDescent="0.35">
      <c r="A772" s="17" t="s">
        <v>4504</v>
      </c>
      <c r="B772" t="s">
        <v>6097</v>
      </c>
      <c r="C772" s="9" t="str">
        <f>_xlfn.CONCAT(HEX2DEC(MID(Table14[[#This Row],[Color Code]], 1, 2))," , ",HEX2DEC(MID(Table14[[#This Row],[Color Code]], 3, 2))," , ",HEX2DEC(MID(Table14[[#This Row],[Color Code]], 5, 2)))</f>
        <v>131 , 133 , 132</v>
      </c>
      <c r="D7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77.549983881365179</v>
      </c>
      <c r="E772" t="str">
        <f>Table14[[#This Row],[Color Code]] &amp; " - " &amp;Table14[[#This Row],[Color Name]]</f>
        <v>838584 - 8304</v>
      </c>
    </row>
    <row r="773" spans="1:5" x14ac:dyDescent="0.35">
      <c r="A773" s="17" t="s">
        <v>2702</v>
      </c>
      <c r="B773" t="s">
        <v>4910</v>
      </c>
      <c r="C773" s="9" t="str">
        <f>_xlfn.CONCAT(HEX2DEC(MID(Table14[[#This Row],[Color Code]], 1, 2))," , ",HEX2DEC(MID(Table14[[#This Row],[Color Code]], 3, 2))," , ",HEX2DEC(MID(Table14[[#This Row],[Color Code]], 5, 2)))</f>
        <v>128 , 135 , 173</v>
      </c>
      <c r="D7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77.588658965083297</v>
      </c>
      <c r="E773" t="str">
        <f>Table14[[#This Row],[Color Code]] &amp; " - " &amp;Table14[[#This Row],[Color Name]]</f>
        <v>8087AD - 7199</v>
      </c>
    </row>
    <row r="774" spans="1:5" x14ac:dyDescent="0.35">
      <c r="A774" s="17" t="s">
        <v>3391</v>
      </c>
      <c r="B774" t="s">
        <v>5650</v>
      </c>
      <c r="C774" s="9" t="str">
        <f>_xlfn.CONCAT(HEX2DEC(MID(Table14[[#This Row],[Color Code]], 1, 2))," , ",HEX2DEC(MID(Table14[[#This Row],[Color Code]], 3, 2))," , ",HEX2DEC(MID(Table14[[#This Row],[Color Code]], 5, 2)))</f>
        <v>223 , 151 , 88</v>
      </c>
      <c r="D7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77.627314780301404</v>
      </c>
      <c r="E774" t="str">
        <f>Table14[[#This Row],[Color Code]] &amp; " - " &amp;Table14[[#This Row],[Color Name]]</f>
        <v>DF9758 - 7966</v>
      </c>
    </row>
    <row r="775" spans="1:5" x14ac:dyDescent="0.35">
      <c r="A775" s="17" t="s">
        <v>4305</v>
      </c>
      <c r="B775" t="s">
        <v>6676</v>
      </c>
      <c r="C775" s="9" t="str">
        <f>_xlfn.CONCAT(HEX2DEC(MID(Table14[[#This Row],[Color Code]], 1, 2))," , ",HEX2DEC(MID(Table14[[#This Row],[Color Code]], 3, 2))," , ",HEX2DEC(MID(Table14[[#This Row],[Color Code]], 5, 2)))</f>
        <v>197 , 149 , 82</v>
      </c>
      <c r="D7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77.653074633268702</v>
      </c>
      <c r="E775" t="str">
        <f>Table14[[#This Row],[Color Code]] &amp; " - " &amp;Table14[[#This Row],[Color Name]]</f>
        <v>C59552 - X172</v>
      </c>
    </row>
    <row r="776" spans="1:5" x14ac:dyDescent="0.35">
      <c r="A776" s="17" t="s">
        <v>3038</v>
      </c>
      <c r="B776" t="s">
        <v>5283</v>
      </c>
      <c r="C776" s="9" t="str">
        <f>_xlfn.CONCAT(HEX2DEC(MID(Table14[[#This Row],[Color Code]], 1, 2))," , ",HEX2DEC(MID(Table14[[#This Row],[Color Code]], 3, 2))," , ",HEX2DEC(MID(Table14[[#This Row],[Color Code]], 5, 2)))</f>
        <v>225 , 236 , 190</v>
      </c>
      <c r="D7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77.685262437607818</v>
      </c>
      <c r="E776" t="str">
        <f>Table14[[#This Row],[Color Code]] &amp; " - " &amp;Table14[[#This Row],[Color Name]]</f>
        <v>E1ECBE - 9769</v>
      </c>
    </row>
    <row r="777" spans="1:5" x14ac:dyDescent="0.35">
      <c r="A777" s="17" t="s">
        <v>3954</v>
      </c>
      <c r="B777" t="s">
        <v>6285</v>
      </c>
      <c r="C777" s="9" t="str">
        <f>_xlfn.CONCAT(HEX2DEC(MID(Table14[[#This Row],[Color Code]], 1, 2))," , ",HEX2DEC(MID(Table14[[#This Row],[Color Code]], 3, 2))," , ",HEX2DEC(MID(Table14[[#This Row],[Color Code]], 5, 2)))</f>
        <v>231 , 221 , 204</v>
      </c>
      <c r="D7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77.704568720249654</v>
      </c>
      <c r="E777" t="str">
        <f>Table14[[#This Row],[Color Code]] &amp; " - " &amp;Table14[[#This Row],[Color Name]]</f>
        <v>E7DDCC - 8499</v>
      </c>
    </row>
    <row r="778" spans="1:5" x14ac:dyDescent="0.35">
      <c r="A778" s="17" t="s">
        <v>3991</v>
      </c>
      <c r="B778" t="s">
        <v>6331</v>
      </c>
      <c r="C778" s="9" t="str">
        <f>_xlfn.CONCAT(HEX2DEC(MID(Table14[[#This Row],[Color Code]], 1, 2))," , ",HEX2DEC(MID(Table14[[#This Row],[Color Code]], 3, 2))," , ",HEX2DEC(MID(Table14[[#This Row],[Color Code]], 5, 2)))</f>
        <v>179 , 136 , 89</v>
      </c>
      <c r="D7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77.756028705175012</v>
      </c>
      <c r="E778" t="str">
        <f>Table14[[#This Row],[Color Code]] &amp; " - " &amp;Table14[[#This Row],[Color Name]]</f>
        <v>B38859 - 8518</v>
      </c>
    </row>
    <row r="779" spans="1:5" x14ac:dyDescent="0.35">
      <c r="A779" s="17" t="s">
        <v>3399</v>
      </c>
      <c r="B779" t="s">
        <v>5658</v>
      </c>
      <c r="C779" s="9" t="str">
        <f>_xlfn.CONCAT(HEX2DEC(MID(Table14[[#This Row],[Color Code]], 1, 2))," , ",HEX2DEC(MID(Table14[[#This Row],[Color Code]], 3, 2))," , ",HEX2DEC(MID(Table14[[#This Row],[Color Code]], 5, 2)))</f>
        <v>254 , 175 , 108</v>
      </c>
      <c r="D7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77.801028270839709</v>
      </c>
      <c r="E779" t="str">
        <f>Table14[[#This Row],[Color Code]] &amp; " - " &amp;Table14[[#This Row],[Color Name]]</f>
        <v>FEAF6C - 7975</v>
      </c>
    </row>
    <row r="780" spans="1:5" x14ac:dyDescent="0.35">
      <c r="A780" s="17" t="s">
        <v>2744</v>
      </c>
      <c r="B780" t="s">
        <v>4956</v>
      </c>
      <c r="C780" s="9" t="str">
        <f>_xlfn.CONCAT(HEX2DEC(MID(Table14[[#This Row],[Color Code]], 1, 2))," , ",HEX2DEC(MID(Table14[[#This Row],[Color Code]], 3, 2))," , ",HEX2DEC(MID(Table14[[#This Row],[Color Code]], 5, 2)))</f>
        <v>168 , 196 , 226</v>
      </c>
      <c r="D7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77.833154889160184</v>
      </c>
      <c r="E780" t="str">
        <f>Table14[[#This Row],[Color Code]] &amp; " - " &amp;Table14[[#This Row],[Color Name]]</f>
        <v>A8C4E2 - 7249</v>
      </c>
    </row>
    <row r="781" spans="1:5" x14ac:dyDescent="0.35">
      <c r="A781" s="17" t="s">
        <v>3546</v>
      </c>
      <c r="B781" t="s">
        <v>5815</v>
      </c>
      <c r="C781" s="9" t="str">
        <f>_xlfn.CONCAT(HEX2DEC(MID(Table14[[#This Row],[Color Code]], 1, 2))," , ",HEX2DEC(MID(Table14[[#This Row],[Color Code]], 3, 2))," , ",HEX2DEC(MID(Table14[[#This Row],[Color Code]], 5, 2)))</f>
        <v>253 , 199 , 197</v>
      </c>
      <c r="D7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77.852424496607682</v>
      </c>
      <c r="E781" t="str">
        <f>Table14[[#This Row],[Color Code]] &amp; " - " &amp;Table14[[#This Row],[Color Name]]</f>
        <v>FDC7C5 - 8065</v>
      </c>
    </row>
    <row r="782" spans="1:5" x14ac:dyDescent="0.35">
      <c r="A782" s="17" t="s">
        <v>3457</v>
      </c>
      <c r="B782" t="s">
        <v>5722</v>
      </c>
      <c r="C782" s="9" t="str">
        <f>_xlfn.CONCAT(HEX2DEC(MID(Table14[[#This Row],[Color Code]], 1, 2))," , ",HEX2DEC(MID(Table14[[#This Row],[Color Code]], 3, 2))," , ",HEX2DEC(MID(Table14[[#This Row],[Color Code]], 5, 2)))</f>
        <v>230 , 141 , 96</v>
      </c>
      <c r="D7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77.980766859527606</v>
      </c>
      <c r="E782" t="str">
        <f>Table14[[#This Row],[Color Code]] &amp; " - " &amp;Table14[[#This Row],[Color Name]]</f>
        <v>E68D60 - 7998</v>
      </c>
    </row>
    <row r="783" spans="1:5" x14ac:dyDescent="0.35">
      <c r="A783" s="17" t="s">
        <v>2932</v>
      </c>
      <c r="B783" t="s">
        <v>5162</v>
      </c>
      <c r="C783" s="9" t="str">
        <f>_xlfn.CONCAT(HEX2DEC(MID(Table14[[#This Row],[Color Code]], 1, 2))," , ",HEX2DEC(MID(Table14[[#This Row],[Color Code]], 3, 2))," , ",HEX2DEC(MID(Table14[[#This Row],[Color Code]], 5, 2)))</f>
        <v>147 , 218 , 202</v>
      </c>
      <c r="D7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77.993589480161759</v>
      </c>
      <c r="E783" t="str">
        <f>Table14[[#This Row],[Color Code]] &amp; " - " &amp;Table14[[#This Row],[Color Name]]</f>
        <v>93DACA - 9281</v>
      </c>
    </row>
    <row r="784" spans="1:5" x14ac:dyDescent="0.35">
      <c r="A784" s="17" t="s">
        <v>2721</v>
      </c>
      <c r="B784" t="s">
        <v>4929</v>
      </c>
      <c r="C784" s="9" t="str">
        <f>_xlfn.CONCAT(HEX2DEC(MID(Table14[[#This Row],[Color Code]], 1, 2))," , ",HEX2DEC(MID(Table14[[#This Row],[Color Code]], 3, 2))," , ",HEX2DEC(MID(Table14[[#This Row],[Color Code]], 5, 2)))</f>
        <v>207 , 212 , 222</v>
      </c>
      <c r="D7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77.993589480161759</v>
      </c>
      <c r="E784" t="str">
        <f>Table14[[#This Row],[Color Code]] &amp; " - " &amp;Table14[[#This Row],[Color Name]]</f>
        <v>CFD4DE - 7227</v>
      </c>
    </row>
    <row r="785" spans="1:5" x14ac:dyDescent="0.35">
      <c r="A785" s="17" t="s">
        <v>4239</v>
      </c>
      <c r="B785" t="s">
        <v>6605</v>
      </c>
      <c r="C785" s="9" t="str">
        <f>_xlfn.CONCAT(HEX2DEC(MID(Table14[[#This Row],[Color Code]], 1, 2))," , ",HEX2DEC(MID(Table14[[#This Row],[Color Code]], 3, 2))," , ",HEX2DEC(MID(Table14[[#This Row],[Color Code]], 5, 2)))</f>
        <v>230 , 219 , 207</v>
      </c>
      <c r="D7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</v>
      </c>
      <c r="E785" t="str">
        <f>Table14[[#This Row],[Color Code]] &amp; " - " &amp;Table14[[#This Row],[Color Name]]</f>
        <v>E6DBCF - 8780</v>
      </c>
    </row>
    <row r="786" spans="1:5" x14ac:dyDescent="0.35">
      <c r="A786" s="17" t="s">
        <v>2991</v>
      </c>
      <c r="B786" t="s">
        <v>5235</v>
      </c>
      <c r="C786" s="9" t="str">
        <f>_xlfn.CONCAT(HEX2DEC(MID(Table14[[#This Row],[Color Code]], 1, 2))," , ",HEX2DEC(MID(Table14[[#This Row],[Color Code]], 3, 2))," , ",HEX2DEC(MID(Table14[[#This Row],[Color Code]], 5, 2)))</f>
        <v>176 , 230 , 208</v>
      </c>
      <c r="D7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78.038452060506685</v>
      </c>
      <c r="E786" t="str">
        <f>Table14[[#This Row],[Color Code]] &amp; " - " &amp;Table14[[#This Row],[Color Name]]</f>
        <v>B0E6D0 - 7570</v>
      </c>
    </row>
    <row r="787" spans="1:5" x14ac:dyDescent="0.35">
      <c r="A787" s="17" t="s">
        <v>3047</v>
      </c>
      <c r="B787" t="s">
        <v>5292</v>
      </c>
      <c r="C787" s="9" t="str">
        <f>_xlfn.CONCAT(HEX2DEC(MID(Table14[[#This Row],[Color Code]], 1, 2))," , ",HEX2DEC(MID(Table14[[#This Row],[Color Code]], 3, 2))," , ",HEX2DEC(MID(Table14[[#This Row],[Color Code]], 5, 2)))</f>
        <v>151 , 193 , 91</v>
      </c>
      <c r="D7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78.108898340714035</v>
      </c>
      <c r="E787" t="str">
        <f>Table14[[#This Row],[Color Code]] &amp; " - " &amp;Table14[[#This Row],[Color Name]]</f>
        <v>97C15B - 9773</v>
      </c>
    </row>
    <row r="788" spans="1:5" x14ac:dyDescent="0.35">
      <c r="A788" s="17" t="s">
        <v>3983</v>
      </c>
      <c r="B788" t="s">
        <v>6323</v>
      </c>
      <c r="C788" s="9" t="str">
        <f>_xlfn.CONCAT(HEX2DEC(MID(Table14[[#This Row],[Color Code]], 1, 2))," , ",HEX2DEC(MID(Table14[[#This Row],[Color Code]], 3, 2))," , ",HEX2DEC(MID(Table14[[#This Row],[Color Code]], 5, 2)))</f>
        <v>161 , 134 , 96</v>
      </c>
      <c r="D7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78.249600637958537</v>
      </c>
      <c r="E788" t="str">
        <f>Table14[[#This Row],[Color Code]] &amp; " - " &amp;Table14[[#This Row],[Color Name]]</f>
        <v>A18660 - 8510</v>
      </c>
    </row>
    <row r="789" spans="1:5" x14ac:dyDescent="0.35">
      <c r="A789" s="17" t="s">
        <v>2963</v>
      </c>
      <c r="B789" t="s">
        <v>5202</v>
      </c>
      <c r="C789" s="9" t="str">
        <f>_xlfn.CONCAT(HEX2DEC(MID(Table14[[#This Row],[Color Code]], 1, 2))," , ",HEX2DEC(MID(Table14[[#This Row],[Color Code]], 3, 2))," , ",HEX2DEC(MID(Table14[[#This Row],[Color Code]], 5, 2)))</f>
        <v>172 , 227 , 210</v>
      </c>
      <c r="D7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78.287930104199333</v>
      </c>
      <c r="E789" t="str">
        <f>Table14[[#This Row],[Color Code]] &amp; " - " &amp;Table14[[#This Row],[Color Name]]</f>
        <v>ACE3D2 - 7554</v>
      </c>
    </row>
    <row r="790" spans="1:5" x14ac:dyDescent="0.35">
      <c r="A790" s="17" t="s">
        <v>3620</v>
      </c>
      <c r="B790" t="s">
        <v>5890</v>
      </c>
      <c r="C790" s="9" t="str">
        <f>_xlfn.CONCAT(HEX2DEC(MID(Table14[[#This Row],[Color Code]], 1, 2))," , ",HEX2DEC(MID(Table14[[#This Row],[Color Code]], 3, 2))," , ",HEX2DEC(MID(Table14[[#This Row],[Color Code]], 5, 2)))</f>
        <v>201 , 99 , 138</v>
      </c>
      <c r="D7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78.396428490078549</v>
      </c>
      <c r="E790" t="str">
        <f>Table14[[#This Row],[Color Code]] &amp; " - " &amp;Table14[[#This Row],[Color Name]]</f>
        <v>C9638A - K019</v>
      </c>
    </row>
    <row r="791" spans="1:5" x14ac:dyDescent="0.35">
      <c r="A791" s="17" t="s">
        <v>3373</v>
      </c>
      <c r="B791" t="s">
        <v>5632</v>
      </c>
      <c r="C791" s="9" t="str">
        <f>_xlfn.CONCAT(HEX2DEC(MID(Table14[[#This Row],[Color Code]], 1, 2))," , ",HEX2DEC(MID(Table14[[#This Row],[Color Code]], 3, 2))," , ",HEX2DEC(MID(Table14[[#This Row],[Color Code]], 5, 2)))</f>
        <v>254 , 221 , 169</v>
      </c>
      <c r="D7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78.46018098373213</v>
      </c>
      <c r="E791" t="str">
        <f>Table14[[#This Row],[Color Code]] &amp; " - " &amp;Table14[[#This Row],[Color Name]]</f>
        <v>FEDDA9 - 7953</v>
      </c>
    </row>
    <row r="792" spans="1:5" x14ac:dyDescent="0.35">
      <c r="A792" s="17" t="s">
        <v>3728</v>
      </c>
      <c r="B792" t="s">
        <v>6017</v>
      </c>
      <c r="C792" s="9" t="str">
        <f>_xlfn.CONCAT(HEX2DEC(MID(Table14[[#This Row],[Color Code]], 1, 2))," , ",HEX2DEC(MID(Table14[[#This Row],[Color Code]], 3, 2))," , ",HEX2DEC(MID(Table14[[#This Row],[Color Code]], 5, 2)))</f>
        <v>127 , 133 , 142</v>
      </c>
      <c r="D7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78.4729252672538</v>
      </c>
      <c r="E792" t="str">
        <f>Table14[[#This Row],[Color Code]] &amp; " - " &amp;Table14[[#This Row],[Color Name]]</f>
        <v>7F858E - 8248</v>
      </c>
    </row>
    <row r="793" spans="1:5" x14ac:dyDescent="0.35">
      <c r="A793" s="17" t="s">
        <v>3526</v>
      </c>
      <c r="B793" t="s">
        <v>5794</v>
      </c>
      <c r="C793" s="9" t="str">
        <f>_xlfn.CONCAT(HEX2DEC(MID(Table14[[#This Row],[Color Code]], 1, 2))," , ",HEX2DEC(MID(Table14[[#This Row],[Color Code]], 3, 2))," , ",HEX2DEC(MID(Table14[[#This Row],[Color Code]], 5, 2)))</f>
        <v>237 , 126 , 113</v>
      </c>
      <c r="D7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78.676553051083772</v>
      </c>
      <c r="E793" t="str">
        <f>Table14[[#This Row],[Color Code]] &amp; " - " &amp;Table14[[#This Row],[Color Name]]</f>
        <v>ED7E71 - 8046</v>
      </c>
    </row>
    <row r="794" spans="1:5" x14ac:dyDescent="0.35">
      <c r="A794" s="17" t="s">
        <v>3406</v>
      </c>
      <c r="B794" t="s">
        <v>5665</v>
      </c>
      <c r="C794" s="9" t="str">
        <f>_xlfn.CONCAT(HEX2DEC(MID(Table14[[#This Row],[Color Code]], 1, 2))," , ",HEX2DEC(MID(Table14[[#This Row],[Color Code]], 3, 2))," , ",HEX2DEC(MID(Table14[[#This Row],[Color Code]], 5, 2)))</f>
        <v>231 , 151 , 91</v>
      </c>
      <c r="D7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78.695616142196897</v>
      </c>
      <c r="E794" t="str">
        <f>Table14[[#This Row],[Color Code]] &amp; " - " &amp;Table14[[#This Row],[Color Name]]</f>
        <v>E7975B - 7982</v>
      </c>
    </row>
    <row r="795" spans="1:5" x14ac:dyDescent="0.35">
      <c r="A795" s="17" t="s">
        <v>3842</v>
      </c>
      <c r="B795" t="s">
        <v>6159</v>
      </c>
      <c r="C795" s="9" t="str">
        <f>_xlfn.CONCAT(HEX2DEC(MID(Table14[[#This Row],[Color Code]], 1, 2))," , ",HEX2DEC(MID(Table14[[#This Row],[Color Code]], 3, 2))," , ",HEX2DEC(MID(Table14[[#This Row],[Color Code]], 5, 2)))</f>
        <v>127 , 139 , 129</v>
      </c>
      <c r="D7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78.721026416072604</v>
      </c>
      <c r="E795" t="str">
        <f>Table14[[#This Row],[Color Code]] &amp; " - " &amp;Table14[[#This Row],[Color Name]]</f>
        <v>7F8B81 - K136</v>
      </c>
    </row>
    <row r="796" spans="1:5" x14ac:dyDescent="0.35">
      <c r="A796" s="17" t="s">
        <v>4169</v>
      </c>
      <c r="B796" t="s">
        <v>6523</v>
      </c>
      <c r="C796" s="9" t="str">
        <f>_xlfn.CONCAT(HEX2DEC(MID(Table14[[#This Row],[Color Code]], 1, 2))," , ",HEX2DEC(MID(Table14[[#This Row],[Color Code]], 3, 2))," , ",HEX2DEC(MID(Table14[[#This Row],[Color Code]], 5, 2)))</f>
        <v>178 , 115 , 106</v>
      </c>
      <c r="D7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78.721026416072604</v>
      </c>
      <c r="E796" t="str">
        <f>Table14[[#This Row],[Color Code]] &amp; " - " &amp;Table14[[#This Row],[Color Name]]</f>
        <v>B2736A - K245</v>
      </c>
    </row>
    <row r="797" spans="1:5" x14ac:dyDescent="0.35">
      <c r="A797" s="17" t="s">
        <v>4024</v>
      </c>
      <c r="B797" t="s">
        <v>6366</v>
      </c>
      <c r="C797" s="9" t="str">
        <f>_xlfn.CONCAT(HEX2DEC(MID(Table14[[#This Row],[Color Code]], 1, 2))," , ",HEX2DEC(MID(Table14[[#This Row],[Color Code]], 3, 2))," , ",HEX2DEC(MID(Table14[[#This Row],[Color Code]], 5, 2)))</f>
        <v>242 , 220 , 196</v>
      </c>
      <c r="D7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78.778169564924525</v>
      </c>
      <c r="E797" t="str">
        <f>Table14[[#This Row],[Color Code]] &amp; " - " &amp;Table14[[#This Row],[Color Name]]</f>
        <v>F2DCC4 - 8563</v>
      </c>
    </row>
    <row r="798" spans="1:5" x14ac:dyDescent="0.35">
      <c r="A798" s="17" t="s">
        <v>3740</v>
      </c>
      <c r="B798" t="s">
        <v>6029</v>
      </c>
      <c r="C798" s="9" t="str">
        <f>_xlfn.CONCAT(HEX2DEC(MID(Table14[[#This Row],[Color Code]], 1, 2))," , ",HEX2DEC(MID(Table14[[#This Row],[Color Code]], 3, 2))," , ",HEX2DEC(MID(Table14[[#This Row],[Color Code]], 5, 2)))</f>
        <v>219 , 217 , 216</v>
      </c>
      <c r="D7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78.828928700065433</v>
      </c>
      <c r="E798" t="str">
        <f>Table14[[#This Row],[Color Code]] &amp; " - " &amp;Table14[[#This Row],[Color Name]]</f>
        <v>DBD9D8 - 9468</v>
      </c>
    </row>
    <row r="799" spans="1:5" x14ac:dyDescent="0.35">
      <c r="A799" s="17" t="s">
        <v>4103</v>
      </c>
      <c r="B799" t="s">
        <v>6450</v>
      </c>
      <c r="C799" s="9" t="str">
        <f>_xlfn.CONCAT(HEX2DEC(MID(Table14[[#This Row],[Color Code]], 1, 2))," , ",HEX2DEC(MID(Table14[[#This Row],[Color Code]], 3, 2))," , ",HEX2DEC(MID(Table14[[#This Row],[Color Code]], 5, 2)))</f>
        <v>179 , 119 , 101</v>
      </c>
      <c r="D7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78.87331614684399</v>
      </c>
      <c r="E799" t="str">
        <f>Table14[[#This Row],[Color Code]] &amp; " - " &amp;Table14[[#This Row],[Color Name]]</f>
        <v>B37765 - 8615</v>
      </c>
    </row>
    <row r="800" spans="1:5" x14ac:dyDescent="0.35">
      <c r="A800" s="17" t="s">
        <v>3397</v>
      </c>
      <c r="B800" t="s">
        <v>5656</v>
      </c>
      <c r="C800" s="9" t="str">
        <f>_xlfn.CONCAT(HEX2DEC(MID(Table14[[#This Row],[Color Code]], 1, 2))," , ",HEX2DEC(MID(Table14[[#This Row],[Color Code]], 3, 2))," , ",HEX2DEC(MID(Table14[[#This Row],[Color Code]], 5, 2)))</f>
        <v>254 , 219 , 176</v>
      </c>
      <c r="D8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78.87331614684399</v>
      </c>
      <c r="E800" t="str">
        <f>Table14[[#This Row],[Color Code]] &amp; " - " &amp;Table14[[#This Row],[Color Name]]</f>
        <v>FEDBB0 - 7977</v>
      </c>
    </row>
    <row r="801" spans="1:5" x14ac:dyDescent="0.35">
      <c r="A801" s="17" t="s">
        <v>3069</v>
      </c>
      <c r="B801" t="s">
        <v>5318</v>
      </c>
      <c r="C801" s="9" t="str">
        <f>_xlfn.CONCAT(HEX2DEC(MID(Table14[[#This Row],[Color Code]], 1, 2))," , ",HEX2DEC(MID(Table14[[#This Row],[Color Code]], 3, 2))," , ",HEX2DEC(MID(Table14[[#This Row],[Color Code]], 5, 2)))</f>
        <v>137 , 167 , 99</v>
      </c>
      <c r="D8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78.898669190297497</v>
      </c>
      <c r="E801" t="str">
        <f>Table14[[#This Row],[Color Code]] &amp; " - " &amp;Table14[[#This Row],[Color Name]]</f>
        <v>89A763 - 7670</v>
      </c>
    </row>
    <row r="802" spans="1:5" x14ac:dyDescent="0.35">
      <c r="A802" s="17" t="s">
        <v>3402</v>
      </c>
      <c r="B802" t="s">
        <v>5661</v>
      </c>
      <c r="C802" s="9" t="str">
        <f>_xlfn.CONCAT(HEX2DEC(MID(Table14[[#This Row],[Color Code]], 1, 2))," , ",HEX2DEC(MID(Table14[[#This Row],[Color Code]], 3, 2))," , ",HEX2DEC(MID(Table14[[#This Row],[Color Code]], 5, 2)))</f>
        <v>252 , 218 , 183</v>
      </c>
      <c r="D8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78.949350852302771</v>
      </c>
      <c r="E802" t="str">
        <f>Table14[[#This Row],[Color Code]] &amp; " - " &amp;Table14[[#This Row],[Color Name]]</f>
        <v>FCDAB7 - 7986</v>
      </c>
    </row>
    <row r="803" spans="1:5" x14ac:dyDescent="0.35">
      <c r="A803" s="17" t="s">
        <v>2542</v>
      </c>
      <c r="B803" t="s">
        <v>4736</v>
      </c>
      <c r="C803" s="9" t="str">
        <f>_xlfn.CONCAT(HEX2DEC(MID(Table14[[#This Row],[Color Code]], 1, 2))," , ",HEX2DEC(MID(Table14[[#This Row],[Color Code]], 3, 2))," , ",HEX2DEC(MID(Table14[[#This Row],[Color Code]], 5, 2)))</f>
        <v>219 , 220 , 214</v>
      </c>
      <c r="D8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78.962016184998717</v>
      </c>
      <c r="E803" t="str">
        <f>Table14[[#This Row],[Color Code]] &amp; " - " &amp;Table14[[#This Row],[Color Name]]</f>
        <v>DBDCD6 - 9484</v>
      </c>
    </row>
    <row r="804" spans="1:5" x14ac:dyDescent="0.35">
      <c r="A804" s="17" t="s">
        <v>3348</v>
      </c>
      <c r="B804" t="s">
        <v>5607</v>
      </c>
      <c r="C804" s="9" t="str">
        <f>_xlfn.CONCAT(HEX2DEC(MID(Table14[[#This Row],[Color Code]], 1, 2))," , ",HEX2DEC(MID(Table14[[#This Row],[Color Code]], 3, 2))," , ",HEX2DEC(MID(Table14[[#This Row],[Color Code]], 5, 2)))</f>
        <v>226 , 167 , 84</v>
      </c>
      <c r="D8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79.126481028793393</v>
      </c>
      <c r="E804" t="str">
        <f>Table14[[#This Row],[Color Code]] &amp; " - " &amp;Table14[[#This Row],[Color Name]]</f>
        <v>E2A754 - 7926</v>
      </c>
    </row>
    <row r="805" spans="1:5" x14ac:dyDescent="0.35">
      <c r="A805" s="17" t="s">
        <v>2983</v>
      </c>
      <c r="B805" t="s">
        <v>5227</v>
      </c>
      <c r="C805" s="9" t="str">
        <f>_xlfn.CONCAT(HEX2DEC(MID(Table14[[#This Row],[Color Code]], 1, 2))," , ",HEX2DEC(MID(Table14[[#This Row],[Color Code]], 3, 2))," , ",HEX2DEC(MID(Table14[[#This Row],[Color Code]], 5, 2)))</f>
        <v>117 , 196 , 141</v>
      </c>
      <c r="D8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79.13279977354523</v>
      </c>
      <c r="E805" t="str">
        <f>Table14[[#This Row],[Color Code]] &amp; " - " &amp;Table14[[#This Row],[Color Name]]</f>
        <v>75C48D - 9311</v>
      </c>
    </row>
    <row r="806" spans="1:5" x14ac:dyDescent="0.35">
      <c r="A806" s="17" t="s">
        <v>4200</v>
      </c>
      <c r="B806" t="s">
        <v>6557</v>
      </c>
      <c r="C806" s="9" t="str">
        <f>_xlfn.CONCAT(HEX2DEC(MID(Table14[[#This Row],[Color Code]], 1, 2))," , ",HEX2DEC(MID(Table14[[#This Row],[Color Code]], 3, 2))," , ",HEX2DEC(MID(Table14[[#This Row],[Color Code]], 5, 2)))</f>
        <v>235 , 211 , 211</v>
      </c>
      <c r="D8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79.252760204298241</v>
      </c>
      <c r="E806" t="str">
        <f>Table14[[#This Row],[Color Code]] &amp; " - " &amp;Table14[[#This Row],[Color Name]]</f>
        <v>EBD3D3 - 8707</v>
      </c>
    </row>
    <row r="807" spans="1:5" x14ac:dyDescent="0.35">
      <c r="A807" s="17" t="s">
        <v>4140</v>
      </c>
      <c r="B807" t="s">
        <v>6493</v>
      </c>
      <c r="C807" s="9" t="str">
        <f>_xlfn.CONCAT(HEX2DEC(MID(Table14[[#This Row],[Color Code]], 1, 2))," , ",HEX2DEC(MID(Table14[[#This Row],[Color Code]], 3, 2))," , ",HEX2DEC(MID(Table14[[#This Row],[Color Code]], 5, 2)))</f>
        <v>244 , 212 , 202</v>
      </c>
      <c r="D8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79.259068881737434</v>
      </c>
      <c r="E807" t="str">
        <f>Table14[[#This Row],[Color Code]] &amp; " - " &amp;Table14[[#This Row],[Color Name]]</f>
        <v>F4D4CA - 8675</v>
      </c>
    </row>
    <row r="808" spans="1:5" x14ac:dyDescent="0.35">
      <c r="A808" s="17" t="s">
        <v>3235</v>
      </c>
      <c r="B808" t="s">
        <v>5493</v>
      </c>
      <c r="C808" s="9" t="str">
        <f>_xlfn.CONCAT(HEX2DEC(MID(Table14[[#This Row],[Color Code]], 1, 2))," , ",HEX2DEC(MID(Table14[[#This Row],[Color Code]], 3, 2))," , ",HEX2DEC(MID(Table14[[#This Row],[Color Code]], 5, 2)))</f>
        <v>237 , 205 , 97</v>
      </c>
      <c r="D8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79.303215571627362</v>
      </c>
      <c r="E808" t="str">
        <f>Table14[[#This Row],[Color Code]] &amp; " - " &amp;Table14[[#This Row],[Color Name]]</f>
        <v>EDCD61 - 7830</v>
      </c>
    </row>
    <row r="809" spans="1:5" x14ac:dyDescent="0.35">
      <c r="A809" s="17" t="s">
        <v>2674</v>
      </c>
      <c r="B809" t="s">
        <v>4881</v>
      </c>
      <c r="C809" s="9" t="str">
        <f>_xlfn.CONCAT(HEX2DEC(MID(Table14[[#This Row],[Color Code]], 1, 2))," , ",HEX2DEC(MID(Table14[[#This Row],[Color Code]], 3, 2))," , ",HEX2DEC(MID(Table14[[#This Row],[Color Code]], 5, 2)))</f>
        <v>213 , 210 , 223</v>
      </c>
      <c r="D8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79.309520235593411</v>
      </c>
      <c r="E809" t="str">
        <f>Table14[[#This Row],[Color Code]] &amp; " - " &amp;Table14[[#This Row],[Color Name]]</f>
        <v>D5D2DF - 7171</v>
      </c>
    </row>
    <row r="810" spans="1:5" x14ac:dyDescent="0.35">
      <c r="A810" s="17" t="s">
        <v>2455</v>
      </c>
      <c r="B810" t="s">
        <v>4647</v>
      </c>
      <c r="C810" s="9" t="str">
        <f>_xlfn.CONCAT(HEX2DEC(MID(Table14[[#This Row],[Color Code]], 1, 2))," , ",HEX2DEC(MID(Table14[[#This Row],[Color Code]], 3, 2))," , ",HEX2DEC(MID(Table14[[#This Row],[Color Code]], 5, 2)))</f>
        <v>229 , 221 , 208</v>
      </c>
      <c r="D8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79.334733881194808</v>
      </c>
      <c r="E810" t="str">
        <f>Table14[[#This Row],[Color Code]] &amp; " - " &amp;Table14[[#This Row],[Color Name]]</f>
        <v>E5DDD0 - 8460</v>
      </c>
    </row>
    <row r="811" spans="1:5" x14ac:dyDescent="0.35">
      <c r="A811" s="17" t="s">
        <v>4181</v>
      </c>
      <c r="B811" t="s">
        <v>6536</v>
      </c>
      <c r="C811" s="9" t="str">
        <f>_xlfn.CONCAT(HEX2DEC(MID(Table14[[#This Row],[Color Code]], 1, 2))," , ",HEX2DEC(MID(Table14[[#This Row],[Color Code]], 3, 2))," , ",HEX2DEC(MID(Table14[[#This Row],[Color Code]], 5, 2)))</f>
        <v>237 , 212 , 209</v>
      </c>
      <c r="D8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79.435508432942001</v>
      </c>
      <c r="E811" t="str">
        <f>Table14[[#This Row],[Color Code]] &amp; " - " &amp;Table14[[#This Row],[Color Name]]</f>
        <v>EDD4D1 - K258</v>
      </c>
    </row>
    <row r="812" spans="1:5" x14ac:dyDescent="0.35">
      <c r="A812" s="17" t="s">
        <v>3330</v>
      </c>
      <c r="B812" t="s">
        <v>5589</v>
      </c>
      <c r="C812" s="9" t="str">
        <f>_xlfn.CONCAT(HEX2DEC(MID(Table14[[#This Row],[Color Code]], 1, 2))," , ",HEX2DEC(MID(Table14[[#This Row],[Color Code]], 3, 2))," , ",HEX2DEC(MID(Table14[[#This Row],[Color Code]], 5, 2)))</f>
        <v>254 , 225 , 157</v>
      </c>
      <c r="D8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79.674337148168362</v>
      </c>
      <c r="E812" t="str">
        <f>Table14[[#This Row],[Color Code]] &amp; " - " &amp;Table14[[#This Row],[Color Name]]</f>
        <v>FEE19D - 7912</v>
      </c>
    </row>
    <row r="813" spans="1:5" x14ac:dyDescent="0.35">
      <c r="A813" s="17" t="s">
        <v>3151</v>
      </c>
      <c r="B813" t="s">
        <v>5407</v>
      </c>
      <c r="C813" s="9" t="str">
        <f>_xlfn.CONCAT(HEX2DEC(MID(Table14[[#This Row],[Color Code]], 1, 2))," , ",HEX2DEC(MID(Table14[[#This Row],[Color Code]], 3, 2))," , ",HEX2DEC(MID(Table14[[#This Row],[Color Code]], 5, 2)))</f>
        <v>186 , 204 , 81</v>
      </c>
      <c r="D8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79.705708703956702</v>
      </c>
      <c r="E813" t="str">
        <f>Table14[[#This Row],[Color Code]] &amp; " - " &amp;Table14[[#This Row],[Color Name]]</f>
        <v>BACC51 - 7742</v>
      </c>
    </row>
    <row r="814" spans="1:5" x14ac:dyDescent="0.35">
      <c r="A814" s="17" t="s">
        <v>2666</v>
      </c>
      <c r="B814" t="s">
        <v>4873</v>
      </c>
      <c r="C814" s="9" t="str">
        <f>_xlfn.CONCAT(HEX2DEC(MID(Table14[[#This Row],[Color Code]], 1, 2))," , ",HEX2DEC(MID(Table14[[#This Row],[Color Code]], 3, 2))," , ",HEX2DEC(MID(Table14[[#This Row],[Color Code]], 5, 2)))</f>
        <v>220 , 215 , 218</v>
      </c>
      <c r="D8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79.705708703956702</v>
      </c>
      <c r="E814" t="str">
        <f>Table14[[#This Row],[Color Code]] &amp; " - " &amp;Table14[[#This Row],[Color Name]]</f>
        <v>DCD7DA - 9139</v>
      </c>
    </row>
    <row r="815" spans="1:5" x14ac:dyDescent="0.35">
      <c r="A815" s="17" t="s">
        <v>2707</v>
      </c>
      <c r="B815" t="s">
        <v>4915</v>
      </c>
      <c r="C815" s="9" t="str">
        <f>_xlfn.CONCAT(HEX2DEC(MID(Table14[[#This Row],[Color Code]], 1, 2))," , ",HEX2DEC(MID(Table14[[#This Row],[Color Code]], 3, 2))," , ",HEX2DEC(MID(Table14[[#This Row],[Color Code]], 5, 2)))</f>
        <v>200 , 206 , 228</v>
      </c>
      <c r="D8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79.711981533518539</v>
      </c>
      <c r="E815" t="str">
        <f>Table14[[#This Row],[Color Code]] &amp; " - " &amp;Table14[[#This Row],[Color Name]]</f>
        <v>C8CEE4 - 7210</v>
      </c>
    </row>
    <row r="816" spans="1:5" x14ac:dyDescent="0.35">
      <c r="A816" s="17" t="s">
        <v>2789</v>
      </c>
      <c r="B816" t="s">
        <v>5004</v>
      </c>
      <c r="C816" s="9" t="str">
        <f>_xlfn.CONCAT(HEX2DEC(MID(Table14[[#This Row],[Color Code]], 1, 2))," , ",HEX2DEC(MID(Table14[[#This Row],[Color Code]], 3, 2))," , ",HEX2DEC(MID(Table14[[#This Row],[Color Code]], 5, 2)))</f>
        <v>134 , 184 , 209</v>
      </c>
      <c r="D8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79.755877526361658</v>
      </c>
      <c r="E816" t="str">
        <f>Table14[[#This Row],[Color Code]] &amp; " - " &amp;Table14[[#This Row],[Color Name]]</f>
        <v>86B8D1 - 7344</v>
      </c>
    </row>
    <row r="817" spans="1:5" x14ac:dyDescent="0.35">
      <c r="A817" s="17" t="s">
        <v>3756</v>
      </c>
      <c r="B817" t="s">
        <v>6047</v>
      </c>
      <c r="C817" s="9" t="str">
        <f>_xlfn.CONCAT(HEX2DEC(MID(Table14[[#This Row],[Color Code]], 1, 2))," , ",HEX2DEC(MID(Table14[[#This Row],[Color Code]], 3, 2))," , ",HEX2DEC(MID(Table14[[#This Row],[Color Code]], 5, 2)))</f>
        <v>121 , 140 , 145</v>
      </c>
      <c r="D8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79.787217021274785</v>
      </c>
      <c r="E817" t="str">
        <f>Table14[[#This Row],[Color Code]] &amp; " - " &amp;Table14[[#This Row],[Color Name]]</f>
        <v>798C91 - K095</v>
      </c>
    </row>
    <row r="818" spans="1:5" x14ac:dyDescent="0.35">
      <c r="A818" s="17" t="s">
        <v>4571</v>
      </c>
      <c r="B818" t="s">
        <v>6617</v>
      </c>
      <c r="C818" s="9" t="str">
        <f>_xlfn.CONCAT(HEX2DEC(MID(Table14[[#This Row],[Color Code]], 1, 2))," , ",HEX2DEC(MID(Table14[[#This Row],[Color Code]], 3, 2))," , ",HEX2DEC(MID(Table14[[#This Row],[Color Code]], 5, 2)))</f>
        <v>145 , 126 , 113</v>
      </c>
      <c r="D8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79.837334624848296</v>
      </c>
      <c r="E818" t="str">
        <f>Table14[[#This Row],[Color Code]] &amp; " - " &amp;Table14[[#This Row],[Color Name]]</f>
        <v>917E71 - 8767</v>
      </c>
    </row>
    <row r="819" spans="1:5" x14ac:dyDescent="0.35">
      <c r="A819" s="17" t="s">
        <v>4015</v>
      </c>
      <c r="B819" t="s">
        <v>6357</v>
      </c>
      <c r="C819" s="9" t="str">
        <f>_xlfn.CONCAT(HEX2DEC(MID(Table14[[#This Row],[Color Code]], 1, 2))," , ",HEX2DEC(MID(Table14[[#This Row],[Color Code]], 3, 2))," , ",HEX2DEC(MID(Table14[[#This Row],[Color Code]], 5, 2)))</f>
        <v>235 , 220 , 205</v>
      </c>
      <c r="D8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79.837334624848296</v>
      </c>
      <c r="E819" t="str">
        <f>Table14[[#This Row],[Color Code]] &amp; " - " &amp;Table14[[#This Row],[Color Name]]</f>
        <v>EBDCCD - 0975</v>
      </c>
    </row>
    <row r="820" spans="1:5" x14ac:dyDescent="0.35">
      <c r="A820" s="17" t="s">
        <v>3647</v>
      </c>
      <c r="B820" t="s">
        <v>5918</v>
      </c>
      <c r="C820" s="9" t="str">
        <f>_xlfn.CONCAT(HEX2DEC(MID(Table14[[#This Row],[Color Code]], 1, 2))," , ",HEX2DEC(MID(Table14[[#This Row],[Color Code]], 3, 2))," , ",HEX2DEC(MID(Table14[[#This Row],[Color Code]], 5, 2)))</f>
        <v>234 , 205 , 216</v>
      </c>
      <c r="D8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79.906195003891909</v>
      </c>
      <c r="E820" t="str">
        <f>Table14[[#This Row],[Color Code]] &amp; " - " &amp;Table14[[#This Row],[Color Name]]</f>
        <v>EACDD8 - 8146</v>
      </c>
    </row>
    <row r="821" spans="1:5" x14ac:dyDescent="0.35">
      <c r="A821" s="17" t="s">
        <v>3331</v>
      </c>
      <c r="B821" t="s">
        <v>5590</v>
      </c>
      <c r="C821" s="9" t="str">
        <f>_xlfn.CONCAT(HEX2DEC(MID(Table14[[#This Row],[Color Code]], 1, 2))," , ",HEX2DEC(MID(Table14[[#This Row],[Color Code]], 3, 2))," , ",HEX2DEC(MID(Table14[[#This Row],[Color Code]], 5, 2)))</f>
        <v>254 , 221 , 134</v>
      </c>
      <c r="D8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80.006249755878443</v>
      </c>
      <c r="E821" t="str">
        <f>Table14[[#This Row],[Color Code]] &amp; " - " &amp;Table14[[#This Row],[Color Name]]</f>
        <v>FEDD86 - 9887</v>
      </c>
    </row>
    <row r="822" spans="1:5" x14ac:dyDescent="0.35">
      <c r="A822" s="17" t="s">
        <v>3199</v>
      </c>
      <c r="B822" t="s">
        <v>5457</v>
      </c>
      <c r="C822" s="9" t="str">
        <f>_xlfn.CONCAT(HEX2DEC(MID(Table14[[#This Row],[Color Code]], 1, 2))," , ",HEX2DEC(MID(Table14[[#This Row],[Color Code]], 3, 2))," , ",HEX2DEC(MID(Table14[[#This Row],[Color Code]], 5, 2)))</f>
        <v>231 , 226 , 203</v>
      </c>
      <c r="D8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80.162335295324326</v>
      </c>
      <c r="E822" t="str">
        <f>Table14[[#This Row],[Color Code]] &amp; " - " &amp;Table14[[#This Row],[Color Name]]</f>
        <v>E7E2CB - 3165</v>
      </c>
    </row>
    <row r="823" spans="1:5" x14ac:dyDescent="0.35">
      <c r="A823" s="17" t="s">
        <v>2424</v>
      </c>
      <c r="B823" t="s">
        <v>4616</v>
      </c>
      <c r="C823" s="9" t="str">
        <f>_xlfn.CONCAT(HEX2DEC(MID(Table14[[#This Row],[Color Code]], 1, 2))," , ",HEX2DEC(MID(Table14[[#This Row],[Color Code]], 3, 2))," , ",HEX2DEC(MID(Table14[[#This Row],[Color Code]], 5, 2)))</f>
        <v>231 , 222 , 207</v>
      </c>
      <c r="D8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80.212218520621903</v>
      </c>
      <c r="E823" t="str">
        <f>Table14[[#This Row],[Color Code]] &amp; " - " &amp;Table14[[#This Row],[Color Name]]</f>
        <v>E7DECF - 9516</v>
      </c>
    </row>
    <row r="824" spans="1:5" x14ac:dyDescent="0.35">
      <c r="A824" s="17" t="s">
        <v>3419</v>
      </c>
      <c r="B824" t="s">
        <v>5680</v>
      </c>
      <c r="C824" s="9" t="str">
        <f>_xlfn.CONCAT(HEX2DEC(MID(Table14[[#This Row],[Color Code]], 1, 2))," , ",HEX2DEC(MID(Table14[[#This Row],[Color Code]], 3, 2))," , ",HEX2DEC(MID(Table14[[#This Row],[Color Code]], 5, 2)))</f>
        <v>213 , 130 , 92</v>
      </c>
      <c r="D8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80.21845174272562</v>
      </c>
      <c r="E824" t="str">
        <f>Table14[[#This Row],[Color Code]] &amp; " - " &amp;Table14[[#This Row],[Color Name]]</f>
        <v>D5825C - 9920</v>
      </c>
    </row>
    <row r="825" spans="1:5" x14ac:dyDescent="0.35">
      <c r="A825" s="17" t="s">
        <v>3383</v>
      </c>
      <c r="B825" t="s">
        <v>5642</v>
      </c>
      <c r="C825" s="9" t="str">
        <f>_xlfn.CONCAT(HEX2DEC(MID(Table14[[#This Row],[Color Code]], 1, 2))," , ",HEX2DEC(MID(Table14[[#This Row],[Color Code]], 3, 2))," , ",HEX2DEC(MID(Table14[[#This Row],[Color Code]], 5, 2)))</f>
        <v>254 , 185 , 105</v>
      </c>
      <c r="D8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80.274528961557905</v>
      </c>
      <c r="E825" t="str">
        <f>Table14[[#This Row],[Color Code]] &amp; " - " &amp;Table14[[#This Row],[Color Name]]</f>
        <v>FEB969 - 7959</v>
      </c>
    </row>
    <row r="826" spans="1:5" x14ac:dyDescent="0.35">
      <c r="A826" s="17" t="s">
        <v>3655</v>
      </c>
      <c r="B826" t="s">
        <v>5927</v>
      </c>
      <c r="C826" s="9" t="str">
        <f>_xlfn.CONCAT(HEX2DEC(MID(Table14[[#This Row],[Color Code]], 1, 2))," , ",HEX2DEC(MID(Table14[[#This Row],[Color Code]], 3, 2))," , ",HEX2DEC(MID(Table14[[#This Row],[Color Code]], 5, 2)))</f>
        <v>232 , 200 , 220</v>
      </c>
      <c r="D8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80.311892021045054</v>
      </c>
      <c r="E826" t="str">
        <f>Table14[[#This Row],[Color Code]] &amp; " - " &amp;Table14[[#This Row],[Color Name]]</f>
        <v>E8C8DC - 8170</v>
      </c>
    </row>
    <row r="827" spans="1:5" x14ac:dyDescent="0.35">
      <c r="A827" s="17" t="s">
        <v>2772</v>
      </c>
      <c r="B827" t="s">
        <v>4985</v>
      </c>
      <c r="C827" s="9" t="str">
        <f>_xlfn.CONCAT(HEX2DEC(MID(Table14[[#This Row],[Color Code]], 1, 2))," , ",HEX2DEC(MID(Table14[[#This Row],[Color Code]], 3, 2))," , ",HEX2DEC(MID(Table14[[#This Row],[Color Code]], 5, 2)))</f>
        <v>200 , 217 , 223</v>
      </c>
      <c r="D8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80.324342512092812</v>
      </c>
      <c r="E827" t="str">
        <f>Table14[[#This Row],[Color Code]] &amp; " - " &amp;Table14[[#This Row],[Color Name]]</f>
        <v>C8D9DF - 1276</v>
      </c>
    </row>
    <row r="828" spans="1:5" x14ac:dyDescent="0.35">
      <c r="A828" s="17" t="s">
        <v>3901</v>
      </c>
      <c r="B828" t="s">
        <v>6226</v>
      </c>
      <c r="C828" s="9" t="str">
        <f>_xlfn.CONCAT(HEX2DEC(MID(Table14[[#This Row],[Color Code]], 1, 2))," , ",HEX2DEC(MID(Table14[[#This Row],[Color Code]], 3, 2))," , ",HEX2DEC(MID(Table14[[#This Row],[Color Code]], 5, 2)))</f>
        <v>134 , 141 , 111</v>
      </c>
      <c r="D8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80.349237706402661</v>
      </c>
      <c r="E828" t="str">
        <f>Table14[[#This Row],[Color Code]] &amp; " - " &amp;Table14[[#This Row],[Color Name]]</f>
        <v>868D6F - 8415</v>
      </c>
    </row>
    <row r="829" spans="1:5" x14ac:dyDescent="0.35">
      <c r="A829" s="17" t="s">
        <v>3724</v>
      </c>
      <c r="B829" t="s">
        <v>6013</v>
      </c>
      <c r="C829" s="9" t="str">
        <f>_xlfn.CONCAT(HEX2DEC(MID(Table14[[#This Row],[Color Code]], 1, 2))," , ",HEX2DEC(MID(Table14[[#This Row],[Color Code]], 3, 2))," , ",HEX2DEC(MID(Table14[[#This Row],[Color Code]], 5, 2)))</f>
        <v>218 , 219 , 217</v>
      </c>
      <c r="D8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80.349237706402661</v>
      </c>
      <c r="E829" t="str">
        <f>Table14[[#This Row],[Color Code]] &amp; " - " &amp;Table14[[#This Row],[Color Name]]</f>
        <v>DADBD9 - 8252</v>
      </c>
    </row>
    <row r="830" spans="1:5" x14ac:dyDescent="0.35">
      <c r="A830" s="17" t="s">
        <v>2749</v>
      </c>
      <c r="B830" t="s">
        <v>4961</v>
      </c>
      <c r="C830" s="9" t="str">
        <f>_xlfn.CONCAT(HEX2DEC(MID(Table14[[#This Row],[Color Code]], 1, 2))," , ",HEX2DEC(MID(Table14[[#This Row],[Color Code]], 3, 2))," , ",HEX2DEC(MID(Table14[[#This Row],[Color Code]], 5, 2)))</f>
        <v>198 , 214 , 225</v>
      </c>
      <c r="D8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80.355460299845205</v>
      </c>
      <c r="E830" t="str">
        <f>Table14[[#This Row],[Color Code]] &amp; " - " &amp;Table14[[#This Row],[Color Name]]</f>
        <v>C6D6E1 - 7275</v>
      </c>
    </row>
    <row r="831" spans="1:5" x14ac:dyDescent="0.35">
      <c r="A831" s="17" t="s">
        <v>3537</v>
      </c>
      <c r="B831" t="s">
        <v>5806</v>
      </c>
      <c r="C831" s="9" t="str">
        <f>_xlfn.CONCAT(HEX2DEC(MID(Table14[[#This Row],[Color Code]], 1, 2))," , ",HEX2DEC(MID(Table14[[#This Row],[Color Code]], 3, 2))," , ",HEX2DEC(MID(Table14[[#This Row],[Color Code]], 5, 2)))</f>
        <v>250 , 205 , 202</v>
      </c>
      <c r="D8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80.454956342042721</v>
      </c>
      <c r="E831" t="str">
        <f>Table14[[#This Row],[Color Code]] &amp; " - " &amp;Table14[[#This Row],[Color Name]]</f>
        <v>FACDCA - 8058</v>
      </c>
    </row>
    <row r="832" spans="1:5" x14ac:dyDescent="0.35">
      <c r="A832" s="17" t="s">
        <v>2718</v>
      </c>
      <c r="B832" t="s">
        <v>4926</v>
      </c>
      <c r="C832" s="9" t="str">
        <f>_xlfn.CONCAT(HEX2DEC(MID(Table14[[#This Row],[Color Code]], 1, 2))," , ",HEX2DEC(MID(Table14[[#This Row],[Color Code]], 3, 2))," , ",HEX2DEC(MID(Table14[[#This Row],[Color Code]], 5, 2)))</f>
        <v>130 , 152 , 201</v>
      </c>
      <c r="D8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80.55432949258531</v>
      </c>
      <c r="E832" t="str">
        <f>Table14[[#This Row],[Color Code]] &amp; " - " &amp;Table14[[#This Row],[Color Name]]</f>
        <v>8298C9 - 7215</v>
      </c>
    </row>
    <row r="833" spans="1:5" x14ac:dyDescent="0.35">
      <c r="A833" s="17" t="s">
        <v>3733</v>
      </c>
      <c r="B833" t="s">
        <v>6022</v>
      </c>
      <c r="C833" s="9" t="str">
        <f>_xlfn.CONCAT(HEX2DEC(MID(Table14[[#This Row],[Color Code]], 1, 2))," , ",HEX2DEC(MID(Table14[[#This Row],[Color Code]], 3, 2))," , ",HEX2DEC(MID(Table14[[#This Row],[Color Code]], 5, 2)))</f>
        <v>194 , 209 , 228</v>
      </c>
      <c r="D8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80.55432949258531</v>
      </c>
      <c r="E833" t="str">
        <f>Table14[[#This Row],[Color Code]] &amp; " - " &amp;Table14[[#This Row],[Color Name]]</f>
        <v>C2D1E4 - K084</v>
      </c>
    </row>
    <row r="834" spans="1:5" x14ac:dyDescent="0.35">
      <c r="A834" s="17" t="s">
        <v>3577</v>
      </c>
      <c r="B834" t="s">
        <v>5846</v>
      </c>
      <c r="C834" s="9" t="str">
        <f>_xlfn.CONCAT(HEX2DEC(MID(Table14[[#This Row],[Color Code]], 1, 2))," , ",HEX2DEC(MID(Table14[[#This Row],[Color Code]], 3, 2))," , ",HEX2DEC(MID(Table14[[#This Row],[Color Code]], 5, 2)))</f>
        <v>249 , 196 , 208</v>
      </c>
      <c r="D8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80.61637550770935</v>
      </c>
      <c r="E834" t="str">
        <f>Table14[[#This Row],[Color Code]] &amp; " - " &amp;Table14[[#This Row],[Color Name]]</f>
        <v>F9C4D0 - 8097</v>
      </c>
    </row>
    <row r="835" spans="1:5" x14ac:dyDescent="0.35">
      <c r="A835" s="17" t="s">
        <v>4193</v>
      </c>
      <c r="B835" t="s">
        <v>6549</v>
      </c>
      <c r="C835" s="9" t="str">
        <f>_xlfn.CONCAT(HEX2DEC(MID(Table14[[#This Row],[Color Code]], 1, 2))," , ",HEX2DEC(MID(Table14[[#This Row],[Color Code]], 3, 2))," , ",HEX2DEC(MID(Table14[[#This Row],[Color Code]], 5, 2)))</f>
        <v>234 , 215 , 211</v>
      </c>
      <c r="D8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80.622577482985491</v>
      </c>
      <c r="E835" t="str">
        <f>Table14[[#This Row],[Color Code]] &amp; " - " &amp;Table14[[#This Row],[Color Name]]</f>
        <v>EAD7D3 - 8692</v>
      </c>
    </row>
    <row r="836" spans="1:5" x14ac:dyDescent="0.35">
      <c r="A836" s="17" t="s">
        <v>3453</v>
      </c>
      <c r="B836" t="s">
        <v>5718</v>
      </c>
      <c r="C836" s="9" t="str">
        <f>_xlfn.CONCAT(HEX2DEC(MID(Table14[[#This Row],[Color Code]], 1, 2))," , ",HEX2DEC(MID(Table14[[#This Row],[Color Code]], 3, 2))," , ",HEX2DEC(MID(Table14[[#This Row],[Color Code]], 5, 2)))</f>
        <v>252 , 216 , 190</v>
      </c>
      <c r="D8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80.65977932030313</v>
      </c>
      <c r="E836" t="str">
        <f>Table14[[#This Row],[Color Code]] &amp; " - " &amp;Table14[[#This Row],[Color Name]]</f>
        <v>FCD8BE - 8002</v>
      </c>
    </row>
    <row r="837" spans="1:5" x14ac:dyDescent="0.35">
      <c r="A837" s="17" t="s">
        <v>2726</v>
      </c>
      <c r="B837" t="s">
        <v>4937</v>
      </c>
      <c r="C837" s="9" t="str">
        <f>_xlfn.CONCAT(HEX2DEC(MID(Table14[[#This Row],[Color Code]], 1, 2))," , ",HEX2DEC(MID(Table14[[#This Row],[Color Code]], 3, 2))," , ",HEX2DEC(MID(Table14[[#This Row],[Color Code]], 5, 2)))</f>
        <v>213 , 218 , 220</v>
      </c>
      <c r="D8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80.715549926888315</v>
      </c>
      <c r="E837" t="str">
        <f>Table14[[#This Row],[Color Code]] &amp; " - " &amp;Table14[[#This Row],[Color Name]]</f>
        <v>D5DADC - 7235</v>
      </c>
    </row>
    <row r="838" spans="1:5" x14ac:dyDescent="0.35">
      <c r="A838" s="17" t="s">
        <v>2640</v>
      </c>
      <c r="B838" t="s">
        <v>4841</v>
      </c>
      <c r="C838" s="9" t="str">
        <f>_xlfn.CONCAT(HEX2DEC(MID(Table14[[#This Row],[Color Code]], 1, 2))," , ",HEX2DEC(MID(Table14[[#This Row],[Color Code]], 3, 2))," , ",HEX2DEC(MID(Table14[[#This Row],[Color Code]], 5, 2)))</f>
        <v>216 , 205 , 226</v>
      </c>
      <c r="D8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80.727938162695565</v>
      </c>
      <c r="E838" t="str">
        <f>Table14[[#This Row],[Color Code]] &amp; " - " &amp;Table14[[#This Row],[Color Name]]</f>
        <v>D8CDE2 - 9609</v>
      </c>
    </row>
    <row r="839" spans="1:5" x14ac:dyDescent="0.35">
      <c r="A839" s="17" t="s">
        <v>2870</v>
      </c>
      <c r="B839" t="s">
        <v>5090</v>
      </c>
      <c r="C839" s="9" t="str">
        <f>_xlfn.CONCAT(HEX2DEC(MID(Table14[[#This Row],[Color Code]], 1, 2))," , ",HEX2DEC(MID(Table14[[#This Row],[Color Code]], 3, 2))," , ",HEX2DEC(MID(Table14[[#This Row],[Color Code]], 5, 2)))</f>
        <v>167 , 219 , 218</v>
      </c>
      <c r="D8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80.808415403347695</v>
      </c>
      <c r="E839" t="str">
        <f>Table14[[#This Row],[Color Code]] &amp; " - " &amp;Table14[[#This Row],[Color Name]]</f>
        <v>A7DBDA - 7458</v>
      </c>
    </row>
    <row r="840" spans="1:5" x14ac:dyDescent="0.35">
      <c r="A840" s="17" t="s">
        <v>3215</v>
      </c>
      <c r="B840" t="s">
        <v>5473</v>
      </c>
      <c r="C840" s="9" t="str">
        <f>_xlfn.CONCAT(HEX2DEC(MID(Table14[[#This Row],[Color Code]], 1, 2))," , ",HEX2DEC(MID(Table14[[#This Row],[Color Code]], 3, 2))," , ",HEX2DEC(MID(Table14[[#This Row],[Color Code]], 5, 2)))</f>
        <v>239 , 230 , 191</v>
      </c>
      <c r="D8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80.808415403347695</v>
      </c>
      <c r="E840" t="str">
        <f>Table14[[#This Row],[Color Code]] &amp; " - " &amp;Table14[[#This Row],[Color Name]]</f>
        <v>EFE6BF - 7827</v>
      </c>
    </row>
    <row r="841" spans="1:5" x14ac:dyDescent="0.35">
      <c r="A841" s="17" t="s">
        <v>4125</v>
      </c>
      <c r="B841" t="s">
        <v>6477</v>
      </c>
      <c r="C841" s="9" t="str">
        <f>_xlfn.CONCAT(HEX2DEC(MID(Table14[[#This Row],[Color Code]], 1, 2))," , ",HEX2DEC(MID(Table14[[#This Row],[Color Code]], 3, 2))," , ",HEX2DEC(MID(Table14[[#This Row],[Color Code]], 5, 2)))</f>
        <v>233 , 219 , 209</v>
      </c>
      <c r="D8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80.826975694999248</v>
      </c>
      <c r="E841" t="str">
        <f>Table14[[#This Row],[Color Code]] &amp; " - " &amp;Table14[[#This Row],[Color Name]]</f>
        <v>E9DBD1 - 0944</v>
      </c>
    </row>
    <row r="842" spans="1:5" x14ac:dyDescent="0.35">
      <c r="A842" s="17" t="s">
        <v>3321</v>
      </c>
      <c r="B842" t="s">
        <v>5580</v>
      </c>
      <c r="C842" s="9" t="str">
        <f>_xlfn.CONCAT(HEX2DEC(MID(Table14[[#This Row],[Color Code]], 1, 2))," , ",HEX2DEC(MID(Table14[[#This Row],[Color Code]], 3, 2))," , ",HEX2DEC(MID(Table14[[#This Row],[Color Code]], 5, 2)))</f>
        <v>250 , 228 , 174</v>
      </c>
      <c r="D8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80.833161511844878</v>
      </c>
      <c r="E842" t="str">
        <f>Table14[[#This Row],[Color Code]] &amp; " - " &amp;Table14[[#This Row],[Color Name]]</f>
        <v>FAE4AE - 7905</v>
      </c>
    </row>
    <row r="843" spans="1:5" x14ac:dyDescent="0.35">
      <c r="A843" s="17" t="s">
        <v>3970</v>
      </c>
      <c r="B843" t="s">
        <v>6310</v>
      </c>
      <c r="C843" s="9" t="str">
        <f>_xlfn.CONCAT(HEX2DEC(MID(Table14[[#This Row],[Color Code]], 1, 2))," , ",HEX2DEC(MID(Table14[[#This Row],[Color Code]], 3, 2))," , ",HEX2DEC(MID(Table14[[#This Row],[Color Code]], 5, 2)))</f>
        <v>239 , 224 , 199</v>
      </c>
      <c r="D8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80.907354424675134</v>
      </c>
      <c r="E843" t="str">
        <f>Table14[[#This Row],[Color Code]] &amp; " - " &amp;Table14[[#This Row],[Color Name]]</f>
        <v>EFE0C7 - 0949</v>
      </c>
    </row>
    <row r="844" spans="1:5" x14ac:dyDescent="0.35">
      <c r="A844" s="17" t="s">
        <v>2788</v>
      </c>
      <c r="B844" t="s">
        <v>5003</v>
      </c>
      <c r="C844" s="9" t="str">
        <f>_xlfn.CONCAT(HEX2DEC(MID(Table14[[#This Row],[Color Code]], 1, 2))," , ",HEX2DEC(MID(Table14[[#This Row],[Color Code]], 3, 2))," , ",HEX2DEC(MID(Table14[[#This Row],[Color Code]], 5, 2)))</f>
        <v>149 , 197 , 220</v>
      </c>
      <c r="D8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80.981479364111394</v>
      </c>
      <c r="E844" t="str">
        <f>Table14[[#This Row],[Color Code]] &amp; " - " &amp;Table14[[#This Row],[Color Name]]</f>
        <v>95C5DC - 7345</v>
      </c>
    </row>
    <row r="845" spans="1:5" x14ac:dyDescent="0.35">
      <c r="A845" s="17" t="s">
        <v>3737</v>
      </c>
      <c r="B845" t="s">
        <v>6026</v>
      </c>
      <c r="C845" s="9" t="str">
        <f>_xlfn.CONCAT(HEX2DEC(MID(Table14[[#This Row],[Color Code]], 1, 2))," , ",HEX2DEC(MID(Table14[[#This Row],[Color Code]], 3, 2))," , ",HEX2DEC(MID(Table14[[#This Row],[Color Code]], 5, 2)))</f>
        <v>125 , 132 , 140</v>
      </c>
      <c r="D8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81.012344738317509</v>
      </c>
      <c r="E845" t="str">
        <f>Table14[[#This Row],[Color Code]] &amp; " - " &amp;Table14[[#This Row],[Color Name]]</f>
        <v>7D848C - K088</v>
      </c>
    </row>
    <row r="846" spans="1:5" x14ac:dyDescent="0.35">
      <c r="A846" s="17" t="s">
        <v>3873</v>
      </c>
      <c r="B846" t="s">
        <v>6194</v>
      </c>
      <c r="C846" s="9" t="str">
        <f>_xlfn.CONCAT(HEX2DEC(MID(Table14[[#This Row],[Color Code]], 1, 2))," , ",HEX2DEC(MID(Table14[[#This Row],[Color Code]], 3, 2))," , ",HEX2DEC(MID(Table14[[#This Row],[Color Code]], 5, 2)))</f>
        <v>129 , 141 , 117</v>
      </c>
      <c r="D8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81.049367671808525</v>
      </c>
      <c r="E846" t="str">
        <f>Table14[[#This Row],[Color Code]] &amp; " - " &amp;Table14[[#This Row],[Color Name]]</f>
        <v>818D75 - 8383</v>
      </c>
    </row>
    <row r="847" spans="1:5" x14ac:dyDescent="0.35">
      <c r="A847" s="17" t="s">
        <v>3099</v>
      </c>
      <c r="B847" t="s">
        <v>5351</v>
      </c>
      <c r="C847" s="9" t="str">
        <f>_xlfn.CONCAT(HEX2DEC(MID(Table14[[#This Row],[Color Code]], 1, 2))," , ",HEX2DEC(MID(Table14[[#This Row],[Color Code]], 3, 2))," , ",HEX2DEC(MID(Table14[[#This Row],[Color Code]], 5, 2)))</f>
        <v>147 , 148 , 93</v>
      </c>
      <c r="D8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81.228073964609052</v>
      </c>
      <c r="E847" t="str">
        <f>Table14[[#This Row],[Color Code]] &amp; " - " &amp;Table14[[#This Row],[Color Name]]</f>
        <v>93945D - 7718</v>
      </c>
    </row>
    <row r="848" spans="1:5" x14ac:dyDescent="0.35">
      <c r="A848" s="17" t="s">
        <v>3332</v>
      </c>
      <c r="B848" t="s">
        <v>5591</v>
      </c>
      <c r="C848" s="9" t="str">
        <f>_xlfn.CONCAT(HEX2DEC(MID(Table14[[#This Row],[Color Code]], 1, 2))," , ",HEX2DEC(MID(Table14[[#This Row],[Color Code]], 3, 2))," , ",HEX2DEC(MID(Table14[[#This Row],[Color Code]], 5, 2)))</f>
        <v>254 , 216 , 122</v>
      </c>
      <c r="D8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81.326502445389849</v>
      </c>
      <c r="E848" t="str">
        <f>Table14[[#This Row],[Color Code]] &amp; " - " &amp;Table14[[#This Row],[Color Name]]</f>
        <v>FED87A - 7911</v>
      </c>
    </row>
    <row r="849" spans="1:5" x14ac:dyDescent="0.35">
      <c r="A849" s="17" t="s">
        <v>4002</v>
      </c>
      <c r="B849" t="s">
        <v>6342</v>
      </c>
      <c r="C849" s="9" t="str">
        <f>_xlfn.CONCAT(HEX2DEC(MID(Table14[[#This Row],[Color Code]], 1, 2))," , ",HEX2DEC(MID(Table14[[#This Row],[Color Code]], 3, 2))," , ",HEX2DEC(MID(Table14[[#This Row],[Color Code]], 5, 2)))</f>
        <v>163 , 131 , 93</v>
      </c>
      <c r="D8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81.369527465753421</v>
      </c>
      <c r="E849" t="str">
        <f>Table14[[#This Row],[Color Code]] &amp; " - " &amp;Table14[[#This Row],[Color Name]]</f>
        <v>A3835D - K183</v>
      </c>
    </row>
    <row r="850" spans="1:5" x14ac:dyDescent="0.35">
      <c r="A850" s="17" t="s">
        <v>2714</v>
      </c>
      <c r="B850" t="s">
        <v>4922</v>
      </c>
      <c r="C850" s="9" t="str">
        <f>_xlfn.CONCAT(HEX2DEC(MID(Table14[[#This Row],[Color Code]], 1, 2))," , ",HEX2DEC(MID(Table14[[#This Row],[Color Code]], 3, 2))," , ",HEX2DEC(MID(Table14[[#This Row],[Color Code]], 5, 2)))</f>
        <v>204 , 211 , 227</v>
      </c>
      <c r="D8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81.387959797503214</v>
      </c>
      <c r="E850" t="str">
        <f>Table14[[#This Row],[Color Code]] &amp; " - " &amp;Table14[[#This Row],[Color Name]]</f>
        <v>CCD3E3 - 7218</v>
      </c>
    </row>
    <row r="851" spans="1:5" x14ac:dyDescent="0.35">
      <c r="A851" s="17" t="s">
        <v>2598</v>
      </c>
      <c r="B851" t="s">
        <v>4793</v>
      </c>
      <c r="C851" s="9" t="str">
        <f>_xlfn.CONCAT(HEX2DEC(MID(Table14[[#This Row],[Color Code]], 1, 2))," , ",HEX2DEC(MID(Table14[[#This Row],[Color Code]], 3, 2))," , ",HEX2DEC(MID(Table14[[#This Row],[Color Code]], 5, 2)))</f>
        <v>235 , 192 , 222</v>
      </c>
      <c r="D8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81.40638795573723</v>
      </c>
      <c r="E851" t="str">
        <f>Table14[[#This Row],[Color Code]] &amp; " - " &amp;Table14[[#This Row],[Color Name]]</f>
        <v>EBC0DE - 9425</v>
      </c>
    </row>
    <row r="852" spans="1:5" x14ac:dyDescent="0.35">
      <c r="A852" s="17" t="s">
        <v>4536</v>
      </c>
      <c r="B852" t="s">
        <v>6290</v>
      </c>
      <c r="C852" s="9" t="str">
        <f>_xlfn.CONCAT(HEX2DEC(MID(Table14[[#This Row],[Color Code]], 1, 2))," , ",HEX2DEC(MID(Table14[[#This Row],[Color Code]], 3, 2))," , ",HEX2DEC(MID(Table14[[#This Row],[Color Code]], 5, 2)))</f>
        <v>146 , 130 , 105</v>
      </c>
      <c r="D8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81.492330927517344</v>
      </c>
      <c r="E852" t="str">
        <f>Table14[[#This Row],[Color Code]] &amp; " - " &amp;Table14[[#This Row],[Color Name]]</f>
        <v>928269 - 8494</v>
      </c>
    </row>
    <row r="853" spans="1:5" x14ac:dyDescent="0.35">
      <c r="A853" s="17" t="s">
        <v>3557</v>
      </c>
      <c r="B853" t="s">
        <v>5826</v>
      </c>
      <c r="C853" s="9" t="str">
        <f>_xlfn.CONCAT(HEX2DEC(MID(Table14[[#This Row],[Color Code]], 1, 2))," , ",HEX2DEC(MID(Table14[[#This Row],[Color Code]], 3, 2))," , ",HEX2DEC(MID(Table14[[#This Row],[Color Code]], 5, 2)))</f>
        <v>198 , 108 , 109</v>
      </c>
      <c r="D8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81.492330927517344</v>
      </c>
      <c r="E853" t="str">
        <f>Table14[[#This Row],[Color Code]] &amp; " - " &amp;Table14[[#This Row],[Color Name]]</f>
        <v>C66C6D - 8078</v>
      </c>
    </row>
    <row r="854" spans="1:5" x14ac:dyDescent="0.35">
      <c r="A854" s="17" t="s">
        <v>2698</v>
      </c>
      <c r="B854" t="s">
        <v>4906</v>
      </c>
      <c r="C854" s="9" t="str">
        <f>_xlfn.CONCAT(HEX2DEC(MID(Table14[[#This Row],[Color Code]], 1, 2))," , ",HEX2DEC(MID(Table14[[#This Row],[Color Code]], 3, 2))," , ",HEX2DEC(MID(Table14[[#This Row],[Color Code]], 5, 2)))</f>
        <v>213 , 213 , 224</v>
      </c>
      <c r="D8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81.523002888755272</v>
      </c>
      <c r="E854" t="str">
        <f>Table14[[#This Row],[Color Code]] &amp; " - " &amp;Table14[[#This Row],[Color Name]]</f>
        <v>D5D5E0 - 7203</v>
      </c>
    </row>
    <row r="855" spans="1:5" x14ac:dyDescent="0.35">
      <c r="A855" s="17" t="s">
        <v>2652</v>
      </c>
      <c r="B855" t="s">
        <v>4857</v>
      </c>
      <c r="C855" s="9" t="str">
        <f>_xlfn.CONCAT(HEX2DEC(MID(Table14[[#This Row],[Color Code]], 1, 2))," , ",HEX2DEC(MID(Table14[[#This Row],[Color Code]], 3, 2))," , ",HEX2DEC(MID(Table14[[#This Row],[Color Code]], 5, 2)))</f>
        <v>222 , 214 , 220</v>
      </c>
      <c r="D8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81.523002888755272</v>
      </c>
      <c r="E855" t="str">
        <f>Table14[[#This Row],[Color Code]] &amp; " - " &amp;Table14[[#This Row],[Color Name]]</f>
        <v>DED6DC - 7147</v>
      </c>
    </row>
    <row r="856" spans="1:5" x14ac:dyDescent="0.35">
      <c r="A856" s="17" t="s">
        <v>4157</v>
      </c>
      <c r="B856" t="s">
        <v>6510</v>
      </c>
      <c r="C856" s="9" t="str">
        <f>_xlfn.CONCAT(HEX2DEC(MID(Table14[[#This Row],[Color Code]], 1, 2))," , ",HEX2DEC(MID(Table14[[#This Row],[Color Code]], 3, 2))," , ",HEX2DEC(MID(Table14[[#This Row],[Color Code]], 5, 2)))</f>
        <v>243 , 213 , 206</v>
      </c>
      <c r="D8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81.523002888755272</v>
      </c>
      <c r="E856" t="str">
        <f>Table14[[#This Row],[Color Code]] &amp; " - " &amp;Table14[[#This Row],[Color Name]]</f>
        <v>F3D5CE - K232</v>
      </c>
    </row>
    <row r="857" spans="1:5" x14ac:dyDescent="0.35">
      <c r="A857" s="17" t="s">
        <v>3674</v>
      </c>
      <c r="B857" t="s">
        <v>5949</v>
      </c>
      <c r="C857" s="9" t="str">
        <f>_xlfn.CONCAT(HEX2DEC(MID(Table14[[#This Row],[Color Code]], 1, 2))," , ",HEX2DEC(MID(Table14[[#This Row],[Color Code]], 3, 2))," , ",HEX2DEC(MID(Table14[[#This Row],[Color Code]], 5, 2)))</f>
        <v>229 , 213 , 217</v>
      </c>
      <c r="D8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81.590440616533016</v>
      </c>
      <c r="E857" t="str">
        <f>Table14[[#This Row],[Color Code]] &amp; " - " &amp;Table14[[#This Row],[Color Name]]</f>
        <v>E5D5D9 - 8203</v>
      </c>
    </row>
    <row r="858" spans="1:5" x14ac:dyDescent="0.35">
      <c r="A858" s="17" t="s">
        <v>3152</v>
      </c>
      <c r="B858" t="s">
        <v>5408</v>
      </c>
      <c r="C858" s="9" t="str">
        <f>_xlfn.CONCAT(HEX2DEC(MID(Table14[[#This Row],[Color Code]], 1, 2))," , ",HEX2DEC(MID(Table14[[#This Row],[Color Code]], 3, 2))," , ",HEX2DEC(MID(Table14[[#This Row],[Color Code]], 5, 2)))</f>
        <v>168 , 193 , 79</v>
      </c>
      <c r="D8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81.706792863261981</v>
      </c>
      <c r="E858" t="str">
        <f>Table14[[#This Row],[Color Code]] &amp; " - " &amp;Table14[[#This Row],[Color Name]]</f>
        <v>A8C14F - 9832</v>
      </c>
    </row>
    <row r="859" spans="1:5" x14ac:dyDescent="0.35">
      <c r="A859" s="17" t="s">
        <v>2787</v>
      </c>
      <c r="B859" t="s">
        <v>5002</v>
      </c>
      <c r="C859" s="9" t="str">
        <f>_xlfn.CONCAT(HEX2DEC(MID(Table14[[#This Row],[Color Code]], 1, 2))," , ",HEX2DEC(MID(Table14[[#This Row],[Color Code]], 3, 2))," , ",HEX2DEC(MID(Table14[[#This Row],[Color Code]], 5, 2)))</f>
        <v>186 , 215 , 226</v>
      </c>
      <c r="D8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81.712912076366493</v>
      </c>
      <c r="E859" t="str">
        <f>Table14[[#This Row],[Color Code]] &amp; " - " &amp;Table14[[#This Row],[Color Name]]</f>
        <v>BAD7E2 - 7346</v>
      </c>
    </row>
    <row r="860" spans="1:5" x14ac:dyDescent="0.35">
      <c r="A860" s="17" t="s">
        <v>3282</v>
      </c>
      <c r="B860" t="s">
        <v>5541</v>
      </c>
      <c r="C860" s="9" t="str">
        <f>_xlfn.CONCAT(HEX2DEC(MID(Table14[[#This Row],[Color Code]], 1, 2))," , ",HEX2DEC(MID(Table14[[#This Row],[Color Code]], 3, 2))," , ",HEX2DEC(MID(Table14[[#This Row],[Color Code]], 5, 2)))</f>
        <v>254 , 228 , 149</v>
      </c>
      <c r="D8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81.786306922369349</v>
      </c>
      <c r="E860" t="str">
        <f>Table14[[#This Row],[Color Code]] &amp; " - " &amp;Table14[[#This Row],[Color Name]]</f>
        <v>FEE495 - 7872</v>
      </c>
    </row>
    <row r="861" spans="1:5" x14ac:dyDescent="0.35">
      <c r="A861" s="17" t="s">
        <v>4486</v>
      </c>
      <c r="B861" t="s">
        <v>5974</v>
      </c>
      <c r="C861" s="9" t="str">
        <f>_xlfn.CONCAT(HEX2DEC(MID(Table14[[#This Row],[Color Code]], 1, 2))," , ",HEX2DEC(MID(Table14[[#This Row],[Color Code]], 3, 2))," , ",HEX2DEC(MID(Table14[[#This Row],[Color Code]], 5, 2)))</f>
        <v>136 , 126 , 121</v>
      </c>
      <c r="D8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81.810757238886382</v>
      </c>
      <c r="E861" t="str">
        <f>Table14[[#This Row],[Color Code]] &amp; " - " &amp;Table14[[#This Row],[Color Name]]</f>
        <v>887E79 - K069</v>
      </c>
    </row>
    <row r="862" spans="1:5" x14ac:dyDescent="0.35">
      <c r="A862" s="17" t="s">
        <v>4172</v>
      </c>
      <c r="B862" t="s">
        <v>6527</v>
      </c>
      <c r="C862" s="9" t="str">
        <f>_xlfn.CONCAT(HEX2DEC(MID(Table14[[#This Row],[Color Code]], 1, 2))," , ",HEX2DEC(MID(Table14[[#This Row],[Color Code]], 3, 2))," , ",HEX2DEC(MID(Table14[[#This Row],[Color Code]], 5, 2)))</f>
        <v>254 , 208 , 197</v>
      </c>
      <c r="D8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81.835200250259064</v>
      </c>
      <c r="E862" t="str">
        <f>Table14[[#This Row],[Color Code]] &amp; " - " &amp;Table14[[#This Row],[Color Name]]</f>
        <v>FED0C5 - K249</v>
      </c>
    </row>
    <row r="863" spans="1:5" x14ac:dyDescent="0.35">
      <c r="A863" s="17" t="s">
        <v>3499</v>
      </c>
      <c r="B863" t="s">
        <v>5766</v>
      </c>
      <c r="C863" s="9" t="str">
        <f>_xlfn.CONCAT(HEX2DEC(MID(Table14[[#This Row],[Color Code]], 1, 2))," , ",HEX2DEC(MID(Table14[[#This Row],[Color Code]], 3, 2))," , ",HEX2DEC(MID(Table14[[#This Row],[Color Code]], 5, 2)))</f>
        <v>251 , 212 , 198</v>
      </c>
      <c r="D8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81.84741901856161</v>
      </c>
      <c r="E863" t="str">
        <f>Table14[[#This Row],[Color Code]] &amp; " - " &amp;Table14[[#This Row],[Color Name]]</f>
        <v>FBD4C6 - 8034</v>
      </c>
    </row>
    <row r="864" spans="1:5" x14ac:dyDescent="0.35">
      <c r="A864" s="17" t="s">
        <v>3360</v>
      </c>
      <c r="B864" t="s">
        <v>5619</v>
      </c>
      <c r="C864" s="9" t="str">
        <f>_xlfn.CONCAT(HEX2DEC(MID(Table14[[#This Row],[Color Code]], 1, 2))," , ",HEX2DEC(MID(Table14[[#This Row],[Color Code]], 3, 2))," , ",HEX2DEC(MID(Table14[[#This Row],[Color Code]], 5, 2)))</f>
        <v>254 , 227 , 168</v>
      </c>
      <c r="D8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81.957305958651418</v>
      </c>
      <c r="E864" t="str">
        <f>Table14[[#This Row],[Color Code]] &amp; " - " &amp;Table14[[#This Row],[Color Name]]</f>
        <v>FEE3A8 - 7945</v>
      </c>
    </row>
    <row r="865" spans="1:5" x14ac:dyDescent="0.35">
      <c r="A865" s="17" t="s">
        <v>2715</v>
      </c>
      <c r="B865" t="s">
        <v>4923</v>
      </c>
      <c r="C865" s="9" t="str">
        <f>_xlfn.CONCAT(HEX2DEC(MID(Table14[[#This Row],[Color Code]], 1, 2))," , ",HEX2DEC(MID(Table14[[#This Row],[Color Code]], 3, 2))," , ",HEX2DEC(MID(Table14[[#This Row],[Color Code]], 5, 2)))</f>
        <v>199 , 205 , 231</v>
      </c>
      <c r="D8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82.006097334283623</v>
      </c>
      <c r="E865" t="str">
        <f>Table14[[#This Row],[Color Code]] &amp; " - " &amp;Table14[[#This Row],[Color Name]]</f>
        <v>C7CDE7 - 9632</v>
      </c>
    </row>
    <row r="866" spans="1:5" x14ac:dyDescent="0.35">
      <c r="A866" s="17" t="s">
        <v>2765</v>
      </c>
      <c r="B866" t="s">
        <v>4977</v>
      </c>
      <c r="C866" s="9" t="str">
        <f>_xlfn.CONCAT(HEX2DEC(MID(Table14[[#This Row],[Color Code]], 1, 2))," , ",HEX2DEC(MID(Table14[[#This Row],[Color Code]], 3, 2))," , ",HEX2DEC(MID(Table14[[#This Row],[Color Code]], 5, 2)))</f>
        <v>200 , 217 , 225</v>
      </c>
      <c r="D8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82.024386617639507</v>
      </c>
      <c r="E866" t="str">
        <f>Table14[[#This Row],[Color Code]] &amp; " - " &amp;Table14[[#This Row],[Color Name]]</f>
        <v>C8D9E1 - 1243</v>
      </c>
    </row>
    <row r="867" spans="1:5" x14ac:dyDescent="0.35">
      <c r="A867" s="17" t="s">
        <v>3584</v>
      </c>
      <c r="B867" t="s">
        <v>5853</v>
      </c>
      <c r="C867" s="9" t="str">
        <f>_xlfn.CONCAT(HEX2DEC(MID(Table14[[#This Row],[Color Code]], 1, 2))," , ",HEX2DEC(MID(Table14[[#This Row],[Color Code]], 3, 2))," , ",HEX2DEC(MID(Table14[[#This Row],[Color Code]], 5, 2)))</f>
        <v>238 , 212 , 212</v>
      </c>
      <c r="D8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82.060952955714569</v>
      </c>
      <c r="E867" t="str">
        <f>Table14[[#This Row],[Color Code]] &amp; " - " &amp;Table14[[#This Row],[Color Name]]</f>
        <v>EED4D4 - 8107</v>
      </c>
    </row>
    <row r="868" spans="1:5" x14ac:dyDescent="0.35">
      <c r="A868" s="17" t="s">
        <v>2753</v>
      </c>
      <c r="B868" t="s">
        <v>4965</v>
      </c>
      <c r="C868" s="9" t="str">
        <f>_xlfn.CONCAT(HEX2DEC(MID(Table14[[#This Row],[Color Code]], 1, 2))," , ",HEX2DEC(MID(Table14[[#This Row],[Color Code]], 3, 2))," , ",HEX2DEC(MID(Table14[[#This Row],[Color Code]], 5, 2)))</f>
        <v>122 , 157 , 194</v>
      </c>
      <c r="D8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82.127948957708668</v>
      </c>
      <c r="E868" t="str">
        <f>Table14[[#This Row],[Color Code]] &amp; " - " &amp;Table14[[#This Row],[Color Name]]</f>
        <v>7A9DC2 - 7271</v>
      </c>
    </row>
    <row r="869" spans="1:5" x14ac:dyDescent="0.35">
      <c r="A869" s="17" t="s">
        <v>2871</v>
      </c>
      <c r="B869" t="s">
        <v>5091</v>
      </c>
      <c r="C869" s="9" t="str">
        <f>_xlfn.CONCAT(HEX2DEC(MID(Table14[[#This Row],[Color Code]], 1, 2))," , ",HEX2DEC(MID(Table14[[#This Row],[Color Code]], 3, 2))," , ",HEX2DEC(MID(Table14[[#This Row],[Color Code]], 5, 2)))</f>
        <v>139 , 207 , 209</v>
      </c>
      <c r="D8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82.152297594163485</v>
      </c>
      <c r="E869" t="str">
        <f>Table14[[#This Row],[Color Code]] &amp; " - " &amp;Table14[[#This Row],[Color Name]]</f>
        <v>8BCFD1 - 7457</v>
      </c>
    </row>
    <row r="870" spans="1:5" x14ac:dyDescent="0.35">
      <c r="A870" s="17" t="s">
        <v>2919</v>
      </c>
      <c r="B870" t="s">
        <v>5146</v>
      </c>
      <c r="C870" s="9" t="str">
        <f>_xlfn.CONCAT(HEX2DEC(MID(Table14[[#This Row],[Color Code]], 1, 2))," , ",HEX2DEC(MID(Table14[[#This Row],[Color Code]], 3, 2))," , ",HEX2DEC(MID(Table14[[#This Row],[Color Code]], 5, 2)))</f>
        <v>143 , 218 , 205</v>
      </c>
      <c r="D8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82.158383625774917</v>
      </c>
      <c r="E870" t="str">
        <f>Table14[[#This Row],[Color Code]] &amp; " - " &amp;Table14[[#This Row],[Color Name]]</f>
        <v>8FDACD - 9714</v>
      </c>
    </row>
    <row r="871" spans="1:5" x14ac:dyDescent="0.35">
      <c r="A871" s="17" t="s">
        <v>2872</v>
      </c>
      <c r="B871" t="s">
        <v>5092</v>
      </c>
      <c r="C871" s="9" t="str">
        <f>_xlfn.CONCAT(HEX2DEC(MID(Table14[[#This Row],[Color Code]], 1, 2))," , ",HEX2DEC(MID(Table14[[#This Row],[Color Code]], 3, 2))," , ",HEX2DEC(MID(Table14[[#This Row],[Color Code]], 5, 2)))</f>
        <v>125 , 196 , 198</v>
      </c>
      <c r="D8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82.334682849938758</v>
      </c>
      <c r="E871" t="str">
        <f>Table14[[#This Row],[Color Code]] &amp; " - " &amp;Table14[[#This Row],[Color Name]]</f>
        <v>7DC4C6 - 7456</v>
      </c>
    </row>
    <row r="872" spans="1:5" x14ac:dyDescent="0.35">
      <c r="A872" s="17" t="s">
        <v>3147</v>
      </c>
      <c r="B872" t="s">
        <v>5403</v>
      </c>
      <c r="C872" s="9" t="str">
        <f>_xlfn.CONCAT(HEX2DEC(MID(Table14[[#This Row],[Color Code]], 1, 2))," , ",HEX2DEC(MID(Table14[[#This Row],[Color Code]], 3, 2))," , ",HEX2DEC(MID(Table14[[#This Row],[Color Code]], 5, 2)))</f>
        <v>236 , 234 , 192</v>
      </c>
      <c r="D8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82.37718130647589</v>
      </c>
      <c r="E872" t="str">
        <f>Table14[[#This Row],[Color Code]] &amp; " - " &amp;Table14[[#This Row],[Color Name]]</f>
        <v>ECEAC0 - 7746</v>
      </c>
    </row>
    <row r="873" spans="1:5" x14ac:dyDescent="0.35">
      <c r="A873" s="17" t="s">
        <v>2464</v>
      </c>
      <c r="B873" t="s">
        <v>4656</v>
      </c>
      <c r="C873" s="9" t="str">
        <f>_xlfn.CONCAT(HEX2DEC(MID(Table14[[#This Row],[Color Code]], 1, 2))," , ",HEX2DEC(MID(Table14[[#This Row],[Color Code]], 3, 2))," , ",HEX2DEC(MID(Table14[[#This Row],[Color Code]], 5, 2)))</f>
        <v>230 , 222 , 211</v>
      </c>
      <c r="D8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82.395388220458074</v>
      </c>
      <c r="E873" t="str">
        <f>Table14[[#This Row],[Color Code]] &amp; " - " &amp;Table14[[#This Row],[Color Name]]</f>
        <v>E6DED3 - 8764</v>
      </c>
    </row>
    <row r="874" spans="1:5" x14ac:dyDescent="0.35">
      <c r="A874" s="17" t="s">
        <v>3654</v>
      </c>
      <c r="B874" t="s">
        <v>5926</v>
      </c>
      <c r="C874" s="9" t="str">
        <f>_xlfn.CONCAT(HEX2DEC(MID(Table14[[#This Row],[Color Code]], 1, 2))," , ",HEX2DEC(MID(Table14[[#This Row],[Color Code]], 3, 2))," , ",HEX2DEC(MID(Table14[[#This Row],[Color Code]], 5, 2)))</f>
        <v>233 , 205 , 220</v>
      </c>
      <c r="D8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82.498484834571357</v>
      </c>
      <c r="E874" t="str">
        <f>Table14[[#This Row],[Color Code]] &amp; " - " &amp;Table14[[#This Row],[Color Name]]</f>
        <v>E9CDDC - 9106</v>
      </c>
    </row>
    <row r="875" spans="1:5" x14ac:dyDescent="0.35">
      <c r="A875" s="17" t="s">
        <v>4007</v>
      </c>
      <c r="B875" t="s">
        <v>6349</v>
      </c>
      <c r="C875" s="9" t="str">
        <f>_xlfn.CONCAT(HEX2DEC(MID(Table14[[#This Row],[Color Code]], 1, 2))," , ",HEX2DEC(MID(Table14[[#This Row],[Color Code]], 3, 2))," , ",HEX2DEC(MID(Table14[[#This Row],[Color Code]], 5, 2)))</f>
        <v>239 , 223 , 203</v>
      </c>
      <c r="D8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82.565125809872058</v>
      </c>
      <c r="E875" t="str">
        <f>Table14[[#This Row],[Color Code]] &amp; " - " &amp;Table14[[#This Row],[Color Name]]</f>
        <v>EFDFCB - 0950</v>
      </c>
    </row>
    <row r="876" spans="1:5" x14ac:dyDescent="0.35">
      <c r="A876" s="17" t="s">
        <v>4205</v>
      </c>
      <c r="B876" t="s">
        <v>6562</v>
      </c>
      <c r="C876" s="9" t="str">
        <f>_xlfn.CONCAT(HEX2DEC(MID(Table14[[#This Row],[Color Code]], 1, 2))," , ",HEX2DEC(MID(Table14[[#This Row],[Color Code]], 3, 2))," , ",HEX2DEC(MID(Table14[[#This Row],[Color Code]], 5, 2)))</f>
        <v>155 , 110 , 120</v>
      </c>
      <c r="D8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82.577236572798924</v>
      </c>
      <c r="E876" t="str">
        <f>Table14[[#This Row],[Color Code]] &amp; " - " &amp;Table14[[#This Row],[Color Name]]</f>
        <v>9B6E78 - 8702</v>
      </c>
    </row>
    <row r="877" spans="1:5" x14ac:dyDescent="0.35">
      <c r="A877" s="17" t="s">
        <v>3387</v>
      </c>
      <c r="B877" t="s">
        <v>5646</v>
      </c>
      <c r="C877" s="9" t="str">
        <f>_xlfn.CONCAT(HEX2DEC(MID(Table14[[#This Row],[Color Code]], 1, 2))," , ",HEX2DEC(MID(Table14[[#This Row],[Color Code]], 3, 2))," , ",HEX2DEC(MID(Table14[[#This Row],[Color Code]], 5, 2)))</f>
        <v>252 , 222 , 187</v>
      </c>
      <c r="D8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82.661962231730257</v>
      </c>
      <c r="E877" t="str">
        <f>Table14[[#This Row],[Color Code]] &amp; " - " &amp;Table14[[#This Row],[Color Name]]</f>
        <v>FCDEBB - 7970</v>
      </c>
    </row>
    <row r="878" spans="1:5" x14ac:dyDescent="0.35">
      <c r="A878" s="17" t="s">
        <v>4090</v>
      </c>
      <c r="B878" t="s">
        <v>6437</v>
      </c>
      <c r="C878" s="9" t="str">
        <f>_xlfn.CONCAT(HEX2DEC(MID(Table14[[#This Row],[Color Code]], 1, 2))," , ",HEX2DEC(MID(Table14[[#This Row],[Color Code]], 3, 2))," , ",HEX2DEC(MID(Table14[[#This Row],[Color Code]], 5, 2)))</f>
        <v>242 , 219 , 204</v>
      </c>
      <c r="D8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82.686153617156478</v>
      </c>
      <c r="E878" t="str">
        <f>Table14[[#This Row],[Color Code]] &amp; " - " &amp;Table14[[#This Row],[Color Name]]</f>
        <v>F2DBCC - 8612</v>
      </c>
    </row>
    <row r="879" spans="1:5" x14ac:dyDescent="0.35">
      <c r="A879" s="17" t="s">
        <v>2502</v>
      </c>
      <c r="B879" t="s">
        <v>4696</v>
      </c>
      <c r="C879" s="9" t="str">
        <f>_xlfn.CONCAT(HEX2DEC(MID(Table14[[#This Row],[Color Code]], 1, 2))," , ",HEX2DEC(MID(Table14[[#This Row],[Color Code]], 3, 2))," , ",HEX2DEC(MID(Table14[[#This Row],[Color Code]], 5, 2)))</f>
        <v>226 , 222 , 214</v>
      </c>
      <c r="D8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82.740558373750417</v>
      </c>
      <c r="E879" t="str">
        <f>Table14[[#This Row],[Color Code]] &amp; " - " &amp;Table14[[#This Row],[Color Name]]</f>
        <v>E2DED6 - 8300</v>
      </c>
    </row>
    <row r="880" spans="1:5" x14ac:dyDescent="0.35">
      <c r="A880" s="17" t="s">
        <v>2981</v>
      </c>
      <c r="B880" t="s">
        <v>5225</v>
      </c>
      <c r="C880" s="9" t="str">
        <f>_xlfn.CONCAT(HEX2DEC(MID(Table14[[#This Row],[Color Code]], 1, 2))," , ",HEX2DEC(MID(Table14[[#This Row],[Color Code]], 3, 2))," , ",HEX2DEC(MID(Table14[[#This Row],[Color Code]], 5, 2)))</f>
        <v>210 , 236 , 208</v>
      </c>
      <c r="D8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82.788888143276807</v>
      </c>
      <c r="E880" t="str">
        <f>Table14[[#This Row],[Color Code]] &amp; " - " &amp;Table14[[#This Row],[Color Name]]</f>
        <v>D2ECD0 - 9751</v>
      </c>
    </row>
    <row r="881" spans="1:5" x14ac:dyDescent="0.35">
      <c r="A881" s="17" t="s">
        <v>3351</v>
      </c>
      <c r="B881" t="s">
        <v>5610</v>
      </c>
      <c r="C881" s="9" t="str">
        <f>_xlfn.CONCAT(HEX2DEC(MID(Table14[[#This Row],[Color Code]], 1, 2))," , ",HEX2DEC(MID(Table14[[#This Row],[Color Code]], 3, 2))," , ",HEX2DEC(MID(Table14[[#This Row],[Color Code]], 5, 2)))</f>
        <v>248 , 225 , 190</v>
      </c>
      <c r="D8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82.831153559515272</v>
      </c>
      <c r="E881" t="str">
        <f>Table14[[#This Row],[Color Code]] &amp; " - " &amp;Table14[[#This Row],[Color Name]]</f>
        <v>F8E1BE - 7938</v>
      </c>
    </row>
    <row r="882" spans="1:5" x14ac:dyDescent="0.35">
      <c r="A882" s="17" t="s">
        <v>2998</v>
      </c>
      <c r="B882" t="s">
        <v>5242</v>
      </c>
      <c r="C882" s="9" t="str">
        <f>_xlfn.CONCAT(HEX2DEC(MID(Table14[[#This Row],[Color Code]], 1, 2))," , ",HEX2DEC(MID(Table14[[#This Row],[Color Code]], 3, 2))," , ",HEX2DEC(MID(Table14[[#This Row],[Color Code]], 5, 2)))</f>
        <v>211 , 230 , 214</v>
      </c>
      <c r="D8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82.867363901598807</v>
      </c>
      <c r="E882" t="str">
        <f>Table14[[#This Row],[Color Code]] &amp; " - " &amp;Table14[[#This Row],[Color Name]]</f>
        <v>D3E6D6 - 0G23</v>
      </c>
    </row>
    <row r="883" spans="1:5" x14ac:dyDescent="0.35">
      <c r="A883" s="17" t="s">
        <v>2905</v>
      </c>
      <c r="B883" t="s">
        <v>5132</v>
      </c>
      <c r="C883" s="9" t="str">
        <f>_xlfn.CONCAT(HEX2DEC(MID(Table14[[#This Row],[Color Code]], 1, 2))," , ",HEX2DEC(MID(Table14[[#This Row],[Color Code]], 3, 2))," , ",HEX2DEC(MID(Table14[[#This Row],[Color Code]], 5, 2)))</f>
        <v>112 , 177 , 177</v>
      </c>
      <c r="D8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82.993975684985713</v>
      </c>
      <c r="E883" t="str">
        <f>Table14[[#This Row],[Color Code]] &amp; " - " &amp;Table14[[#This Row],[Color Name]]</f>
        <v>70B1B1 - 9712</v>
      </c>
    </row>
    <row r="884" spans="1:5" x14ac:dyDescent="0.35">
      <c r="A884" s="17" t="s">
        <v>4429</v>
      </c>
      <c r="B884" t="s">
        <v>5125</v>
      </c>
      <c r="C884" s="9" t="str">
        <f>_xlfn.CONCAT(HEX2DEC(MID(Table14[[#This Row],[Color Code]], 1, 2))," , ",HEX2DEC(MID(Table14[[#This Row],[Color Code]], 3, 2))," , ",HEX2DEC(MID(Table14[[#This Row],[Color Code]], 5, 2)))</f>
        <v>113 , 150 , 150</v>
      </c>
      <c r="D8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83.012047318446491</v>
      </c>
      <c r="E884" t="str">
        <f>Table14[[#This Row],[Color Code]] &amp; " - " &amp;Table14[[#This Row],[Color Name]]</f>
        <v>719696 - 7479</v>
      </c>
    </row>
    <row r="885" spans="1:5" x14ac:dyDescent="0.35">
      <c r="A885" s="17" t="s">
        <v>4430</v>
      </c>
      <c r="B885" t="s">
        <v>5126</v>
      </c>
      <c r="C885" s="9" t="str">
        <f>_xlfn.CONCAT(HEX2DEC(MID(Table14[[#This Row],[Color Code]], 1, 2))," , ",HEX2DEC(MID(Table14[[#This Row],[Color Code]], 3, 2))," , ",HEX2DEC(MID(Table14[[#This Row],[Color Code]], 5, 2)))</f>
        <v>114 , 148 , 146</v>
      </c>
      <c r="D8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83.03011501858829</v>
      </c>
      <c r="E885" t="str">
        <f>Table14[[#This Row],[Color Code]] &amp; " - " &amp;Table14[[#This Row],[Color Name]]</f>
        <v>729492 - 9710</v>
      </c>
    </row>
    <row r="886" spans="1:5" x14ac:dyDescent="0.35">
      <c r="A886" s="17" t="s">
        <v>2668</v>
      </c>
      <c r="B886" t="s">
        <v>4875</v>
      </c>
      <c r="C886" s="9" t="str">
        <f>_xlfn.CONCAT(HEX2DEC(MID(Table14[[#This Row],[Color Code]], 1, 2))," , ",HEX2DEC(MID(Table14[[#This Row],[Color Code]], 3, 2))," , ",HEX2DEC(MID(Table14[[#This Row],[Color Code]], 5, 2)))</f>
        <v>217 , 208 , 227</v>
      </c>
      <c r="D8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83.054199171384468</v>
      </c>
      <c r="E886" t="str">
        <f>Table14[[#This Row],[Color Code]] &amp; " - " &amp;Table14[[#This Row],[Color Name]]</f>
        <v>D9D0E3 - 7162</v>
      </c>
    </row>
    <row r="887" spans="1:5" x14ac:dyDescent="0.35">
      <c r="A887" s="17" t="s">
        <v>3468</v>
      </c>
      <c r="B887" t="s">
        <v>5733</v>
      </c>
      <c r="C887" s="9" t="str">
        <f>_xlfn.CONCAT(HEX2DEC(MID(Table14[[#This Row],[Color Code]], 1, 2))," , ",HEX2DEC(MID(Table14[[#This Row],[Color Code]], 3, 2))," , ",HEX2DEC(MID(Table14[[#This Row],[Color Code]], 5, 2)))</f>
        <v>247 , 220 , 198</v>
      </c>
      <c r="D8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83.060219118420335</v>
      </c>
      <c r="E887" t="str">
        <f>Table14[[#This Row],[Color Code]] &amp; " - " &amp;Table14[[#This Row],[Color Name]]</f>
        <v>F7DCC6 - 8019</v>
      </c>
    </row>
    <row r="888" spans="1:5" x14ac:dyDescent="0.35">
      <c r="A888" s="17" t="s">
        <v>3696</v>
      </c>
      <c r="B888" t="s">
        <v>5981</v>
      </c>
      <c r="C888" s="9" t="str">
        <f>_xlfn.CONCAT(HEX2DEC(MID(Table14[[#This Row],[Color Code]], 1, 2))," , ",HEX2DEC(MID(Table14[[#This Row],[Color Code]], 3, 2))," , ",HEX2DEC(MID(Table14[[#This Row],[Color Code]], 5, 2)))</f>
        <v>228 , 217 , 217</v>
      </c>
      <c r="D8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83.090312311363959</v>
      </c>
      <c r="E888" t="str">
        <f>Table14[[#This Row],[Color Code]] &amp; " - " &amp;Table14[[#This Row],[Color Name]]</f>
        <v>E4D9D9 - 0747</v>
      </c>
    </row>
    <row r="889" spans="1:5" x14ac:dyDescent="0.35">
      <c r="A889" s="17" t="s">
        <v>2851</v>
      </c>
      <c r="B889" t="s">
        <v>5068</v>
      </c>
      <c r="C889" s="9" t="str">
        <f>_xlfn.CONCAT(HEX2DEC(MID(Table14[[#This Row],[Color Code]], 1, 2))," , ",HEX2DEC(MID(Table14[[#This Row],[Color Code]], 3, 2))," , ",HEX2DEC(MID(Table14[[#This Row],[Color Code]], 5, 2)))</f>
        <v>112 , 156 , 167</v>
      </c>
      <c r="D8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83.096329642168911</v>
      </c>
      <c r="E889" t="str">
        <f>Table14[[#This Row],[Color Code]] &amp; " - " &amp;Table14[[#This Row],[Color Name]]</f>
        <v>709CA7 - 7415</v>
      </c>
    </row>
    <row r="890" spans="1:5" x14ac:dyDescent="0.35">
      <c r="A890" s="17" t="s">
        <v>3006</v>
      </c>
      <c r="B890" t="s">
        <v>5250</v>
      </c>
      <c r="C890" s="9" t="str">
        <f>_xlfn.CONCAT(HEX2DEC(MID(Table14[[#This Row],[Color Code]], 1, 2))," , ",HEX2DEC(MID(Table14[[#This Row],[Color Code]], 3, 2))," , ",HEX2DEC(MID(Table14[[#This Row],[Color Code]], 5, 2)))</f>
        <v>217 , 229 , 213</v>
      </c>
      <c r="D8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83.096329642168911</v>
      </c>
      <c r="E890" t="str">
        <f>Table14[[#This Row],[Color Code]] &amp; " - " &amp;Table14[[#This Row],[Color Name]]</f>
        <v>D9E5D5 - 2425</v>
      </c>
    </row>
    <row r="891" spans="1:5" x14ac:dyDescent="0.35">
      <c r="A891" s="17" t="s">
        <v>2938</v>
      </c>
      <c r="B891" t="s">
        <v>5170</v>
      </c>
      <c r="C891" s="9" t="str">
        <f>_xlfn.CONCAT(HEX2DEC(MID(Table14[[#This Row],[Color Code]], 1, 2))," , ",HEX2DEC(MID(Table14[[#This Row],[Color Code]], 3, 2))," , ",HEX2DEC(MID(Table14[[#This Row],[Color Code]], 5, 2)))</f>
        <v>193 , 228 , 219</v>
      </c>
      <c r="D8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83.102346537266925</v>
      </c>
      <c r="E891" t="str">
        <f>Table14[[#This Row],[Color Code]] &amp; " - " &amp;Table14[[#This Row],[Color Name]]</f>
        <v>C1E4DB - 7531</v>
      </c>
    </row>
    <row r="892" spans="1:5" x14ac:dyDescent="0.35">
      <c r="A892" s="17" t="s">
        <v>3338</v>
      </c>
      <c r="B892" t="s">
        <v>5597</v>
      </c>
      <c r="C892" s="9" t="str">
        <f>_xlfn.CONCAT(HEX2DEC(MID(Table14[[#This Row],[Color Code]], 1, 2))," , ",HEX2DEC(MID(Table14[[#This Row],[Color Code]], 3, 2))," , ",HEX2DEC(MID(Table14[[#This Row],[Color Code]], 5, 2)))</f>
        <v>254 , 194 , 103</v>
      </c>
      <c r="D8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83.120394609265418</v>
      </c>
      <c r="E892" t="str">
        <f>Table14[[#This Row],[Color Code]] &amp; " - " &amp;Table14[[#This Row],[Color Name]]</f>
        <v>FEC267 - 7919</v>
      </c>
    </row>
    <row r="893" spans="1:5" x14ac:dyDescent="0.35">
      <c r="A893" s="17" t="s">
        <v>3993</v>
      </c>
      <c r="B893" t="s">
        <v>6333</v>
      </c>
      <c r="C893" s="9" t="str">
        <f>_xlfn.CONCAT(HEX2DEC(MID(Table14[[#This Row],[Color Code]], 1, 2))," , ",HEX2DEC(MID(Table14[[#This Row],[Color Code]], 3, 2))," , ",HEX2DEC(MID(Table14[[#This Row],[Color Code]], 5, 2)))</f>
        <v>239 , 224 , 203</v>
      </c>
      <c r="D8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83.150466023949619</v>
      </c>
      <c r="E893" t="str">
        <f>Table14[[#This Row],[Color Code]] &amp; " - " &amp;Table14[[#This Row],[Color Name]]</f>
        <v>EFE0CB - 8532</v>
      </c>
    </row>
    <row r="894" spans="1:5" x14ac:dyDescent="0.35">
      <c r="A894" s="17" t="s">
        <v>2440</v>
      </c>
      <c r="B894" t="s">
        <v>4632</v>
      </c>
      <c r="C894" s="9" t="str">
        <f>_xlfn.CONCAT(HEX2DEC(MID(Table14[[#This Row],[Color Code]], 1, 2))," , ",HEX2DEC(MID(Table14[[#This Row],[Color Code]], 3, 2))," , ",HEX2DEC(MID(Table14[[#This Row],[Color Code]], 5, 2)))</f>
        <v>238 , 225 , 203</v>
      </c>
      <c r="D8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83.186537372341689</v>
      </c>
      <c r="E894" t="str">
        <f>Table14[[#This Row],[Color Code]] &amp; " - " &amp;Table14[[#This Row],[Color Name]]</f>
        <v>EEE1CB - L131</v>
      </c>
    </row>
    <row r="895" spans="1:5" x14ac:dyDescent="0.35">
      <c r="A895" s="17" t="s">
        <v>2757</v>
      </c>
      <c r="B895" t="s">
        <v>4969</v>
      </c>
      <c r="C895" s="9" t="str">
        <f>_xlfn.CONCAT(HEX2DEC(MID(Table14[[#This Row],[Color Code]], 1, 2))," , ",HEX2DEC(MID(Table14[[#This Row],[Color Code]], 3, 2))," , ",HEX2DEC(MID(Table14[[#This Row],[Color Code]], 5, 2)))</f>
        <v>161 , 197 , 229</v>
      </c>
      <c r="D8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83.192547743172284</v>
      </c>
      <c r="E895" t="str">
        <f>Table14[[#This Row],[Color Code]] &amp; " - " &amp;Table14[[#This Row],[Color Name]]</f>
        <v>A1C5E5 - 9649</v>
      </c>
    </row>
    <row r="896" spans="1:5" x14ac:dyDescent="0.35">
      <c r="A896" s="17" t="s">
        <v>3600</v>
      </c>
      <c r="B896" t="s">
        <v>5869</v>
      </c>
      <c r="C896" s="9" t="str">
        <f>_xlfn.CONCAT(HEX2DEC(MID(Table14[[#This Row],[Color Code]], 1, 2))," , ",HEX2DEC(MID(Table14[[#This Row],[Color Code]], 3, 2))," , ",HEX2DEC(MID(Table14[[#This Row],[Color Code]], 5, 2)))</f>
        <v>241 , 209 , 213</v>
      </c>
      <c r="D8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83.192547743172284</v>
      </c>
      <c r="E896" t="str">
        <f>Table14[[#This Row],[Color Code]] &amp; " - " &amp;Table14[[#This Row],[Color Name]]</f>
        <v>F1D1D5 - 0P13</v>
      </c>
    </row>
    <row r="897" spans="1:5" x14ac:dyDescent="0.35">
      <c r="A897" s="17" t="s">
        <v>4001</v>
      </c>
      <c r="B897" t="s">
        <v>6341</v>
      </c>
      <c r="C897" s="9" t="str">
        <f>_xlfn.CONCAT(HEX2DEC(MID(Table14[[#This Row],[Color Code]], 1, 2))," , ",HEX2DEC(MID(Table14[[#This Row],[Color Code]], 3, 2))," , ",HEX2DEC(MID(Table14[[#This Row],[Color Code]], 5, 2)))</f>
        <v>162 , 127 , 94</v>
      </c>
      <c r="D8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83.21658488546619</v>
      </c>
      <c r="E897" t="str">
        <f>Table14[[#This Row],[Color Code]] &amp; " - " &amp;Table14[[#This Row],[Color Name]]</f>
        <v>A27F5E - K182</v>
      </c>
    </row>
    <row r="898" spans="1:5" x14ac:dyDescent="0.35">
      <c r="A898" s="17" t="s">
        <v>3460</v>
      </c>
      <c r="B898" t="s">
        <v>5725</v>
      </c>
      <c r="C898" s="9" t="str">
        <f>_xlfn.CONCAT(HEX2DEC(MID(Table14[[#This Row],[Color Code]], 1, 2))," , ",HEX2DEC(MID(Table14[[#This Row],[Color Code]], 3, 2))," , ",HEX2DEC(MID(Table14[[#This Row],[Color Code]], 5, 2)))</f>
        <v>248 , 220 , 197</v>
      </c>
      <c r="D8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83.21658488546619</v>
      </c>
      <c r="E898" t="str">
        <f>Table14[[#This Row],[Color Code]] &amp; " - " &amp;Table14[[#This Row],[Color Name]]</f>
        <v>F8DCC5 - 8011</v>
      </c>
    </row>
    <row r="899" spans="1:5" x14ac:dyDescent="0.35">
      <c r="A899" s="17" t="s">
        <v>3284</v>
      </c>
      <c r="B899" t="s">
        <v>5543</v>
      </c>
      <c r="C899" s="9" t="str">
        <f>_xlfn.CONCAT(HEX2DEC(MID(Table14[[#This Row],[Color Code]], 1, 2))," , ",HEX2DEC(MID(Table14[[#This Row],[Color Code]], 3, 2))," , ",HEX2DEC(MID(Table14[[#This Row],[Color Code]], 5, 2)))</f>
        <v>254 , 215 , 116</v>
      </c>
      <c r="D8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83.456575534825291</v>
      </c>
      <c r="E899" t="str">
        <f>Table14[[#This Row],[Color Code]] &amp; " - " &amp;Table14[[#This Row],[Color Name]]</f>
        <v>FED774 - 7871</v>
      </c>
    </row>
    <row r="900" spans="1:5" x14ac:dyDescent="0.35">
      <c r="A900" s="17" t="s">
        <v>2487</v>
      </c>
      <c r="B900" t="s">
        <v>4680</v>
      </c>
      <c r="C900" s="9" t="str">
        <f>_xlfn.CONCAT(HEX2DEC(MID(Table14[[#This Row],[Color Code]], 1, 2))," , ",HEX2DEC(MID(Table14[[#This Row],[Color Code]], 3, 2))," , ",HEX2DEC(MID(Table14[[#This Row],[Color Code]], 5, 2)))</f>
        <v>230 , 224 , 211</v>
      </c>
      <c r="D9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83.552378781217229</v>
      </c>
      <c r="E900" t="str">
        <f>Table14[[#This Row],[Color Code]] &amp; " - " &amp;Table14[[#This Row],[Color Name]]</f>
        <v>E6E0D3 - L159</v>
      </c>
    </row>
    <row r="901" spans="1:5" x14ac:dyDescent="0.35">
      <c r="A901" s="17" t="s">
        <v>3013</v>
      </c>
      <c r="B901" t="s">
        <v>5257</v>
      </c>
      <c r="C901" s="9" t="str">
        <f>_xlfn.CONCAT(HEX2DEC(MID(Table14[[#This Row],[Color Code]], 1, 2))," , ",HEX2DEC(MID(Table14[[#This Row],[Color Code]], 3, 2))," , ",HEX2DEC(MID(Table14[[#This Row],[Color Code]], 5, 2)))</f>
        <v>208 , 234 , 212</v>
      </c>
      <c r="D9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83.582294775867453</v>
      </c>
      <c r="E901" t="str">
        <f>Table14[[#This Row],[Color Code]] &amp; " - " &amp;Table14[[#This Row],[Color Name]]</f>
        <v>D0EAD4 - 7611</v>
      </c>
    </row>
    <row r="902" spans="1:5" x14ac:dyDescent="0.35">
      <c r="A902" s="17" t="s">
        <v>2453</v>
      </c>
      <c r="B902" t="s">
        <v>4645</v>
      </c>
      <c r="C902" s="9" t="str">
        <f>_xlfn.CONCAT(HEX2DEC(MID(Table14[[#This Row],[Color Code]], 1, 2))," , ",HEX2DEC(MID(Table14[[#This Row],[Color Code]], 3, 2))," , ",HEX2DEC(MID(Table14[[#This Row],[Color Code]], 5, 2)))</f>
        <v>233 , 223 , 210</v>
      </c>
      <c r="D9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83.725742755737912</v>
      </c>
      <c r="E902" t="str">
        <f>Table14[[#This Row],[Color Code]] &amp; " - " &amp;Table14[[#This Row],[Color Name]]</f>
        <v>E9DFD2 - 0952</v>
      </c>
    </row>
    <row r="903" spans="1:5" x14ac:dyDescent="0.35">
      <c r="A903" s="17" t="s">
        <v>3274</v>
      </c>
      <c r="B903" t="s">
        <v>5533</v>
      </c>
      <c r="C903" s="9" t="str">
        <f>_xlfn.CONCAT(HEX2DEC(MID(Table14[[#This Row],[Color Code]], 1, 2))," , ",HEX2DEC(MID(Table14[[#This Row],[Color Code]], 3, 2))," , ",HEX2DEC(MID(Table14[[#This Row],[Color Code]], 5, 2)))</f>
        <v>254 , 231 , 149</v>
      </c>
      <c r="D9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83.761566365487695</v>
      </c>
      <c r="E903" t="str">
        <f>Table14[[#This Row],[Color Code]] &amp; " - " &amp;Table14[[#This Row],[Color Name]]</f>
        <v>FEE795 - 7864</v>
      </c>
    </row>
    <row r="904" spans="1:5" x14ac:dyDescent="0.35">
      <c r="A904" s="17" t="s">
        <v>3191</v>
      </c>
      <c r="B904" t="s">
        <v>5449</v>
      </c>
      <c r="C904" s="9" t="str">
        <f>_xlfn.CONCAT(HEX2DEC(MID(Table14[[#This Row],[Color Code]], 1, 2))," , ",HEX2DEC(MID(Table14[[#This Row],[Color Code]], 3, 2))," , ",HEX2DEC(MID(Table14[[#This Row],[Color Code]], 5, 2)))</f>
        <v>231 , 228 , 207</v>
      </c>
      <c r="D9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83.868945385047027</v>
      </c>
      <c r="E904" t="str">
        <f>Table14[[#This Row],[Color Code]] &amp; " - " &amp;Table14[[#This Row],[Color Name]]</f>
        <v>E7E4CF - 7788</v>
      </c>
    </row>
    <row r="905" spans="1:5" x14ac:dyDescent="0.35">
      <c r="A905" s="17" t="s">
        <v>4062</v>
      </c>
      <c r="B905" t="s">
        <v>6406</v>
      </c>
      <c r="C905" s="9" t="str">
        <f>_xlfn.CONCAT(HEX2DEC(MID(Table14[[#This Row],[Color Code]], 1, 2))," , ",HEX2DEC(MID(Table14[[#This Row],[Color Code]], 3, 2))," , ",HEX2DEC(MID(Table14[[#This Row],[Color Code]], 5, 2)))</f>
        <v>172 , 121 , 94</v>
      </c>
      <c r="D9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83.8868285251028</v>
      </c>
      <c r="E905" t="str">
        <f>Table14[[#This Row],[Color Code]] &amp; " - " &amp;Table14[[#This Row],[Color Name]]</f>
        <v>AC795E - K199</v>
      </c>
    </row>
    <row r="906" spans="1:5" x14ac:dyDescent="0.35">
      <c r="A906" s="17" t="s">
        <v>4494</v>
      </c>
      <c r="B906" t="s">
        <v>6041</v>
      </c>
      <c r="C906" s="9" t="str">
        <f>_xlfn.CONCAT(HEX2DEC(MID(Table14[[#This Row],[Color Code]], 1, 2))," , ",HEX2DEC(MID(Table14[[#This Row],[Color Code]], 3, 2))," , ",HEX2DEC(MID(Table14[[#This Row],[Color Code]], 5, 2)))</f>
        <v>119 , 135 , 144</v>
      </c>
      <c r="D9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83.964278118733333</v>
      </c>
      <c r="E906" t="str">
        <f>Table14[[#This Row],[Color Code]] &amp; " - " &amp;Table14[[#This Row],[Color Name]]</f>
        <v>778790 - 8264</v>
      </c>
    </row>
    <row r="907" spans="1:5" x14ac:dyDescent="0.35">
      <c r="A907" s="17" t="s">
        <v>3078</v>
      </c>
      <c r="B907" t="s">
        <v>5329</v>
      </c>
      <c r="C907" s="9" t="str">
        <f>_xlfn.CONCAT(HEX2DEC(MID(Table14[[#This Row],[Color Code]], 1, 2))," , ",HEX2DEC(MID(Table14[[#This Row],[Color Code]], 3, 2))," , ",HEX2DEC(MID(Table14[[#This Row],[Color Code]], 5, 2)))</f>
        <v>227 , 229 , 209</v>
      </c>
      <c r="D9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84.005952170069477</v>
      </c>
      <c r="E907" t="str">
        <f>Table14[[#This Row],[Color Code]] &amp; " - " &amp;Table14[[#This Row],[Color Name]]</f>
        <v>E3E5D1 - 0972</v>
      </c>
    </row>
    <row r="908" spans="1:5" x14ac:dyDescent="0.35">
      <c r="A908" s="17" t="s">
        <v>2968</v>
      </c>
      <c r="B908" t="s">
        <v>5209</v>
      </c>
      <c r="C908" s="9" t="str">
        <f>_xlfn.CONCAT(HEX2DEC(MID(Table14[[#This Row],[Color Code]], 1, 2))," , ",HEX2DEC(MID(Table14[[#This Row],[Color Code]], 3, 2))," , ",HEX2DEC(MID(Table14[[#This Row],[Color Code]], 5, 2)))</f>
        <v>210 , 230 , 216</v>
      </c>
      <c r="D9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84.083292038311626</v>
      </c>
      <c r="E908" t="str">
        <f>Table14[[#This Row],[Color Code]] &amp; " - " &amp;Table14[[#This Row],[Color Name]]</f>
        <v>D2E6D8 - 7563</v>
      </c>
    </row>
    <row r="909" spans="1:5" x14ac:dyDescent="0.35">
      <c r="A909" s="17" t="s">
        <v>4061</v>
      </c>
      <c r="B909" t="s">
        <v>6405</v>
      </c>
      <c r="C909" s="9" t="str">
        <f>_xlfn.CONCAT(HEX2DEC(MID(Table14[[#This Row],[Color Code]], 1, 2))," , ",HEX2DEC(MID(Table14[[#This Row],[Color Code]], 3, 2))," , ",HEX2DEC(MID(Table14[[#This Row],[Color Code]], 5, 2)))</f>
        <v>166 , 122 , 95</v>
      </c>
      <c r="D9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84.172442046075858</v>
      </c>
      <c r="E909" t="str">
        <f>Table14[[#This Row],[Color Code]] &amp; " - " &amp;Table14[[#This Row],[Color Name]]</f>
        <v>A67A5F - K198</v>
      </c>
    </row>
    <row r="910" spans="1:5" x14ac:dyDescent="0.35">
      <c r="A910" s="17" t="s">
        <v>2893</v>
      </c>
      <c r="B910" t="s">
        <v>5117</v>
      </c>
      <c r="C910" s="9" t="str">
        <f>_xlfn.CONCAT(HEX2DEC(MID(Table14[[#This Row],[Color Code]], 1, 2))," , ",HEX2DEC(MID(Table14[[#This Row],[Color Code]], 3, 2))," , ",HEX2DEC(MID(Table14[[#This Row],[Color Code]], 5, 2)))</f>
        <v>110 , 161 , 168</v>
      </c>
      <c r="D9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84.196199439167088</v>
      </c>
      <c r="E910" t="str">
        <f>Table14[[#This Row],[Color Code]] &amp; " - " &amp;Table14[[#This Row],[Color Name]]</f>
        <v>6EA1A8 - 9709</v>
      </c>
    </row>
    <row r="911" spans="1:5" x14ac:dyDescent="0.35">
      <c r="A911" s="17" t="s">
        <v>2672</v>
      </c>
      <c r="B911" t="s">
        <v>4879</v>
      </c>
      <c r="C911" s="9" t="str">
        <f>_xlfn.CONCAT(HEX2DEC(MID(Table14[[#This Row],[Color Code]], 1, 2))," , ",HEX2DEC(MID(Table14[[#This Row],[Color Code]], 3, 2))," , ",HEX2DEC(MID(Table14[[#This Row],[Color Code]], 5, 2)))</f>
        <v>130 , 122 , 176</v>
      </c>
      <c r="D9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84.225886756982263</v>
      </c>
      <c r="E911" t="str">
        <f>Table14[[#This Row],[Color Code]] &amp; " - " &amp;Table14[[#This Row],[Color Name]]</f>
        <v>827AB0 - 7158</v>
      </c>
    </row>
    <row r="912" spans="1:5" x14ac:dyDescent="0.35">
      <c r="A912" s="17" t="s">
        <v>3102</v>
      </c>
      <c r="B912" t="s">
        <v>5354</v>
      </c>
      <c r="C912" s="9" t="str">
        <f>_xlfn.CONCAT(HEX2DEC(MID(Table14[[#This Row],[Color Code]], 1, 2))," , ",HEX2DEC(MID(Table14[[#This Row],[Color Code]], 3, 2))," , ",HEX2DEC(MID(Table14[[#This Row],[Color Code]], 5, 2)))</f>
        <v>231 , 233 , 202</v>
      </c>
      <c r="D9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84.225886756982263</v>
      </c>
      <c r="E912" t="str">
        <f>Table14[[#This Row],[Color Code]] &amp; " - " &amp;Table14[[#This Row],[Color Name]]</f>
        <v>E7E9CA - 2353</v>
      </c>
    </row>
    <row r="913" spans="1:5" x14ac:dyDescent="0.35">
      <c r="A913" s="17" t="s">
        <v>4039</v>
      </c>
      <c r="B913" t="s">
        <v>6381</v>
      </c>
      <c r="C913" s="9" t="str">
        <f>_xlfn.CONCAT(HEX2DEC(MID(Table14[[#This Row],[Color Code]], 1, 2))," , ",HEX2DEC(MID(Table14[[#This Row],[Color Code]], 3, 2))," , ",HEX2DEC(MID(Table14[[#This Row],[Color Code]], 5, 2)))</f>
        <v>239 , 223 , 206</v>
      </c>
      <c r="D9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84.344531535838172</v>
      </c>
      <c r="E913" t="str">
        <f>Table14[[#This Row],[Color Code]] &amp; " - " &amp;Table14[[#This Row],[Color Name]]</f>
        <v>EFDFCE - 8580</v>
      </c>
    </row>
    <row r="914" spans="1:5" x14ac:dyDescent="0.35">
      <c r="A914" s="17" t="s">
        <v>3021</v>
      </c>
      <c r="B914" t="s">
        <v>5265</v>
      </c>
      <c r="C914" s="9" t="str">
        <f>_xlfn.CONCAT(HEX2DEC(MID(Table14[[#This Row],[Color Code]], 1, 2))," , ",HEX2DEC(MID(Table14[[#This Row],[Color Code]], 3, 2))," , ",HEX2DEC(MID(Table14[[#This Row],[Color Code]], 5, 2)))</f>
        <v>209 , 240 , 206</v>
      </c>
      <c r="D9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84.350459394125409</v>
      </c>
      <c r="E914" t="str">
        <f>Table14[[#This Row],[Color Code]] &amp; " - " &amp;Table14[[#This Row],[Color Name]]</f>
        <v>D1F0CE - 9761</v>
      </c>
    </row>
    <row r="915" spans="1:5" x14ac:dyDescent="0.35">
      <c r="A915" s="17" t="s">
        <v>2857</v>
      </c>
      <c r="B915" t="s">
        <v>5075</v>
      </c>
      <c r="C915" s="9" t="str">
        <f>_xlfn.CONCAT(HEX2DEC(MID(Table14[[#This Row],[Color Code]], 1, 2))," , ",HEX2DEC(MID(Table14[[#This Row],[Color Code]], 3, 2))," , ",HEX2DEC(MID(Table14[[#This Row],[Color Code]], 5, 2)))</f>
        <v>165 , 217 , 223</v>
      </c>
      <c r="D9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84.362313861107438</v>
      </c>
      <c r="E915" t="str">
        <f>Table14[[#This Row],[Color Code]] &amp; " - " &amp;Table14[[#This Row],[Color Name]]</f>
        <v>A5D9DF - 1319</v>
      </c>
    </row>
    <row r="916" spans="1:5" x14ac:dyDescent="0.35">
      <c r="A916" s="17" t="s">
        <v>4029</v>
      </c>
      <c r="B916" t="s">
        <v>6371</v>
      </c>
      <c r="C916" s="9" t="str">
        <f>_xlfn.CONCAT(HEX2DEC(MID(Table14[[#This Row],[Color Code]], 1, 2))," , ",HEX2DEC(MID(Table14[[#This Row],[Color Code]], 3, 2))," , ",HEX2DEC(MID(Table14[[#This Row],[Color Code]], 5, 2)))</f>
        <v>172 , 125 , 90</v>
      </c>
      <c r="D9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84.409715080670665</v>
      </c>
      <c r="E916" t="str">
        <f>Table14[[#This Row],[Color Code]] &amp; " - " &amp;Table14[[#This Row],[Color Name]]</f>
        <v>AC7D5A - 8558</v>
      </c>
    </row>
    <row r="917" spans="1:5" x14ac:dyDescent="0.35">
      <c r="A917" s="17" t="s">
        <v>4171</v>
      </c>
      <c r="B917" t="s">
        <v>6526</v>
      </c>
      <c r="C917" s="9" t="str">
        <f>_xlfn.CONCAT(HEX2DEC(MID(Table14[[#This Row],[Color Code]], 1, 2))," , ",HEX2DEC(MID(Table14[[#This Row],[Color Code]], 3, 2))," , ",HEX2DEC(MID(Table14[[#This Row],[Color Code]], 5, 2)))</f>
        <v>249 , 217 , 201</v>
      </c>
      <c r="D9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84.433405711246778</v>
      </c>
      <c r="E917" t="str">
        <f>Table14[[#This Row],[Color Code]] &amp; " - " &amp;Table14[[#This Row],[Color Name]]</f>
        <v>F9D9C9 - K248</v>
      </c>
    </row>
    <row r="918" spans="1:5" x14ac:dyDescent="0.35">
      <c r="A918" s="17" t="s">
        <v>2443</v>
      </c>
      <c r="B918" t="s">
        <v>4635</v>
      </c>
      <c r="C918" s="9" t="str">
        <f>_xlfn.CONCAT(HEX2DEC(MID(Table14[[#This Row],[Color Code]], 1, 2))," , ",HEX2DEC(MID(Table14[[#This Row],[Color Code]], 3, 2))," , ",HEX2DEC(MID(Table14[[#This Row],[Color Code]], 5, 2)))</f>
        <v>241 , 227 , 200</v>
      </c>
      <c r="D9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84.439327330338202</v>
      </c>
      <c r="E918" t="str">
        <f>Table14[[#This Row],[Color Code]] &amp; " - " &amp;Table14[[#This Row],[Color Name]]</f>
        <v>F1E3C8 - 0307</v>
      </c>
    </row>
    <row r="919" spans="1:5" x14ac:dyDescent="0.35">
      <c r="A919" s="17" t="s">
        <v>3087</v>
      </c>
      <c r="B919" t="s">
        <v>5339</v>
      </c>
      <c r="C919" s="9" t="str">
        <f>_xlfn.CONCAT(HEX2DEC(MID(Table14[[#This Row],[Color Code]], 1, 2))," , ",HEX2DEC(MID(Table14[[#This Row],[Color Code]], 3, 2))," , ",HEX2DEC(MID(Table14[[#This Row],[Color Code]], 5, 2)))</f>
        <v>232 , 235 , 199</v>
      </c>
      <c r="D9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84.474848327771497</v>
      </c>
      <c r="E919" t="str">
        <f>Table14[[#This Row],[Color Code]] &amp; " - " &amp;Table14[[#This Row],[Color Name]]</f>
        <v>E8EBC7 - 2467</v>
      </c>
    </row>
    <row r="920" spans="1:5" x14ac:dyDescent="0.35">
      <c r="A920" s="17" t="s">
        <v>3094</v>
      </c>
      <c r="B920" t="s">
        <v>5346</v>
      </c>
      <c r="C920" s="9" t="str">
        <f>_xlfn.CONCAT(HEX2DEC(MID(Table14[[#This Row],[Color Code]], 1, 2))," , ",HEX2DEC(MID(Table14[[#This Row],[Color Code]], 3, 2))," , ",HEX2DEC(MID(Table14[[#This Row],[Color Code]], 5, 2)))</f>
        <v>232 , 231 , 204</v>
      </c>
      <c r="D9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84.480767041972342</v>
      </c>
      <c r="E920" t="str">
        <f>Table14[[#This Row],[Color Code]] &amp; " - " &amp;Table14[[#This Row],[Color Name]]</f>
        <v>E8E7CC - 7723</v>
      </c>
    </row>
    <row r="921" spans="1:5" x14ac:dyDescent="0.35">
      <c r="A921" s="17" t="s">
        <v>4487</v>
      </c>
      <c r="B921" t="s">
        <v>5975</v>
      </c>
      <c r="C921" s="9" t="str">
        <f>_xlfn.CONCAT(HEX2DEC(MID(Table14[[#This Row],[Color Code]], 1, 2))," , ",HEX2DEC(MID(Table14[[#This Row],[Color Code]], 3, 2))," , ",HEX2DEC(MID(Table14[[#This Row],[Color Code]], 5, 2)))</f>
        <v>132 , 121 , 130</v>
      </c>
      <c r="D9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84.504437753291981</v>
      </c>
      <c r="E921" t="str">
        <f>Table14[[#This Row],[Color Code]] &amp; " - " &amp;Table14[[#This Row],[Color Name]]</f>
        <v>847982 - K070</v>
      </c>
    </row>
    <row r="922" spans="1:5" x14ac:dyDescent="0.35">
      <c r="A922" s="17" t="s">
        <v>2962</v>
      </c>
      <c r="B922" t="s">
        <v>5201</v>
      </c>
      <c r="C922" s="9" t="str">
        <f>_xlfn.CONCAT(HEX2DEC(MID(Table14[[#This Row],[Color Code]], 1, 2))," , ",HEX2DEC(MID(Table14[[#This Row],[Color Code]], 3, 2))," , ",HEX2DEC(MID(Table14[[#This Row],[Color Code]], 5, 2)))</f>
        <v>200 , 232 , 217</v>
      </c>
      <c r="D9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84.599054368237475</v>
      </c>
      <c r="E922" t="str">
        <f>Table14[[#This Row],[Color Code]] &amp; " - " &amp;Table14[[#This Row],[Color Name]]</f>
        <v>C8E8D9 - 7555</v>
      </c>
    </row>
    <row r="923" spans="1:5" x14ac:dyDescent="0.35">
      <c r="A923" s="17" t="s">
        <v>3184</v>
      </c>
      <c r="B923" t="s">
        <v>5442</v>
      </c>
      <c r="C923" s="9" t="str">
        <f>_xlfn.CONCAT(HEX2DEC(MID(Table14[[#This Row],[Color Code]], 1, 2))," , ",HEX2DEC(MID(Table14[[#This Row],[Color Code]], 3, 2))," , ",HEX2DEC(MID(Table14[[#This Row],[Color Code]], 5, 2)))</f>
        <v>238 , 233 , 196</v>
      </c>
      <c r="D9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84.622691992160114</v>
      </c>
      <c r="E923" t="str">
        <f>Table14[[#This Row],[Color Code]] &amp; " - " &amp;Table14[[#This Row],[Color Name]]</f>
        <v>EEE9C4 - 7779</v>
      </c>
    </row>
    <row r="924" spans="1:5" x14ac:dyDescent="0.35">
      <c r="A924" s="17" t="s">
        <v>3741</v>
      </c>
      <c r="B924" t="s">
        <v>6030</v>
      </c>
      <c r="C924" s="9" t="str">
        <f>_xlfn.CONCAT(HEX2DEC(MID(Table14[[#This Row],[Color Code]], 1, 2))," , ",HEX2DEC(MID(Table14[[#This Row],[Color Code]], 3, 2))," , ",HEX2DEC(MID(Table14[[#This Row],[Color Code]], 5, 2)))</f>
        <v>220 , 220 , 221</v>
      </c>
      <c r="D9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84.64632301523794</v>
      </c>
      <c r="E924" t="str">
        <f>Table14[[#This Row],[Color Code]] &amp; " - " &amp;Table14[[#This Row],[Color Name]]</f>
        <v>DCDCDD - K091</v>
      </c>
    </row>
    <row r="925" spans="1:5" x14ac:dyDescent="0.35">
      <c r="A925" s="17" t="s">
        <v>2694</v>
      </c>
      <c r="B925" t="s">
        <v>4902</v>
      </c>
      <c r="C925" s="9" t="str">
        <f>_xlfn.CONCAT(HEX2DEC(MID(Table14[[#This Row],[Color Code]], 1, 2))," , ",HEX2DEC(MID(Table14[[#This Row],[Color Code]], 3, 2))," , ",HEX2DEC(MID(Table14[[#This Row],[Color Code]], 5, 2)))</f>
        <v>124 , 125 , 147</v>
      </c>
      <c r="D9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84.782073576906569</v>
      </c>
      <c r="E925" t="str">
        <f>Table14[[#This Row],[Color Code]] &amp; " - " &amp;Table14[[#This Row],[Color Name]]</f>
        <v>7C7D93 - 7191</v>
      </c>
    </row>
    <row r="926" spans="1:5" x14ac:dyDescent="0.35">
      <c r="A926" s="17" t="s">
        <v>2869</v>
      </c>
      <c r="B926" t="s">
        <v>5089</v>
      </c>
      <c r="C926" s="9" t="str">
        <f>_xlfn.CONCAT(HEX2DEC(MID(Table14[[#This Row],[Color Code]], 1, 2))," , ",HEX2DEC(MID(Table14[[#This Row],[Color Code]], 3, 2))," , ",HEX2DEC(MID(Table14[[#This Row],[Color Code]], 5, 2)))</f>
        <v>192 , 227 , 222</v>
      </c>
      <c r="D9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84.811555816409836</v>
      </c>
      <c r="E926" t="str">
        <f>Table14[[#This Row],[Color Code]] &amp; " - " &amp;Table14[[#This Row],[Color Name]]</f>
        <v>C0E3DE - 7459</v>
      </c>
    </row>
    <row r="927" spans="1:5" x14ac:dyDescent="0.35">
      <c r="A927" s="17" t="s">
        <v>2550</v>
      </c>
      <c r="B927" t="s">
        <v>4744</v>
      </c>
      <c r="C927" s="9" t="str">
        <f>_xlfn.CONCAT(HEX2DEC(MID(Table14[[#This Row],[Color Code]], 1, 2))," , ",HEX2DEC(MID(Table14[[#This Row],[Color Code]], 3, 2))," , ",HEX2DEC(MID(Table14[[#This Row],[Color Code]], 5, 2)))</f>
        <v>217 , 226 , 218</v>
      </c>
      <c r="D9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84.823345842993007</v>
      </c>
      <c r="E927" t="str">
        <f>Table14[[#This Row],[Color Code]] &amp; " - " &amp;Table14[[#This Row],[Color Name]]</f>
        <v>D9E2DA - 8347</v>
      </c>
    </row>
    <row r="928" spans="1:5" x14ac:dyDescent="0.35">
      <c r="A928" s="17" t="s">
        <v>3362</v>
      </c>
      <c r="B928" t="s">
        <v>5621</v>
      </c>
      <c r="C928" s="9" t="str">
        <f>_xlfn.CONCAT(HEX2DEC(MID(Table14[[#This Row],[Color Code]], 1, 2))," , ",HEX2DEC(MID(Table14[[#This Row],[Color Code]], 3, 2))," , ",HEX2DEC(MID(Table14[[#This Row],[Color Code]], 5, 2)))</f>
        <v>254 , 201 , 103</v>
      </c>
      <c r="D9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84.994117443503114</v>
      </c>
      <c r="E928" t="str">
        <f>Table14[[#This Row],[Color Code]] &amp; " - " &amp;Table14[[#This Row],[Color Name]]</f>
        <v>FEC967 - 7943</v>
      </c>
    </row>
    <row r="929" spans="1:5" x14ac:dyDescent="0.35">
      <c r="A929" s="17" t="s">
        <v>3372</v>
      </c>
      <c r="B929" t="s">
        <v>5631</v>
      </c>
      <c r="C929" s="9" t="str">
        <f>_xlfn.CONCAT(HEX2DEC(MID(Table14[[#This Row],[Color Code]], 1, 2))," , ",HEX2DEC(MID(Table14[[#This Row],[Color Code]], 3, 2))," , ",HEX2DEC(MID(Table14[[#This Row],[Color Code]], 5, 2)))</f>
        <v>252 , 226 , 187</v>
      </c>
      <c r="D9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</v>
      </c>
      <c r="E929" t="str">
        <f>Table14[[#This Row],[Color Code]] &amp; " - " &amp;Table14[[#This Row],[Color Name]]</f>
        <v>FCE2BB - 7954</v>
      </c>
    </row>
    <row r="930" spans="1:5" x14ac:dyDescent="0.35">
      <c r="A930" s="17" t="s">
        <v>3465</v>
      </c>
      <c r="B930" t="s">
        <v>5730</v>
      </c>
      <c r="C930" s="9" t="str">
        <f>_xlfn.CONCAT(HEX2DEC(MID(Table14[[#This Row],[Color Code]], 1, 2))," , ",HEX2DEC(MID(Table14[[#This Row],[Color Code]], 3, 2))," , ",HEX2DEC(MID(Table14[[#This Row],[Color Code]], 5, 2)))</f>
        <v>205 , 123 , 89</v>
      </c>
      <c r="D9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85.023526155999903</v>
      </c>
      <c r="E930" t="str">
        <f>Table14[[#This Row],[Color Code]] &amp; " - " &amp;Table14[[#This Row],[Color Name]]</f>
        <v>CD7B59 - 0578</v>
      </c>
    </row>
    <row r="931" spans="1:5" x14ac:dyDescent="0.35">
      <c r="A931" s="17" t="s">
        <v>2743</v>
      </c>
      <c r="B931" t="s">
        <v>4955</v>
      </c>
      <c r="C931" s="9" t="str">
        <f>_xlfn.CONCAT(HEX2DEC(MID(Table14[[#This Row],[Color Code]], 1, 2))," , ",HEX2DEC(MID(Table14[[#This Row],[Color Code]], 3, 2))," , ",HEX2DEC(MID(Table14[[#This Row],[Color Code]], 5, 2)))</f>
        <v>196 , 215 , 230</v>
      </c>
      <c r="D9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85.094065598019228</v>
      </c>
      <c r="E931" t="str">
        <f>Table14[[#This Row],[Color Code]] &amp; " - " &amp;Table14[[#This Row],[Color Name]]</f>
        <v>C4D7E6 - 7250</v>
      </c>
    </row>
    <row r="932" spans="1:5" x14ac:dyDescent="0.35">
      <c r="A932" s="17" t="s">
        <v>3108</v>
      </c>
      <c r="B932" t="s">
        <v>5361</v>
      </c>
      <c r="C932" s="9" t="str">
        <f>_xlfn.CONCAT(HEX2DEC(MID(Table14[[#This Row],[Color Code]], 1, 2))," , ",HEX2DEC(MID(Table14[[#This Row],[Color Code]], 3, 2))," , ",HEX2DEC(MID(Table14[[#This Row],[Color Code]], 5, 2)))</f>
        <v>226 , 238 , 201</v>
      </c>
      <c r="D9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85.094065598019228</v>
      </c>
      <c r="E932" t="str">
        <f>Table14[[#This Row],[Color Code]] &amp; " - " &amp;Table14[[#This Row],[Color Name]]</f>
        <v>E2EEC9 - 9795</v>
      </c>
    </row>
    <row r="933" spans="1:5" x14ac:dyDescent="0.35">
      <c r="A933" s="17" t="s">
        <v>3605</v>
      </c>
      <c r="B933" t="s">
        <v>5874</v>
      </c>
      <c r="C933" s="9" t="str">
        <f>_xlfn.CONCAT(HEX2DEC(MID(Table14[[#This Row],[Color Code]], 1, 2))," , ",HEX2DEC(MID(Table14[[#This Row],[Color Code]], 3, 2))," , ",HEX2DEC(MID(Table14[[#This Row],[Color Code]], 5, 2)))</f>
        <v>183 , 102 , 112</v>
      </c>
      <c r="D9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85.199765257892579</v>
      </c>
      <c r="E933" t="str">
        <f>Table14[[#This Row],[Color Code]] &amp; " - " &amp;Table14[[#This Row],[Color Name]]</f>
        <v>B76670 - 5155</v>
      </c>
    </row>
    <row r="934" spans="1:5" x14ac:dyDescent="0.35">
      <c r="A934" s="17" t="s">
        <v>3343</v>
      </c>
      <c r="B934" t="s">
        <v>5602</v>
      </c>
      <c r="C934" s="9" t="str">
        <f>_xlfn.CONCAT(HEX2DEC(MID(Table14[[#This Row],[Color Code]], 1, 2))," , ",HEX2DEC(MID(Table14[[#This Row],[Color Code]], 3, 2))," , ",HEX2DEC(MID(Table14[[#This Row],[Color Code]], 5, 2)))</f>
        <v>250 , 228 , 188</v>
      </c>
      <c r="D9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85.217369121558775</v>
      </c>
      <c r="E934" t="str">
        <f>Table14[[#This Row],[Color Code]] &amp; " - " &amp;Table14[[#This Row],[Color Name]]</f>
        <v>FAE4BC - 7930</v>
      </c>
    </row>
    <row r="935" spans="1:5" x14ac:dyDescent="0.35">
      <c r="A935" s="17" t="s">
        <v>3241</v>
      </c>
      <c r="B935" t="s">
        <v>5499</v>
      </c>
      <c r="C935" s="9" t="str">
        <f>_xlfn.CONCAT(HEX2DEC(MID(Table14[[#This Row],[Color Code]], 1, 2))," , ",HEX2DEC(MID(Table14[[#This Row],[Color Code]], 3, 2))," , ",HEX2DEC(MID(Table14[[#This Row],[Color Code]], 5, 2)))</f>
        <v>241 , 231 , 197</v>
      </c>
      <c r="D9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85.445889310135925</v>
      </c>
      <c r="E935" t="str">
        <f>Table14[[#This Row],[Color Code]] &amp; " - " &amp;Table14[[#This Row],[Color Name]]</f>
        <v>F1E7C5 - 7842</v>
      </c>
    </row>
    <row r="936" spans="1:5" x14ac:dyDescent="0.35">
      <c r="A936" s="17" t="s">
        <v>2949</v>
      </c>
      <c r="B936" t="s">
        <v>5182</v>
      </c>
      <c r="C936" s="9" t="str">
        <f>_xlfn.CONCAT(HEX2DEC(MID(Table14[[#This Row],[Color Code]], 1, 2))," , ",HEX2DEC(MID(Table14[[#This Row],[Color Code]], 3, 2))," , ",HEX2DEC(MID(Table14[[#This Row],[Color Code]], 5, 2)))</f>
        <v>107 , 166 , 153</v>
      </c>
      <c r="D9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85.498537999196216</v>
      </c>
      <c r="E936" t="str">
        <f>Table14[[#This Row],[Color Code]] &amp; " - " &amp;Table14[[#This Row],[Color Name]]</f>
        <v>6BA699 - 7543</v>
      </c>
    </row>
    <row r="937" spans="1:5" x14ac:dyDescent="0.35">
      <c r="A937" s="17" t="s">
        <v>4455</v>
      </c>
      <c r="B937" t="s">
        <v>5326</v>
      </c>
      <c r="C937" s="9" t="str">
        <f>_xlfn.CONCAT(HEX2DEC(MID(Table14[[#This Row],[Color Code]], 1, 2))," , ",HEX2DEC(MID(Table14[[#This Row],[Color Code]], 3, 2))," , ",HEX2DEC(MID(Table14[[#This Row],[Color Code]], 5, 2)))</f>
        <v>128 , 150 , 104</v>
      </c>
      <c r="D9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85.568685861125616</v>
      </c>
      <c r="E937" t="str">
        <f>Table14[[#This Row],[Color Code]] &amp; " - " &amp;Table14[[#This Row],[Color Name]]</f>
        <v>809668 - 7678</v>
      </c>
    </row>
    <row r="938" spans="1:5" x14ac:dyDescent="0.35">
      <c r="A938" s="17" t="s">
        <v>4116</v>
      </c>
      <c r="B938" t="s">
        <v>6466</v>
      </c>
      <c r="C938" s="9" t="str">
        <f>_xlfn.CONCAT(HEX2DEC(MID(Table14[[#This Row],[Color Code]], 1, 2))," , ",HEX2DEC(MID(Table14[[#This Row],[Color Code]], 3, 2))," , ",HEX2DEC(MID(Table14[[#This Row],[Color Code]], 5, 2)))</f>
        <v>191 , 114 , 95</v>
      </c>
      <c r="D9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85.568685861125616</v>
      </c>
      <c r="E938" t="str">
        <f>Table14[[#This Row],[Color Code]] &amp; " - " &amp;Table14[[#This Row],[Color Name]]</f>
        <v>BF725F - K219</v>
      </c>
    </row>
    <row r="939" spans="1:5" x14ac:dyDescent="0.35">
      <c r="A939" s="17" t="s">
        <v>2794</v>
      </c>
      <c r="B939" t="s">
        <v>5009</v>
      </c>
      <c r="C939" s="9" t="str">
        <f>_xlfn.CONCAT(HEX2DEC(MID(Table14[[#This Row],[Color Code]], 1, 2))," , ",HEX2DEC(MID(Table14[[#This Row],[Color Code]], 3, 2))," , ",HEX2DEC(MID(Table14[[#This Row],[Color Code]], 5, 2)))</f>
        <v>164 , 212 , 227</v>
      </c>
      <c r="D9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85.656289903310665</v>
      </c>
      <c r="E939" t="str">
        <f>Table14[[#This Row],[Color Code]] &amp; " - " &amp;Table14[[#This Row],[Color Name]]</f>
        <v>A4D4E3 - 7362</v>
      </c>
    </row>
    <row r="940" spans="1:5" x14ac:dyDescent="0.35">
      <c r="A940" s="17" t="s">
        <v>2423</v>
      </c>
      <c r="B940" t="s">
        <v>4615</v>
      </c>
      <c r="C940" s="9" t="str">
        <f>_xlfn.CONCAT(HEX2DEC(MID(Table14[[#This Row],[Color Code]], 1, 2))," , ",HEX2DEC(MID(Table14[[#This Row],[Color Code]], 3, 2))," , ",HEX2DEC(MID(Table14[[#This Row],[Color Code]], 5, 2)))</f>
        <v>234 , 222 , 213</v>
      </c>
      <c r="D9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85.656289903310665</v>
      </c>
      <c r="E940" t="str">
        <f>Table14[[#This Row],[Color Code]] &amp; " - " &amp;Table14[[#This Row],[Color Name]]</f>
        <v>EADED5 - 0945</v>
      </c>
    </row>
    <row r="941" spans="1:5" x14ac:dyDescent="0.35">
      <c r="A941" s="17" t="s">
        <v>3380</v>
      </c>
      <c r="B941" t="s">
        <v>5639</v>
      </c>
      <c r="C941" s="9" t="str">
        <f>_xlfn.CONCAT(HEX2DEC(MID(Table14[[#This Row],[Color Code]], 1, 2))," , ",HEX2DEC(MID(Table14[[#This Row],[Color Code]], 3, 2))," , ",HEX2DEC(MID(Table14[[#This Row],[Color Code]], 5, 2)))</f>
        <v>251 , 227 , 189</v>
      </c>
      <c r="D9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85.679635853567916</v>
      </c>
      <c r="E941" t="str">
        <f>Table14[[#This Row],[Color Code]] &amp; " - " &amp;Table14[[#This Row],[Color Name]]</f>
        <v>FBE3BD - 7962</v>
      </c>
    </row>
    <row r="942" spans="1:5" x14ac:dyDescent="0.35">
      <c r="A942" s="17" t="s">
        <v>2680</v>
      </c>
      <c r="B942" t="s">
        <v>4887</v>
      </c>
      <c r="C942" s="9" t="str">
        <f>_xlfn.CONCAT(HEX2DEC(MID(Table14[[#This Row],[Color Code]], 1, 2))," , ",HEX2DEC(MID(Table14[[#This Row],[Color Code]], 3, 2))," , ",HEX2DEC(MID(Table14[[#This Row],[Color Code]], 5, 2)))</f>
        <v>125 , 124 , 171</v>
      </c>
      <c r="D9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85.708809348864477</v>
      </c>
      <c r="E942" t="str">
        <f>Table14[[#This Row],[Color Code]] &amp; " - " &amp;Table14[[#This Row],[Color Name]]</f>
        <v>7D7CAB - 7166</v>
      </c>
    </row>
    <row r="943" spans="1:5" x14ac:dyDescent="0.35">
      <c r="A943" s="17" t="s">
        <v>3638</v>
      </c>
      <c r="B943" t="s">
        <v>5909</v>
      </c>
      <c r="C943" s="9" t="str">
        <f>_xlfn.CONCAT(HEX2DEC(MID(Table14[[#This Row],[Color Code]], 1, 2))," , ",HEX2DEC(MID(Table14[[#This Row],[Color Code]], 3, 2))," , ",HEX2DEC(MID(Table14[[#This Row],[Color Code]], 5, 2)))</f>
        <v>241 , 210 , 216</v>
      </c>
      <c r="D9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85.714642856398811</v>
      </c>
      <c r="E943" t="str">
        <f>Table14[[#This Row],[Color Code]] &amp; " - " &amp;Table14[[#This Row],[Color Name]]</f>
        <v>F1D2D8 - K031</v>
      </c>
    </row>
    <row r="944" spans="1:5" x14ac:dyDescent="0.35">
      <c r="A944" s="17" t="s">
        <v>3625</v>
      </c>
      <c r="B944" t="s">
        <v>5895</v>
      </c>
      <c r="C944" s="9" t="str">
        <f>_xlfn.CONCAT(HEX2DEC(MID(Table14[[#This Row],[Color Code]], 1, 2))," , ",HEX2DEC(MID(Table14[[#This Row],[Color Code]], 3, 2))," , ",HEX2DEC(MID(Table14[[#This Row],[Color Code]], 5, 2)))</f>
        <v>242 , 207 , 217</v>
      </c>
      <c r="D9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85.837054935499737</v>
      </c>
      <c r="E944" t="str">
        <f>Table14[[#This Row],[Color Code]] &amp; " - " &amp;Table14[[#This Row],[Color Name]]</f>
        <v>F2CFD9 - 8138</v>
      </c>
    </row>
    <row r="945" spans="1:5" x14ac:dyDescent="0.35">
      <c r="A945" s="17" t="s">
        <v>3693</v>
      </c>
      <c r="B945" t="s">
        <v>5976</v>
      </c>
      <c r="C945" s="9" t="str">
        <f>_xlfn.CONCAT(HEX2DEC(MID(Table14[[#This Row],[Color Code]], 1, 2))," , ",HEX2DEC(MID(Table14[[#This Row],[Color Code]], 3, 2))," , ",HEX2DEC(MID(Table14[[#This Row],[Color Code]], 5, 2)))</f>
        <v>131 , 122 , 126</v>
      </c>
      <c r="D9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85.854528127525114</v>
      </c>
      <c r="E945" t="str">
        <f>Table14[[#This Row],[Color Code]] &amp; " - " &amp;Table14[[#This Row],[Color Name]]</f>
        <v>837A7E - K071</v>
      </c>
    </row>
    <row r="946" spans="1:5" x14ac:dyDescent="0.35">
      <c r="A946" s="17" t="s">
        <v>2758</v>
      </c>
      <c r="B946" t="s">
        <v>4970</v>
      </c>
      <c r="C946" s="9" t="str">
        <f>_xlfn.CONCAT(HEX2DEC(MID(Table14[[#This Row],[Color Code]], 1, 2))," , ",HEX2DEC(MID(Table14[[#This Row],[Color Code]], 3, 2))," , ",HEX2DEC(MID(Table14[[#This Row],[Color Code]], 5, 2)))</f>
        <v>114 , 148 , 179</v>
      </c>
      <c r="D9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85.959292691366414</v>
      </c>
      <c r="E946" t="str">
        <f>Table14[[#This Row],[Color Code]] &amp; " - " &amp;Table14[[#This Row],[Color Name]]</f>
        <v>7294B3 - 9650</v>
      </c>
    </row>
    <row r="947" spans="1:5" x14ac:dyDescent="0.35">
      <c r="A947" s="17" t="s">
        <v>3283</v>
      </c>
      <c r="B947" t="s">
        <v>5542</v>
      </c>
      <c r="C947" s="9" t="str">
        <f>_xlfn.CONCAT(HEX2DEC(MID(Table14[[#This Row],[Color Code]], 1, 2))," , ",HEX2DEC(MID(Table14[[#This Row],[Color Code]], 3, 2))," , ",HEX2DEC(MID(Table14[[#This Row],[Color Code]], 5, 2)))</f>
        <v>254 , 220 , 116</v>
      </c>
      <c r="D9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85.965109201349819</v>
      </c>
      <c r="E947" t="str">
        <f>Table14[[#This Row],[Color Code]] &amp; " - " &amp;Table14[[#This Row],[Color Name]]</f>
        <v>FEDC74 - 9876</v>
      </c>
    </row>
    <row r="948" spans="1:5" x14ac:dyDescent="0.35">
      <c r="A948" s="17" t="s">
        <v>2494</v>
      </c>
      <c r="B948" t="s">
        <v>4688</v>
      </c>
      <c r="C948" s="9" t="str">
        <f>_xlfn.CONCAT(HEX2DEC(MID(Table14[[#This Row],[Color Code]], 1, 2))," , ",HEX2DEC(MID(Table14[[#This Row],[Color Code]], 3, 2))," , ",HEX2DEC(MID(Table14[[#This Row],[Color Code]], 5, 2)))</f>
        <v>233 , 226 , 211</v>
      </c>
      <c r="D9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86.127812000537901</v>
      </c>
      <c r="E948" t="str">
        <f>Table14[[#This Row],[Color Code]] &amp; " - " &amp;Table14[[#This Row],[Color Name]]</f>
        <v>E9E2D3 - 8483</v>
      </c>
    </row>
    <row r="949" spans="1:5" x14ac:dyDescent="0.35">
      <c r="A949" s="17" t="s">
        <v>3552</v>
      </c>
      <c r="B949" t="s">
        <v>5821</v>
      </c>
      <c r="C949" s="9" t="str">
        <f>_xlfn.CONCAT(HEX2DEC(MID(Table14[[#This Row],[Color Code]], 1, 2))," , ",HEX2DEC(MID(Table14[[#This Row],[Color Code]], 3, 2))," , ",HEX2DEC(MID(Table14[[#This Row],[Color Code]], 5, 2)))</f>
        <v>247 , 212 , 210</v>
      </c>
      <c r="D9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86.133617130595411</v>
      </c>
      <c r="E949" t="str">
        <f>Table14[[#This Row],[Color Code]] &amp; " - " &amp;Table14[[#This Row],[Color Name]]</f>
        <v>F7D4D2 - 8083</v>
      </c>
    </row>
    <row r="950" spans="1:5" x14ac:dyDescent="0.35">
      <c r="A950" s="17" t="s">
        <v>3666</v>
      </c>
      <c r="B950" t="s">
        <v>5938</v>
      </c>
      <c r="C950" s="9" t="str">
        <f>_xlfn.CONCAT(HEX2DEC(MID(Table14[[#This Row],[Color Code]], 1, 2))," , ",HEX2DEC(MID(Table14[[#This Row],[Color Code]], 3, 2))," , ",HEX2DEC(MID(Table14[[#This Row],[Color Code]], 5, 2)))</f>
        <v>134 , 113 , 139</v>
      </c>
      <c r="D9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86.394444265820709</v>
      </c>
      <c r="E950" t="str">
        <f>Table14[[#This Row],[Color Code]] &amp; " - " &amp;Table14[[#This Row],[Color Name]]</f>
        <v>86718B - 9110</v>
      </c>
    </row>
    <row r="951" spans="1:5" x14ac:dyDescent="0.35">
      <c r="A951" s="17" t="s">
        <v>3207</v>
      </c>
      <c r="B951" t="s">
        <v>5465</v>
      </c>
      <c r="C951" s="9" t="str">
        <f>_xlfn.CONCAT(HEX2DEC(MID(Table14[[#This Row],[Color Code]], 1, 2))," , ",HEX2DEC(MID(Table14[[#This Row],[Color Code]], 3, 2))," , ",HEX2DEC(MID(Table14[[#This Row],[Color Code]], 5, 2)))</f>
        <v>237 , 231 , 203</v>
      </c>
      <c r="D9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86.400231481171389</v>
      </c>
      <c r="E951" t="str">
        <f>Table14[[#This Row],[Color Code]] &amp; " - " &amp;Table14[[#This Row],[Color Name]]</f>
        <v>EDE7CB - 7812</v>
      </c>
    </row>
    <row r="952" spans="1:5" x14ac:dyDescent="0.35">
      <c r="A952" s="17" t="s">
        <v>3915</v>
      </c>
      <c r="B952" t="s">
        <v>6241</v>
      </c>
      <c r="C952" s="9" t="str">
        <f>_xlfn.CONCAT(HEX2DEC(MID(Table14[[#This Row],[Color Code]], 1, 2))," , ",HEX2DEC(MID(Table14[[#This Row],[Color Code]], 3, 2))," , ",HEX2DEC(MID(Table14[[#This Row],[Color Code]], 5, 2)))</f>
        <v>131 , 127 , 117</v>
      </c>
      <c r="D9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86.423376467249881</v>
      </c>
      <c r="E952" t="str">
        <f>Table14[[#This Row],[Color Code]] &amp; " - " &amp;Table14[[#This Row],[Color Name]]</f>
        <v>837F75 - K161</v>
      </c>
    </row>
    <row r="953" spans="1:5" x14ac:dyDescent="0.35">
      <c r="A953" s="17" t="s">
        <v>3275</v>
      </c>
      <c r="B953" t="s">
        <v>5534</v>
      </c>
      <c r="C953" s="9" t="str">
        <f>_xlfn.CONCAT(HEX2DEC(MID(Table14[[#This Row],[Color Code]], 1, 2))," , ",HEX2DEC(MID(Table14[[#This Row],[Color Code]], 3, 2))," , ",HEX2DEC(MID(Table14[[#This Row],[Color Code]], 5, 2)))</f>
        <v>254 , 226 , 123</v>
      </c>
      <c r="D9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86.423376467249881</v>
      </c>
      <c r="E953" t="str">
        <f>Table14[[#This Row],[Color Code]] &amp; " - " &amp;Table14[[#This Row],[Color Name]]</f>
        <v>FEE27B - 7863</v>
      </c>
    </row>
    <row r="954" spans="1:5" x14ac:dyDescent="0.35">
      <c r="A954" s="17" t="s">
        <v>3071</v>
      </c>
      <c r="B954" t="s">
        <v>5321</v>
      </c>
      <c r="C954" s="9" t="str">
        <f>_xlfn.CONCAT(HEX2DEC(MID(Table14[[#This Row],[Color Code]], 1, 2))," , ",HEX2DEC(MID(Table14[[#This Row],[Color Code]], 3, 2))," , ",HEX2DEC(MID(Table14[[#This Row],[Color Code]], 5, 2)))</f>
        <v>225 , 232 , 211</v>
      </c>
      <c r="D9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86.452298986203942</v>
      </c>
      <c r="E954" t="str">
        <f>Table14[[#This Row],[Color Code]] &amp; " - " &amp;Table14[[#This Row],[Color Name]]</f>
        <v>E1E8D3 - 0946</v>
      </c>
    </row>
    <row r="955" spans="1:5" x14ac:dyDescent="0.35">
      <c r="A955" s="17" t="s">
        <v>2926</v>
      </c>
      <c r="B955" t="s">
        <v>5155</v>
      </c>
      <c r="C955" s="9" t="str">
        <f>_xlfn.CONCAT(HEX2DEC(MID(Table14[[#This Row],[Color Code]], 1, 2))," , ",HEX2DEC(MID(Table14[[#This Row],[Color Code]], 3, 2))," , ",HEX2DEC(MID(Table14[[#This Row],[Color Code]], 5, 2)))</f>
        <v>168 , 228 , 219</v>
      </c>
      <c r="D9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86.49277426467485</v>
      </c>
      <c r="E955" t="str">
        <f>Table14[[#This Row],[Color Code]] &amp; " - " &amp;Table14[[#This Row],[Color Name]]</f>
        <v>A8E4DB - 7514</v>
      </c>
    </row>
    <row r="956" spans="1:5" x14ac:dyDescent="0.35">
      <c r="A956" s="17" t="s">
        <v>2517</v>
      </c>
      <c r="B956" t="s">
        <v>4711</v>
      </c>
      <c r="C956" s="9" t="str">
        <f>_xlfn.CONCAT(HEX2DEC(MID(Table14[[#This Row],[Color Code]], 1, 2))," , ",HEX2DEC(MID(Table14[[#This Row],[Color Code]], 3, 2))," , ",HEX2DEC(MID(Table14[[#This Row],[Color Code]], 5, 2)))</f>
        <v>228 , 227 , 214</v>
      </c>
      <c r="D9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86.49277426467485</v>
      </c>
      <c r="E956" t="str">
        <f>Table14[[#This Row],[Color Code]] &amp; " - " &amp;Table14[[#This Row],[Color Name]]</f>
        <v>E4E3D6 - 8404</v>
      </c>
    </row>
    <row r="957" spans="1:5" x14ac:dyDescent="0.35">
      <c r="A957" s="17" t="s">
        <v>3566</v>
      </c>
      <c r="B957" t="s">
        <v>5835</v>
      </c>
      <c r="C957" s="9" t="str">
        <f>_xlfn.CONCAT(HEX2DEC(MID(Table14[[#This Row],[Color Code]], 1, 2))," , ",HEX2DEC(MID(Table14[[#This Row],[Color Code]], 3, 2))," , ",HEX2DEC(MID(Table14[[#This Row],[Color Code]], 5, 2)))</f>
        <v>199 , 104 , 106</v>
      </c>
      <c r="D9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86.550563256399428</v>
      </c>
      <c r="E957" t="str">
        <f>Table14[[#This Row],[Color Code]] &amp; " - " &amp;Table14[[#This Row],[Color Name]]</f>
        <v>C7686A - 9406</v>
      </c>
    </row>
    <row r="958" spans="1:5" x14ac:dyDescent="0.35">
      <c r="A958" s="17" t="s">
        <v>3276</v>
      </c>
      <c r="B958" t="s">
        <v>5535</v>
      </c>
      <c r="C958" s="9" t="str">
        <f>_xlfn.CONCAT(HEX2DEC(MID(Table14[[#This Row],[Color Code]], 1, 2))," , ",HEX2DEC(MID(Table14[[#This Row],[Color Code]], 3, 2))," , ",HEX2DEC(MID(Table14[[#This Row],[Color Code]], 5, 2)))</f>
        <v>242 , 209 , 93</v>
      </c>
      <c r="D9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86.602540378443862</v>
      </c>
      <c r="E958" t="str">
        <f>Table14[[#This Row],[Color Code]] &amp; " - " &amp;Table14[[#This Row],[Color Name]]</f>
        <v>F2D15D - 9874</v>
      </c>
    </row>
    <row r="959" spans="1:5" x14ac:dyDescent="0.35">
      <c r="A959" s="17" t="s">
        <v>2454</v>
      </c>
      <c r="B959" t="s">
        <v>4646</v>
      </c>
      <c r="C959" s="9" t="str">
        <f>_xlfn.CONCAT(HEX2DEC(MID(Table14[[#This Row],[Color Code]], 1, 2))," , ",HEX2DEC(MID(Table14[[#This Row],[Color Code]], 3, 2))," , ",HEX2DEC(MID(Table14[[#This Row],[Color Code]], 5, 2)))</f>
        <v>231 , 225 , 214</v>
      </c>
      <c r="D9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86.614086614129917</v>
      </c>
      <c r="E959" t="str">
        <f>Table14[[#This Row],[Color Code]] &amp; " - " &amp;Table14[[#This Row],[Color Name]]</f>
        <v>E7E1D6 - L173</v>
      </c>
    </row>
    <row r="960" spans="1:5" x14ac:dyDescent="0.35">
      <c r="A960" s="17" t="s">
        <v>3791</v>
      </c>
      <c r="B960" t="s">
        <v>6089</v>
      </c>
      <c r="C960" s="9" t="str">
        <f>_xlfn.CONCAT(HEX2DEC(MID(Table14[[#This Row],[Color Code]], 1, 2))," , ",HEX2DEC(MID(Table14[[#This Row],[Color Code]], 3, 2))," , ",HEX2DEC(MID(Table14[[#This Row],[Color Code]], 5, 2)))</f>
        <v>124 , 128 , 129</v>
      </c>
      <c r="D9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86.654486323559723</v>
      </c>
      <c r="E960" t="str">
        <f>Table14[[#This Row],[Color Code]] &amp; " - " &amp;Table14[[#This Row],[Color Name]]</f>
        <v>7C8081 - K106</v>
      </c>
    </row>
    <row r="961" spans="1:5" x14ac:dyDescent="0.35">
      <c r="A961" s="17" t="s">
        <v>2658</v>
      </c>
      <c r="B961" t="s">
        <v>4865</v>
      </c>
      <c r="C961" s="9" t="str">
        <f>_xlfn.CONCAT(HEX2DEC(MID(Table14[[#This Row],[Color Code]], 1, 2))," , ",HEX2DEC(MID(Table14[[#This Row],[Color Code]], 3, 2))," , ",HEX2DEC(MID(Table14[[#This Row],[Color Code]], 5, 2)))</f>
        <v>224 , 215 , 225</v>
      </c>
      <c r="D9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86.740993768805765</v>
      </c>
      <c r="E961" t="str">
        <f>Table14[[#This Row],[Color Code]] &amp; " - " &amp;Table14[[#This Row],[Color Name]]</f>
        <v>E0D7E1 - 7154</v>
      </c>
    </row>
    <row r="962" spans="1:5" x14ac:dyDescent="0.35">
      <c r="A962" s="17" t="s">
        <v>2439</v>
      </c>
      <c r="B962" t="s">
        <v>4631</v>
      </c>
      <c r="C962" s="9" t="str">
        <f>_xlfn.CONCAT(HEX2DEC(MID(Table14[[#This Row],[Color Code]], 1, 2))," , ",HEX2DEC(MID(Table14[[#This Row],[Color Code]], 3, 2))," , ",HEX2DEC(MID(Table14[[#This Row],[Color Code]], 5, 2)))</f>
        <v>238 , 227 , 207</v>
      </c>
      <c r="D9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86.740993768805765</v>
      </c>
      <c r="E962" t="str">
        <f>Table14[[#This Row],[Color Code]] &amp; " - " &amp;Table14[[#This Row],[Color Name]]</f>
        <v>EEE3CF - L127</v>
      </c>
    </row>
    <row r="963" spans="1:5" x14ac:dyDescent="0.35">
      <c r="A963" s="17" t="s">
        <v>3945</v>
      </c>
      <c r="B963" t="s">
        <v>6274</v>
      </c>
      <c r="C963" s="9" t="str">
        <f>_xlfn.CONCAT(HEX2DEC(MID(Table14[[#This Row],[Color Code]], 1, 2))," , ",HEX2DEC(MID(Table14[[#This Row],[Color Code]], 3, 2))," , ",HEX2DEC(MID(Table14[[#This Row],[Color Code]], 5, 2)))</f>
        <v>134 , 125 , 114</v>
      </c>
      <c r="D9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86.861959452915869</v>
      </c>
      <c r="E963" t="str">
        <f>Table14[[#This Row],[Color Code]] &amp; " - " &amp;Table14[[#This Row],[Color Name]]</f>
        <v>867D72 - 8471</v>
      </c>
    </row>
    <row r="964" spans="1:5" x14ac:dyDescent="0.35">
      <c r="A964" s="17" t="s">
        <v>2889</v>
      </c>
      <c r="B964" t="s">
        <v>5113</v>
      </c>
      <c r="C964" s="9" t="str">
        <f>_xlfn.CONCAT(HEX2DEC(MID(Table14[[#This Row],[Color Code]], 1, 2))," , ",HEX2DEC(MID(Table14[[#This Row],[Color Code]], 3, 2))," , ",HEX2DEC(MID(Table14[[#This Row],[Color Code]], 5, 2)))</f>
        <v>208 , 228 , 222</v>
      </c>
      <c r="D9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86.913750350563063</v>
      </c>
      <c r="E964" t="str">
        <f>Table14[[#This Row],[Color Code]] &amp; " - " &amp;Table14[[#This Row],[Color Name]]</f>
        <v>D0E4DE - 7475</v>
      </c>
    </row>
    <row r="965" spans="1:5" x14ac:dyDescent="0.35">
      <c r="A965" s="17" t="s">
        <v>4244</v>
      </c>
      <c r="B965" t="s">
        <v>6610</v>
      </c>
      <c r="C965" s="9" t="str">
        <f>_xlfn.CONCAT(HEX2DEC(MID(Table14[[#This Row],[Color Code]], 1, 2))," , ",HEX2DEC(MID(Table14[[#This Row],[Color Code]], 3, 2))," , ",HEX2DEC(MID(Table14[[#This Row],[Color Code]], 5, 2)))</f>
        <v>137 , 123 , 112</v>
      </c>
      <c r="D9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87.051708771281454</v>
      </c>
      <c r="E965" t="str">
        <f>Table14[[#This Row],[Color Code]] &amp; " - " &amp;Table14[[#This Row],[Color Name]]</f>
        <v>897B70 - 8759</v>
      </c>
    </row>
    <row r="966" spans="1:5" x14ac:dyDescent="0.35">
      <c r="A966" s="17" t="s">
        <v>2878</v>
      </c>
      <c r="B966" t="s">
        <v>5098</v>
      </c>
      <c r="C966" s="9" t="str">
        <f>_xlfn.CONCAT(HEX2DEC(MID(Table14[[#This Row],[Color Code]], 1, 2))," , ",HEX2DEC(MID(Table14[[#This Row],[Color Code]], 3, 2))," , ",HEX2DEC(MID(Table14[[#This Row],[Color Code]], 5, 2)))</f>
        <v>148 , 216 , 218</v>
      </c>
      <c r="D9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87.097646351666697</v>
      </c>
      <c r="E966" t="str">
        <f>Table14[[#This Row],[Color Code]] &amp; " - " &amp;Table14[[#This Row],[Color Name]]</f>
        <v>94D8DA - 9694</v>
      </c>
    </row>
    <row r="967" spans="1:5" x14ac:dyDescent="0.35">
      <c r="A967" s="17" t="s">
        <v>2944</v>
      </c>
      <c r="B967" t="s">
        <v>5177</v>
      </c>
      <c r="C967" s="9" t="str">
        <f>_xlfn.CONCAT(HEX2DEC(MID(Table14[[#This Row],[Color Code]], 1, 2))," , ",HEX2DEC(MID(Table14[[#This Row],[Color Code]], 3, 2))," , ",HEX2DEC(MID(Table14[[#This Row],[Color Code]], 5, 2)))</f>
        <v>207 , 231 , 220</v>
      </c>
      <c r="D9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87.097646351666697</v>
      </c>
      <c r="E967" t="str">
        <f>Table14[[#This Row],[Color Code]] &amp; " - " &amp;Table14[[#This Row],[Color Name]]</f>
        <v>CFE7DC - 0210</v>
      </c>
    </row>
    <row r="968" spans="1:5" x14ac:dyDescent="0.35">
      <c r="A968" s="17" t="s">
        <v>3197</v>
      </c>
      <c r="B968" t="s">
        <v>5455</v>
      </c>
      <c r="C968" s="9" t="str">
        <f>_xlfn.CONCAT(HEX2DEC(MID(Table14[[#This Row],[Color Code]], 1, 2))," , ",HEX2DEC(MID(Table14[[#This Row],[Color Code]], 3, 2))," , ",HEX2DEC(MID(Table14[[#This Row],[Color Code]], 5, 2)))</f>
        <v>140 , 136 , 97</v>
      </c>
      <c r="D9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87.114866699088736</v>
      </c>
      <c r="E968" t="str">
        <f>Table14[[#This Row],[Color Code]] &amp; " - " &amp;Table14[[#This Row],[Color Name]]</f>
        <v>8C8861 - 0342</v>
      </c>
    </row>
    <row r="969" spans="1:5" x14ac:dyDescent="0.35">
      <c r="A969" s="17" t="s">
        <v>3812</v>
      </c>
      <c r="B969" t="s">
        <v>6121</v>
      </c>
      <c r="C969" s="9" t="str">
        <f>_xlfn.CONCAT(HEX2DEC(MID(Table14[[#This Row],[Color Code]], 1, 2))," , ",HEX2DEC(MID(Table14[[#This Row],[Color Code]], 3, 2))," , ",HEX2DEC(MID(Table14[[#This Row],[Color Code]], 5, 2)))</f>
        <v>126 , 128 , 123</v>
      </c>
      <c r="D9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87.114866699088736</v>
      </c>
      <c r="E969" t="str">
        <f>Table14[[#This Row],[Color Code]] &amp; " - " &amp;Table14[[#This Row],[Color Name]]</f>
        <v>7E807B - K126</v>
      </c>
    </row>
    <row r="970" spans="1:5" x14ac:dyDescent="0.35">
      <c r="A970" s="17" t="s">
        <v>2780</v>
      </c>
      <c r="B970" t="s">
        <v>4994</v>
      </c>
      <c r="C970" s="9" t="str">
        <f>_xlfn.CONCAT(HEX2DEC(MID(Table14[[#This Row],[Color Code]], 1, 2))," , ",HEX2DEC(MID(Table14[[#This Row],[Color Code]], 3, 2))," , ",HEX2DEC(MID(Table14[[#This Row],[Color Code]], 5, 2)))</f>
        <v>169 , 211 , 231</v>
      </c>
      <c r="D9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87.183714075508391</v>
      </c>
      <c r="E970" t="str">
        <f>Table14[[#This Row],[Color Code]] &amp; " - " &amp;Table14[[#This Row],[Color Name]]</f>
        <v>A9D3E7 - 7330</v>
      </c>
    </row>
    <row r="971" spans="1:5" x14ac:dyDescent="0.35">
      <c r="A971" s="17" t="s">
        <v>4569</v>
      </c>
      <c r="B971" t="s">
        <v>6594</v>
      </c>
      <c r="C971" s="9" t="str">
        <f>_xlfn.CONCAT(HEX2DEC(MID(Table14[[#This Row],[Color Code]], 1, 2))," , ",HEX2DEC(MID(Table14[[#This Row],[Color Code]], 3, 2))," , ",HEX2DEC(MID(Table14[[#This Row],[Color Code]], 5, 2)))</f>
        <v>135 , 119 , 120</v>
      </c>
      <c r="D9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87.235313950257549</v>
      </c>
      <c r="E971" t="str">
        <f>Table14[[#This Row],[Color Code]] &amp; " - " &amp;Table14[[#This Row],[Color Name]]</f>
        <v>877778 - 8743</v>
      </c>
    </row>
    <row r="972" spans="1:5" x14ac:dyDescent="0.35">
      <c r="A972" s="17" t="s">
        <v>3329</v>
      </c>
      <c r="B972" t="s">
        <v>5588</v>
      </c>
      <c r="C972" s="9" t="str">
        <f>_xlfn.CONCAT(HEX2DEC(MID(Table14[[#This Row],[Color Code]], 1, 2))," , ",HEX2DEC(MID(Table14[[#This Row],[Color Code]], 3, 2))," , ",HEX2DEC(MID(Table14[[#This Row],[Color Code]], 5, 2)))</f>
        <v>254 , 232 , 178</v>
      </c>
      <c r="D9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87.304066342868595</v>
      </c>
      <c r="E972" t="str">
        <f>Table14[[#This Row],[Color Code]] &amp; " - " &amp;Table14[[#This Row],[Color Name]]</f>
        <v>FEE8B2 - 7913</v>
      </c>
    </row>
    <row r="973" spans="1:5" x14ac:dyDescent="0.35">
      <c r="A973" s="17" t="s">
        <v>2551</v>
      </c>
      <c r="B973" t="s">
        <v>4745</v>
      </c>
      <c r="C973" s="9" t="str">
        <f>_xlfn.CONCAT(HEX2DEC(MID(Table14[[#This Row],[Color Code]], 1, 2))," , ",HEX2DEC(MID(Table14[[#This Row],[Color Code]], 3, 2))," , ",HEX2DEC(MID(Table14[[#This Row],[Color Code]], 5, 2)))</f>
        <v>224 , 224 , 220</v>
      </c>
      <c r="D9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87.464278422679513</v>
      </c>
      <c r="E973" t="str">
        <f>Table14[[#This Row],[Color Code]] &amp; " - " &amp;Table14[[#This Row],[Color Name]]</f>
        <v>E0E0DC - 8259</v>
      </c>
    </row>
    <row r="974" spans="1:5" x14ac:dyDescent="0.35">
      <c r="A974" s="17" t="s">
        <v>2625</v>
      </c>
      <c r="B974" t="s">
        <v>4825</v>
      </c>
      <c r="C974" s="9" t="str">
        <f>_xlfn.CONCAT(HEX2DEC(MID(Table14[[#This Row],[Color Code]], 1, 2))," , ",HEX2DEC(MID(Table14[[#This Row],[Color Code]], 3, 2))," , ",HEX2DEC(MID(Table14[[#This Row],[Color Code]], 5, 2)))</f>
        <v>231 , 208 , 226</v>
      </c>
      <c r="D9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87.469994855378829</v>
      </c>
      <c r="E974" t="str">
        <f>Table14[[#This Row],[Color Code]] &amp; " - " &amp;Table14[[#This Row],[Color Name]]</f>
        <v>E7D0E2 - 7114</v>
      </c>
    </row>
    <row r="975" spans="1:5" x14ac:dyDescent="0.35">
      <c r="A975" s="17" t="s">
        <v>2689</v>
      </c>
      <c r="B975" t="s">
        <v>4897</v>
      </c>
      <c r="C975" s="9" t="str">
        <f>_xlfn.CONCAT(HEX2DEC(MID(Table14[[#This Row],[Color Code]], 1, 2))," , ",HEX2DEC(MID(Table14[[#This Row],[Color Code]], 3, 2))," , ",HEX2DEC(MID(Table14[[#This Row],[Color Code]], 5, 2)))</f>
        <v>223 , 219 , 224</v>
      </c>
      <c r="D9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87.509999428636732</v>
      </c>
      <c r="E975" t="str">
        <f>Table14[[#This Row],[Color Code]] &amp; " - " &amp;Table14[[#This Row],[Color Name]]</f>
        <v>DFDBE0 - 7196</v>
      </c>
    </row>
    <row r="976" spans="1:5" x14ac:dyDescent="0.35">
      <c r="A976" s="17" t="s">
        <v>3738</v>
      </c>
      <c r="B976" t="s">
        <v>6027</v>
      </c>
      <c r="C976" s="9" t="str">
        <f>_xlfn.CONCAT(HEX2DEC(MID(Table14[[#This Row],[Color Code]], 1, 2))," , ",HEX2DEC(MID(Table14[[#This Row],[Color Code]], 3, 2))," , ",HEX2DEC(MID(Table14[[#This Row],[Color Code]], 5, 2)))</f>
        <v>129 , 124 , 122</v>
      </c>
      <c r="D9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87.515712874888933</v>
      </c>
      <c r="E976" t="str">
        <f>Table14[[#This Row],[Color Code]] &amp; " - " &amp;Table14[[#This Row],[Color Name]]</f>
        <v>817C7A - K089</v>
      </c>
    </row>
    <row r="977" spans="1:5" x14ac:dyDescent="0.35">
      <c r="A977" s="17" t="s">
        <v>4153</v>
      </c>
      <c r="B977" t="s">
        <v>6506</v>
      </c>
      <c r="C977" s="9" t="str">
        <f>_xlfn.CONCAT(HEX2DEC(MID(Table14[[#This Row],[Color Code]], 1, 2))," , ",HEX2DEC(MID(Table14[[#This Row],[Color Code]], 3, 2))," , ",HEX2DEC(MID(Table14[[#This Row],[Color Code]], 5, 2)))</f>
        <v>184 , 109 , 98</v>
      </c>
      <c r="D9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87.572826835725706</v>
      </c>
      <c r="E977" t="str">
        <f>Table14[[#This Row],[Color Code]] &amp; " - " &amp;Table14[[#This Row],[Color Name]]</f>
        <v>B86D62 - K228</v>
      </c>
    </row>
    <row r="978" spans="1:5" x14ac:dyDescent="0.35">
      <c r="A978" s="17" t="s">
        <v>3140</v>
      </c>
      <c r="B978" t="s">
        <v>5396</v>
      </c>
      <c r="C978" s="9" t="str">
        <f>_xlfn.CONCAT(HEX2DEC(MID(Table14[[#This Row],[Color Code]], 1, 2))," , ",HEX2DEC(MID(Table14[[#This Row],[Color Code]], 3, 2))," , ",HEX2DEC(MID(Table14[[#This Row],[Color Code]], 5, 2)))</f>
        <v>193 , 203 , 72</v>
      </c>
      <c r="D9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87.601369852303108</v>
      </c>
      <c r="E978" t="str">
        <f>Table14[[#This Row],[Color Code]] &amp; " - " &amp;Table14[[#This Row],[Color Name]]</f>
        <v>C1CB48 - 9827</v>
      </c>
    </row>
    <row r="979" spans="1:5" x14ac:dyDescent="0.35">
      <c r="A979" s="17" t="s">
        <v>4145</v>
      </c>
      <c r="B979" t="s">
        <v>6498</v>
      </c>
      <c r="C979" s="9" t="str">
        <f>_xlfn.CONCAT(HEX2DEC(MID(Table14[[#This Row],[Color Code]], 1, 2))," , ",HEX2DEC(MID(Table14[[#This Row],[Color Code]], 3, 2))," , ",HEX2DEC(MID(Table14[[#This Row],[Color Code]], 5, 2)))</f>
        <v>179 , 108 , 100</v>
      </c>
      <c r="D9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87.652723859558407</v>
      </c>
      <c r="E979" t="str">
        <f>Table14[[#This Row],[Color Code]] &amp; " - " &amp;Table14[[#This Row],[Color Name]]</f>
        <v>B36C64 - 8671</v>
      </c>
    </row>
    <row r="980" spans="1:5" x14ac:dyDescent="0.35">
      <c r="A980" s="17" t="s">
        <v>3375</v>
      </c>
      <c r="B980" t="s">
        <v>5634</v>
      </c>
      <c r="C980" s="9" t="str">
        <f>_xlfn.CONCAT(HEX2DEC(MID(Table14[[#This Row],[Color Code]], 1, 2))," , ",HEX2DEC(MID(Table14[[#This Row],[Color Code]], 3, 2))," , ",HEX2DEC(MID(Table14[[#This Row],[Color Code]], 5, 2)))</f>
        <v>254 , 186 , 94</v>
      </c>
      <c r="D9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87.66983517721475</v>
      </c>
      <c r="E980" t="str">
        <f>Table14[[#This Row],[Color Code]] &amp; " - " &amp;Table14[[#This Row],[Color Name]]</f>
        <v>FEBA5E - 7951</v>
      </c>
    </row>
    <row r="981" spans="1:5" x14ac:dyDescent="0.35">
      <c r="A981" s="17" t="s">
        <v>4013</v>
      </c>
      <c r="B981" t="s">
        <v>6355</v>
      </c>
      <c r="C981" s="9" t="str">
        <f>_xlfn.CONCAT(HEX2DEC(MID(Table14[[#This Row],[Color Code]], 1, 2))," , ",HEX2DEC(MID(Table14[[#This Row],[Color Code]], 3, 2))," , ",HEX2DEC(MID(Table14[[#This Row],[Color Code]], 5, 2)))</f>
        <v>162 , 123 , 91</v>
      </c>
      <c r="D9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87.749643873921215</v>
      </c>
      <c r="E981" t="str">
        <f>Table14[[#This Row],[Color Code]] &amp; " - " &amp;Table14[[#This Row],[Color Name]]</f>
        <v>A27B5B - 8534</v>
      </c>
    </row>
    <row r="982" spans="1:5" x14ac:dyDescent="0.35">
      <c r="A982" s="17" t="s">
        <v>4083</v>
      </c>
      <c r="B982" t="s">
        <v>6429</v>
      </c>
      <c r="C982" s="9" t="str">
        <f>_xlfn.CONCAT(HEX2DEC(MID(Table14[[#This Row],[Color Code]], 1, 2))," , ",HEX2DEC(MID(Table14[[#This Row],[Color Code]], 3, 2))," , ",HEX2DEC(MID(Table14[[#This Row],[Color Code]], 5, 2)))</f>
        <v>241 , 224 , 209</v>
      </c>
      <c r="D9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87.852148522389598</v>
      </c>
      <c r="E982" t="str">
        <f>Table14[[#This Row],[Color Code]] &amp; " - " &amp;Table14[[#This Row],[Color Name]]</f>
        <v>F1E0D1 - 0989</v>
      </c>
    </row>
    <row r="983" spans="1:5" x14ac:dyDescent="0.35">
      <c r="A983" s="17" t="s">
        <v>2580</v>
      </c>
      <c r="B983" t="s">
        <v>4774</v>
      </c>
      <c r="C983" s="9" t="str">
        <f>_xlfn.CONCAT(HEX2DEC(MID(Table14[[#This Row],[Color Code]], 1, 2))," , ",HEX2DEC(MID(Table14[[#This Row],[Color Code]], 3, 2))," , ",HEX2DEC(MID(Table14[[#This Row],[Color Code]], 5, 2)))</f>
        <v>211 , 226 , 224</v>
      </c>
      <c r="D9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87.88060081724521</v>
      </c>
      <c r="E983" t="str">
        <f>Table14[[#This Row],[Color Code]] &amp; " - " &amp;Table14[[#This Row],[Color Name]]</f>
        <v>D3E2E0 - 7419</v>
      </c>
    </row>
    <row r="984" spans="1:5" x14ac:dyDescent="0.35">
      <c r="A984" s="17" t="s">
        <v>4037</v>
      </c>
      <c r="B984" t="s">
        <v>6379</v>
      </c>
      <c r="C984" s="9" t="str">
        <f>_xlfn.CONCAT(HEX2DEC(MID(Table14[[#This Row],[Color Code]], 1, 2))," , ",HEX2DEC(MID(Table14[[#This Row],[Color Code]], 3, 2))," , ",HEX2DEC(MID(Table14[[#This Row],[Color Code]], 5, 2)))</f>
        <v>159 , 121 , 94</v>
      </c>
      <c r="D9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87.897667773382935</v>
      </c>
      <c r="E984" t="str">
        <f>Table14[[#This Row],[Color Code]] &amp; " - " &amp;Table14[[#This Row],[Color Name]]</f>
        <v>9F795E - 8566</v>
      </c>
    </row>
    <row r="985" spans="1:5" x14ac:dyDescent="0.35">
      <c r="A985" s="17" t="s">
        <v>4170</v>
      </c>
      <c r="B985" t="s">
        <v>6525</v>
      </c>
      <c r="C985" s="9" t="str">
        <f>_xlfn.CONCAT(HEX2DEC(MID(Table14[[#This Row],[Color Code]], 1, 2))," , ",HEX2DEC(MID(Table14[[#This Row],[Color Code]], 3, 2))," , ",HEX2DEC(MID(Table14[[#This Row],[Color Code]], 5, 2)))</f>
        <v>246 , 221 , 207</v>
      </c>
      <c r="D9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87.954533709184091</v>
      </c>
      <c r="E985" t="str">
        <f>Table14[[#This Row],[Color Code]] &amp; " - " &amp;Table14[[#This Row],[Color Name]]</f>
        <v>F6DDCF - K247</v>
      </c>
    </row>
    <row r="986" spans="1:5" x14ac:dyDescent="0.35">
      <c r="A986" s="17" t="s">
        <v>3168</v>
      </c>
      <c r="B986" t="s">
        <v>5426</v>
      </c>
      <c r="C986" s="9" t="str">
        <f>_xlfn.CONCAT(HEX2DEC(MID(Table14[[#This Row],[Color Code]], 1, 2))," , ",HEX2DEC(MID(Table14[[#This Row],[Color Code]], 3, 2))," , ",HEX2DEC(MID(Table14[[#This Row],[Color Code]], 5, 2)))</f>
        <v>238 , 235 , 200</v>
      </c>
      <c r="D9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87.982952894296517</v>
      </c>
      <c r="E986" t="str">
        <f>Table14[[#This Row],[Color Code]] &amp; " - " &amp;Table14[[#This Row],[Color Name]]</f>
        <v>EEEBC8 - 7771</v>
      </c>
    </row>
    <row r="987" spans="1:5" x14ac:dyDescent="0.35">
      <c r="A987" s="17" t="s">
        <v>3921</v>
      </c>
      <c r="B987" t="s">
        <v>6249</v>
      </c>
      <c r="C987" s="9" t="str">
        <f>_xlfn.CONCAT(HEX2DEC(MID(Table14[[#This Row],[Color Code]], 1, 2))," , ",HEX2DEC(MID(Table14[[#This Row],[Color Code]], 3, 2))," , ",HEX2DEC(MID(Table14[[#This Row],[Color Code]], 5, 2)))</f>
        <v>133 , 124 , 114</v>
      </c>
      <c r="D9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88.107888409608364</v>
      </c>
      <c r="E987" t="str">
        <f>Table14[[#This Row],[Color Code]] &amp; " - " &amp;Table14[[#This Row],[Color Name]]</f>
        <v>857C72 - 8439</v>
      </c>
    </row>
    <row r="988" spans="1:5" x14ac:dyDescent="0.35">
      <c r="A988" s="17" t="s">
        <v>2769</v>
      </c>
      <c r="B988" t="s">
        <v>4981</v>
      </c>
      <c r="C988" s="9" t="str">
        <f>_xlfn.CONCAT(HEX2DEC(MID(Table14[[#This Row],[Color Code]], 1, 2))," , ",HEX2DEC(MID(Table14[[#This Row],[Color Code]], 3, 2))," , ",HEX2DEC(MID(Table14[[#This Row],[Color Code]], 5, 2)))</f>
        <v>111 , 149 , 178</v>
      </c>
      <c r="D9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88.124911347473144</v>
      </c>
      <c r="E988" t="str">
        <f>Table14[[#This Row],[Color Code]] &amp; " - " &amp;Table14[[#This Row],[Color Name]]</f>
        <v>6F95B2 - 7295</v>
      </c>
    </row>
    <row r="989" spans="1:5" x14ac:dyDescent="0.35">
      <c r="A989" s="17" t="s">
        <v>3037</v>
      </c>
      <c r="B989" t="s">
        <v>5282</v>
      </c>
      <c r="C989" s="9" t="str">
        <f>_xlfn.CONCAT(HEX2DEC(MID(Table14[[#This Row],[Color Code]], 1, 2))," , ",HEX2DEC(MID(Table14[[#This Row],[Color Code]], 3, 2))," , ",HEX2DEC(MID(Table14[[#This Row],[Color Code]], 5, 2)))</f>
        <v>230 , 236 , 206</v>
      </c>
      <c r="D9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88.124911347473144</v>
      </c>
      <c r="E989" t="str">
        <f>Table14[[#This Row],[Color Code]] &amp; " - " &amp;Table14[[#This Row],[Color Name]]</f>
        <v>E6ECCE - 7666</v>
      </c>
    </row>
    <row r="990" spans="1:5" x14ac:dyDescent="0.35">
      <c r="A990" s="17" t="s">
        <v>2912</v>
      </c>
      <c r="B990" t="s">
        <v>5139</v>
      </c>
      <c r="C990" s="9" t="str">
        <f>_xlfn.CONCAT(HEX2DEC(MID(Table14[[#This Row],[Color Code]], 1, 2))," , ",HEX2DEC(MID(Table14[[#This Row],[Color Code]], 3, 2))," , ",HEX2DEC(MID(Table14[[#This Row],[Color Code]], 5, 2)))</f>
        <v>168 , 227 , 222</v>
      </c>
      <c r="D9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88.141930997681229</v>
      </c>
      <c r="E990" t="str">
        <f>Table14[[#This Row],[Color Code]] &amp; " - " &amp;Table14[[#This Row],[Color Name]]</f>
        <v>A8E3DE - 7506</v>
      </c>
    </row>
    <row r="991" spans="1:5" x14ac:dyDescent="0.35">
      <c r="A991" s="17" t="s">
        <v>3623</v>
      </c>
      <c r="B991" t="s">
        <v>5893</v>
      </c>
      <c r="C991" s="9" t="str">
        <f>_xlfn.CONCAT(HEX2DEC(MID(Table14[[#This Row],[Color Code]], 1, 2))," , ",HEX2DEC(MID(Table14[[#This Row],[Color Code]], 3, 2))," , ",HEX2DEC(MID(Table14[[#This Row],[Color Code]], 5, 2)))</f>
        <v>239 , 215 , 218</v>
      </c>
      <c r="D9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88.192970241397362</v>
      </c>
      <c r="E991" t="str">
        <f>Table14[[#This Row],[Color Code]] &amp; " - " &amp;Table14[[#This Row],[Color Name]]</f>
        <v>EFD7DA - K022</v>
      </c>
    </row>
    <row r="992" spans="1:5" x14ac:dyDescent="0.35">
      <c r="A992" s="17" t="s">
        <v>2827</v>
      </c>
      <c r="B992" t="s">
        <v>5043</v>
      </c>
      <c r="C992" s="9" t="str">
        <f>_xlfn.CONCAT(HEX2DEC(MID(Table14[[#This Row],[Color Code]], 1, 2))," , ",HEX2DEC(MID(Table14[[#This Row],[Color Code]], 3, 2))," , ",HEX2DEC(MID(Table14[[#This Row],[Color Code]], 5, 2)))</f>
        <v>157 , 214 , 226</v>
      </c>
      <c r="D9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88.243979964641213</v>
      </c>
      <c r="E992" t="str">
        <f>Table14[[#This Row],[Color Code]] &amp; " - " &amp;Table14[[#This Row],[Color Name]]</f>
        <v>9DD6E2 - 7410</v>
      </c>
    </row>
    <row r="993" spans="1:5" x14ac:dyDescent="0.35">
      <c r="A993" s="17" t="s">
        <v>2856</v>
      </c>
      <c r="B993" t="s">
        <v>5074</v>
      </c>
      <c r="C993" s="9" t="str">
        <f>_xlfn.CONCAT(HEX2DEC(MID(Table14[[#This Row],[Color Code]], 1, 2))," , ",HEX2DEC(MID(Table14[[#This Row],[Color Code]], 3, 2))," , ",HEX2DEC(MID(Table14[[#This Row],[Color Code]], 5, 2)))</f>
        <v>190 , 226 , 227</v>
      </c>
      <c r="D9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88.255311454892052</v>
      </c>
      <c r="E993" t="str">
        <f>Table14[[#This Row],[Color Code]] &amp; " - " &amp;Table14[[#This Row],[Color Name]]</f>
        <v>BEE2E3 - 7435</v>
      </c>
    </row>
    <row r="994" spans="1:5" x14ac:dyDescent="0.35">
      <c r="A994" s="17" t="s">
        <v>3083</v>
      </c>
      <c r="B994" t="s">
        <v>5335</v>
      </c>
      <c r="C994" s="9" t="str">
        <f>_xlfn.CONCAT(HEX2DEC(MID(Table14[[#This Row],[Color Code]], 1, 2))," , ",HEX2DEC(MID(Table14[[#This Row],[Color Code]], 3, 2))," , ",HEX2DEC(MID(Table14[[#This Row],[Color Code]], 5, 2)))</f>
        <v>131 , 138 , 103</v>
      </c>
      <c r="D9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88.283633817372973</v>
      </c>
      <c r="E994" t="str">
        <f>Table14[[#This Row],[Color Code]] &amp; " - " &amp;Table14[[#This Row],[Color Name]]</f>
        <v>838A67 - 7686</v>
      </c>
    </row>
    <row r="995" spans="1:5" x14ac:dyDescent="0.35">
      <c r="A995" s="17" t="s">
        <v>2863</v>
      </c>
      <c r="B995" t="s">
        <v>5082</v>
      </c>
      <c r="C995" s="9" t="str">
        <f>_xlfn.CONCAT(HEX2DEC(MID(Table14[[#This Row],[Color Code]], 1, 2))," , ",HEX2DEC(MID(Table14[[#This Row],[Color Code]], 3, 2))," , ",HEX2DEC(MID(Table14[[#This Row],[Color Code]], 5, 2)))</f>
        <v>158 , 220 , 223</v>
      </c>
      <c r="D9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88.345911054219144</v>
      </c>
      <c r="E995" t="str">
        <f>Table14[[#This Row],[Color Code]] &amp; " - " &amp;Table14[[#This Row],[Color Name]]</f>
        <v>9EDCDF - 7442</v>
      </c>
    </row>
    <row r="996" spans="1:5" x14ac:dyDescent="0.35">
      <c r="A996" s="17" t="s">
        <v>3612</v>
      </c>
      <c r="B996" t="s">
        <v>5882</v>
      </c>
      <c r="C996" s="9" t="str">
        <f>_xlfn.CONCAT(HEX2DEC(MID(Table14[[#This Row],[Color Code]], 1, 2))," , ",HEX2DEC(MID(Table14[[#This Row],[Color Code]], 3, 2))," , ",HEX2DEC(MID(Table14[[#This Row],[Color Code]], 5, 2)))</f>
        <v>168 , 101 , 113</v>
      </c>
      <c r="D9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88.408144421201371</v>
      </c>
      <c r="E996" t="str">
        <f>Table14[[#This Row],[Color Code]] &amp; " - " &amp;Table14[[#This Row],[Color Name]]</f>
        <v>A86571 - K017</v>
      </c>
    </row>
    <row r="997" spans="1:5" x14ac:dyDescent="0.35">
      <c r="A997" s="17" t="s">
        <v>2725</v>
      </c>
      <c r="B997" t="s">
        <v>4933</v>
      </c>
      <c r="C997" s="9" t="str">
        <f>_xlfn.CONCAT(HEX2DEC(MID(Table14[[#This Row],[Color Code]], 1, 2))," , ",HEX2DEC(MID(Table14[[#This Row],[Color Code]], 3, 2))," , ",HEX2DEC(MID(Table14[[#This Row],[Color Code]], 5, 2)))</f>
        <v>116 , 130 , 159</v>
      </c>
      <c r="D9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88.41379982785493</v>
      </c>
      <c r="E997" t="str">
        <f>Table14[[#This Row],[Color Code]] &amp; " - " &amp;Table14[[#This Row],[Color Name]]</f>
        <v>74829F - 7223</v>
      </c>
    </row>
    <row r="998" spans="1:5" x14ac:dyDescent="0.35">
      <c r="A998" s="17" t="s">
        <v>3285</v>
      </c>
      <c r="B998" t="s">
        <v>5544</v>
      </c>
      <c r="C998" s="9" t="str">
        <f>_xlfn.CONCAT(HEX2DEC(MID(Table14[[#This Row],[Color Code]], 1, 2))," , ",HEX2DEC(MID(Table14[[#This Row],[Color Code]], 3, 2))," , ",HEX2DEC(MID(Table14[[#This Row],[Color Code]], 5, 2)))</f>
        <v>245 , 203 , 90</v>
      </c>
      <c r="D9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88.419454872782381</v>
      </c>
      <c r="E998" t="str">
        <f>Table14[[#This Row],[Color Code]] &amp; " - " &amp;Table14[[#This Row],[Color Name]]</f>
        <v>F5CB5A - 9877</v>
      </c>
    </row>
    <row r="999" spans="1:5" x14ac:dyDescent="0.35">
      <c r="A999" s="17" t="s">
        <v>3675</v>
      </c>
      <c r="B999" t="s">
        <v>5950</v>
      </c>
      <c r="C999" s="9" t="str">
        <f>_xlfn.CONCAT(HEX2DEC(MID(Table14[[#This Row],[Color Code]], 1, 2))," , ",HEX2DEC(MID(Table14[[#This Row],[Color Code]], 3, 2))," , ",HEX2DEC(MID(Table14[[#This Row],[Color Code]], 5, 2)))</f>
        <v>233 , 223 , 217</v>
      </c>
      <c r="D9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88.481636512894582</v>
      </c>
      <c r="E999" t="str">
        <f>Table14[[#This Row],[Color Code]] &amp; " - " &amp;Table14[[#This Row],[Color Name]]</f>
        <v>E9DFD9 - 0941</v>
      </c>
    </row>
    <row r="1000" spans="1:5" x14ac:dyDescent="0.35">
      <c r="A1000" s="17" t="s">
        <v>4123</v>
      </c>
      <c r="B1000" t="s">
        <v>6473</v>
      </c>
      <c r="C1000" s="9" t="str">
        <f>_xlfn.CONCAT(HEX2DEC(MID(Table14[[#This Row],[Color Code]], 1, 2))," , ",HEX2DEC(MID(Table14[[#This Row],[Color Code]], 3, 2))," , ",HEX2DEC(MID(Table14[[#This Row],[Color Code]], 5, 2)))</f>
        <v>163 , 112 , 100</v>
      </c>
      <c r="D10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88.515535359619221</v>
      </c>
      <c r="E1000" t="str">
        <f>Table14[[#This Row],[Color Code]] &amp; " - " &amp;Table14[[#This Row],[Color Name]]</f>
        <v>A37064 - 8639</v>
      </c>
    </row>
    <row r="1001" spans="1:5" x14ac:dyDescent="0.35">
      <c r="A1001" s="17" t="s">
        <v>2858</v>
      </c>
      <c r="B1001" t="s">
        <v>5076</v>
      </c>
      <c r="C1001" s="9" t="str">
        <f>_xlfn.CONCAT(HEX2DEC(MID(Table14[[#This Row],[Color Code]], 1, 2))," , ",HEX2DEC(MID(Table14[[#This Row],[Color Code]], 3, 2))," , ",HEX2DEC(MID(Table14[[#This Row],[Color Code]], 5, 2)))</f>
        <v>138 , 206 , 218</v>
      </c>
      <c r="D10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88.577649551114192</v>
      </c>
      <c r="E1001" t="str">
        <f>Table14[[#This Row],[Color Code]] &amp; " - " &amp;Table14[[#This Row],[Color Name]]</f>
        <v>8ACEDA - 0122</v>
      </c>
    </row>
    <row r="1002" spans="1:5" x14ac:dyDescent="0.35">
      <c r="A1002" s="17" t="s">
        <v>3263</v>
      </c>
      <c r="B1002" t="s">
        <v>5522</v>
      </c>
      <c r="C1002" s="9" t="str">
        <f>_xlfn.CONCAT(HEX2DEC(MID(Table14[[#This Row],[Color Code]], 1, 2))," , ",HEX2DEC(MID(Table14[[#This Row],[Color Code]], 3, 2))," , ",HEX2DEC(MID(Table14[[#This Row],[Color Code]], 5, 2)))</f>
        <v>245 , 233 , 196</v>
      </c>
      <c r="D10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88.622796164418105</v>
      </c>
      <c r="E1002" t="str">
        <f>Table14[[#This Row],[Color Code]] &amp; " - " &amp;Table14[[#This Row],[Color Name]]</f>
        <v>F5E9C4 - 7858</v>
      </c>
    </row>
    <row r="1003" spans="1:5" x14ac:dyDescent="0.35">
      <c r="A1003" s="17" t="s">
        <v>4111</v>
      </c>
      <c r="B1003" t="s">
        <v>6461</v>
      </c>
      <c r="C1003" s="9" t="str">
        <f>_xlfn.CONCAT(HEX2DEC(MID(Table14[[#This Row],[Color Code]], 1, 2))," , ",HEX2DEC(MID(Table14[[#This Row],[Color Code]], 3, 2))," , ",HEX2DEC(MID(Table14[[#This Row],[Color Code]], 5, 2)))</f>
        <v>248 , 220 , 207</v>
      </c>
      <c r="D10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88.68483523128404</v>
      </c>
      <c r="E1003" t="str">
        <f>Table14[[#This Row],[Color Code]] &amp; " - " &amp;Table14[[#This Row],[Color Name]]</f>
        <v>F8DCCF - 8635</v>
      </c>
    </row>
    <row r="1004" spans="1:5" x14ac:dyDescent="0.35">
      <c r="A1004" s="17" t="s">
        <v>3569</v>
      </c>
      <c r="B1004" t="s">
        <v>5838</v>
      </c>
      <c r="C1004" s="9" t="str">
        <f>_xlfn.CONCAT(HEX2DEC(MID(Table14[[#This Row],[Color Code]], 1, 2))," , ",HEX2DEC(MID(Table14[[#This Row],[Color Code]], 3, 2))," , ",HEX2DEC(MID(Table14[[#This Row],[Color Code]], 5, 2)))</f>
        <v>251 , 207 , 213</v>
      </c>
      <c r="D10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88.707384134580366</v>
      </c>
      <c r="E1004" t="str">
        <f>Table14[[#This Row],[Color Code]] &amp; " - " &amp;Table14[[#This Row],[Color Name]]</f>
        <v>FBCFD5 - 8090</v>
      </c>
    </row>
    <row r="1005" spans="1:5" x14ac:dyDescent="0.35">
      <c r="A1005" s="17" t="s">
        <v>3233</v>
      </c>
      <c r="B1005" t="s">
        <v>5491</v>
      </c>
      <c r="C1005" s="9" t="str">
        <f>_xlfn.CONCAT(HEX2DEC(MID(Table14[[#This Row],[Color Code]], 1, 2))," , ",HEX2DEC(MID(Table14[[#This Row],[Color Code]], 3, 2))," , ",HEX2DEC(MID(Table14[[#This Row],[Color Code]], 5, 2)))</f>
        <v>249 , 236 , 185</v>
      </c>
      <c r="D10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88.713020464867498</v>
      </c>
      <c r="E1005" t="str">
        <f>Table14[[#This Row],[Color Code]] &amp; " - " &amp;Table14[[#This Row],[Color Name]]</f>
        <v>F9ECB9 - 7833</v>
      </c>
    </row>
    <row r="1006" spans="1:5" x14ac:dyDescent="0.35">
      <c r="A1006" s="17" t="s">
        <v>3254</v>
      </c>
      <c r="B1006" t="s">
        <v>5513</v>
      </c>
      <c r="C1006" s="9" t="str">
        <f>_xlfn.CONCAT(HEX2DEC(MID(Table14[[#This Row],[Color Code]], 1, 2))," , ",HEX2DEC(MID(Table14[[#This Row],[Color Code]], 3, 2))," , ",HEX2DEC(MID(Table14[[#This Row],[Color Code]], 5, 2)))</f>
        <v>240 , 233 , 202</v>
      </c>
      <c r="D10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88.75246475450696</v>
      </c>
      <c r="E1006" t="str">
        <f>Table14[[#This Row],[Color Code]] &amp; " - " &amp;Table14[[#This Row],[Color Name]]</f>
        <v>F0E9CA - 7828</v>
      </c>
    </row>
    <row r="1007" spans="1:5" x14ac:dyDescent="0.35">
      <c r="A1007" s="17" t="s">
        <v>3313</v>
      </c>
      <c r="B1007" t="s">
        <v>5572</v>
      </c>
      <c r="C1007" s="9" t="str">
        <f>_xlfn.CONCAT(HEX2DEC(MID(Table14[[#This Row],[Color Code]], 1, 2))," , ",HEX2DEC(MID(Table14[[#This Row],[Color Code]], 3, 2))," , ",HEX2DEC(MID(Table14[[#This Row],[Color Code]], 5, 2)))</f>
        <v>253 , 234 , 181</v>
      </c>
      <c r="D10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88.758098222077749</v>
      </c>
      <c r="E1007" t="str">
        <f>Table14[[#This Row],[Color Code]] &amp; " - " &amp;Table14[[#This Row],[Color Name]]</f>
        <v>FDEAB5 - 7897</v>
      </c>
    </row>
    <row r="1008" spans="1:5" x14ac:dyDescent="0.35">
      <c r="A1008" s="17" t="s">
        <v>3117</v>
      </c>
      <c r="B1008" t="s">
        <v>5371</v>
      </c>
      <c r="C1008" s="9" t="str">
        <f>_xlfn.CONCAT(HEX2DEC(MID(Table14[[#This Row],[Color Code]], 1, 2))," , ",HEX2DEC(MID(Table14[[#This Row],[Color Code]], 3, 2))," , ",HEX2DEC(MID(Table14[[#This Row],[Color Code]], 5, 2)))</f>
        <v>192 , 209 , 73</v>
      </c>
      <c r="D10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88.76936408468859</v>
      </c>
      <c r="E1008" t="str">
        <f>Table14[[#This Row],[Color Code]] &amp; " - " &amp;Table14[[#This Row],[Color Name]]</f>
        <v>C0D149 - 9803</v>
      </c>
    </row>
    <row r="1009" spans="1:5" x14ac:dyDescent="0.35">
      <c r="A1009" s="17" t="s">
        <v>2616</v>
      </c>
      <c r="B1009" t="s">
        <v>4813</v>
      </c>
      <c r="C1009" s="9" t="str">
        <f>_xlfn.CONCAT(HEX2DEC(MID(Table14[[#This Row],[Color Code]], 1, 2))," , ",HEX2DEC(MID(Table14[[#This Row],[Color Code]], 3, 2))," , ",HEX2DEC(MID(Table14[[#This Row],[Color Code]], 5, 2)))</f>
        <v>161 , 94 , 136</v>
      </c>
      <c r="D10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88.786260198298706</v>
      </c>
      <c r="E1009" t="str">
        <f>Table14[[#This Row],[Color Code]] &amp; " - " &amp;Table14[[#This Row],[Color Name]]</f>
        <v>A15E88 - 9590</v>
      </c>
    </row>
    <row r="1010" spans="1:5" x14ac:dyDescent="0.35">
      <c r="A1010" s="17" t="s">
        <v>2894</v>
      </c>
      <c r="B1010" t="s">
        <v>5118</v>
      </c>
      <c r="C1010" s="9" t="str">
        <f>_xlfn.CONCAT(HEX2DEC(MID(Table14[[#This Row],[Color Code]], 1, 2))," , ",HEX2DEC(MID(Table14[[#This Row],[Color Code]], 3, 2))," , ",HEX2DEC(MID(Table14[[#This Row],[Color Code]], 5, 2)))</f>
        <v>105 , 159 , 163</v>
      </c>
      <c r="D10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88.820042783146647</v>
      </c>
      <c r="E1010" t="str">
        <f>Table14[[#This Row],[Color Code]] &amp; " - " &amp;Table14[[#This Row],[Color Name]]</f>
        <v>699FA3 - 7471</v>
      </c>
    </row>
    <row r="1011" spans="1:5" x14ac:dyDescent="0.35">
      <c r="A1011" s="17" t="s">
        <v>4338</v>
      </c>
      <c r="B1011" t="s">
        <v>6710</v>
      </c>
      <c r="C1011" s="9" t="str">
        <f>_xlfn.CONCAT(HEX2DEC(MID(Table14[[#This Row],[Color Code]], 1, 2))," , ",HEX2DEC(MID(Table14[[#This Row],[Color Code]], 3, 2))," , ",HEX2DEC(MID(Table14[[#This Row],[Color Code]], 5, 2)))</f>
        <v>217 , 207 , 76</v>
      </c>
      <c r="D10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88.825671964809814</v>
      </c>
      <c r="E1011" t="str">
        <f>Table14[[#This Row],[Color Code]] &amp; " - " &amp;Table14[[#This Row],[Color Name]]</f>
        <v>D9CF4C - 7774</v>
      </c>
    </row>
    <row r="1012" spans="1:5" x14ac:dyDescent="0.35">
      <c r="A1012" s="17" t="s">
        <v>3273</v>
      </c>
      <c r="B1012" t="s">
        <v>5532</v>
      </c>
      <c r="C1012" s="9" t="str">
        <f>_xlfn.CONCAT(HEX2DEC(MID(Table14[[#This Row],[Color Code]], 1, 2))," , ",HEX2DEC(MID(Table14[[#This Row],[Color Code]], 3, 2))," , ",HEX2DEC(MID(Table14[[#This Row],[Color Code]], 5, 2)))</f>
        <v>252 , 236 , 179</v>
      </c>
      <c r="D10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88.865066252155572</v>
      </c>
      <c r="E1012" t="str">
        <f>Table14[[#This Row],[Color Code]] &amp; " - " &amp;Table14[[#This Row],[Color Name]]</f>
        <v>FCECB3 - 7865</v>
      </c>
    </row>
    <row r="1013" spans="1:5" x14ac:dyDescent="0.35">
      <c r="A1013" s="17" t="s">
        <v>2877</v>
      </c>
      <c r="B1013" t="s">
        <v>5097</v>
      </c>
      <c r="C1013" s="9" t="str">
        <f>_xlfn.CONCAT(HEX2DEC(MID(Table14[[#This Row],[Color Code]], 1, 2))," , ",HEX2DEC(MID(Table14[[#This Row],[Color Code]], 3, 2))," , ",HEX2DEC(MID(Table14[[#This Row],[Color Code]], 5, 2)))</f>
        <v>173 , 225 , 226</v>
      </c>
      <c r="D10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88.893194340174318</v>
      </c>
      <c r="E1013" t="str">
        <f>Table14[[#This Row],[Color Code]] &amp; " - " &amp;Table14[[#This Row],[Color Name]]</f>
        <v>ADE1E2 - 9693</v>
      </c>
    </row>
    <row r="1014" spans="1:5" x14ac:dyDescent="0.35">
      <c r="A1014" s="17" t="s">
        <v>3858</v>
      </c>
      <c r="B1014" t="s">
        <v>6178</v>
      </c>
      <c r="C1014" s="9" t="str">
        <f>_xlfn.CONCAT(HEX2DEC(MID(Table14[[#This Row],[Color Code]], 1, 2))," , ",HEX2DEC(MID(Table14[[#This Row],[Color Code]], 3, 2))," , ",HEX2DEC(MID(Table14[[#This Row],[Color Code]], 5, 2)))</f>
        <v>122 , 132 , 121</v>
      </c>
      <c r="D10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88.910066921580935</v>
      </c>
      <c r="E1014" t="str">
        <f>Table14[[#This Row],[Color Code]] &amp; " - " &amp;Table14[[#This Row],[Color Name]]</f>
        <v>7A8479 - 8367</v>
      </c>
    </row>
    <row r="1015" spans="1:5" x14ac:dyDescent="0.35">
      <c r="A1015" s="17" t="s">
        <v>3985</v>
      </c>
      <c r="B1015" t="s">
        <v>6325</v>
      </c>
      <c r="C1015" s="9" t="str">
        <f>_xlfn.CONCAT(HEX2DEC(MID(Table14[[#This Row],[Color Code]], 1, 2))," , ",HEX2DEC(MID(Table14[[#This Row],[Color Code]], 3, 2))," , ",HEX2DEC(MID(Table14[[#This Row],[Color Code]], 5, 2)))</f>
        <v>243 , 229 , 204</v>
      </c>
      <c r="D10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88.983144471298601</v>
      </c>
      <c r="E1015" t="str">
        <f>Table14[[#This Row],[Color Code]] &amp; " - " &amp;Table14[[#This Row],[Color Name]]</f>
        <v>F3E5CC - 8524</v>
      </c>
    </row>
    <row r="1016" spans="1:5" x14ac:dyDescent="0.35">
      <c r="A1016" s="17" t="s">
        <v>2593</v>
      </c>
      <c r="B1016" t="s">
        <v>4788</v>
      </c>
      <c r="C1016" s="9" t="str">
        <f>_xlfn.CONCAT(HEX2DEC(MID(Table14[[#This Row],[Color Code]], 1, 2))," , ",HEX2DEC(MID(Table14[[#This Row],[Color Code]], 3, 2))," , ",HEX2DEC(MID(Table14[[#This Row],[Color Code]], 5, 2)))</f>
        <v>235 , 221 , 218</v>
      </c>
      <c r="D10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89.073003766573407</v>
      </c>
      <c r="E1016" t="str">
        <f>Table14[[#This Row],[Color Code]] &amp; " - " &amp;Table14[[#This Row],[Color Name]]</f>
        <v>EBDDDA - 8700</v>
      </c>
    </row>
    <row r="1017" spans="1:5" x14ac:dyDescent="0.35">
      <c r="A1017" s="17" t="s">
        <v>3359</v>
      </c>
      <c r="B1017" t="s">
        <v>5618</v>
      </c>
      <c r="C1017" s="9" t="str">
        <f>_xlfn.CONCAT(HEX2DEC(MID(Table14[[#This Row],[Color Code]], 1, 2))," , ",HEX2DEC(MID(Table14[[#This Row],[Color Code]], 3, 2))," , ",HEX2DEC(MID(Table14[[#This Row],[Color Code]], 5, 2)))</f>
        <v>254 , 231 , 186</v>
      </c>
      <c r="D10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89.112288714856831</v>
      </c>
      <c r="E1017" t="str">
        <f>Table14[[#This Row],[Color Code]] &amp; " - " &amp;Table14[[#This Row],[Color Name]]</f>
        <v>FEE7BA - 7946</v>
      </c>
    </row>
    <row r="1018" spans="1:5" x14ac:dyDescent="0.35">
      <c r="A1018" s="17" t="s">
        <v>3320</v>
      </c>
      <c r="B1018" t="s">
        <v>5579</v>
      </c>
      <c r="C1018" s="9" t="str">
        <f>_xlfn.CONCAT(HEX2DEC(MID(Table14[[#This Row],[Color Code]], 1, 2))," , ",HEX2DEC(MID(Table14[[#This Row],[Color Code]], 3, 2))," , ",HEX2DEC(MID(Table14[[#This Row],[Color Code]], 5, 2)))</f>
        <v>248 , 233 , 193</v>
      </c>
      <c r="D10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89.129119820628773</v>
      </c>
      <c r="E1018" t="str">
        <f>Table14[[#This Row],[Color Code]] &amp; " - " &amp;Table14[[#This Row],[Color Name]]</f>
        <v>F8E9C1 - 7906</v>
      </c>
    </row>
    <row r="1019" spans="1:5" x14ac:dyDescent="0.35">
      <c r="A1019" s="17" t="s">
        <v>3495</v>
      </c>
      <c r="B1019" t="s">
        <v>5762</v>
      </c>
      <c r="C1019" s="9" t="str">
        <f>_xlfn.CONCAT(HEX2DEC(MID(Table14[[#This Row],[Color Code]], 1, 2))," , ",HEX2DEC(MID(Table14[[#This Row],[Color Code]], 3, 2))," , ",HEX2DEC(MID(Table14[[#This Row],[Color Code]], 5, 2)))</f>
        <v>242 , 132 , 95</v>
      </c>
      <c r="D10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89.157164602739584</v>
      </c>
      <c r="E1019" t="str">
        <f>Table14[[#This Row],[Color Code]] &amp; " - " &amp;Table14[[#This Row],[Color Name]]</f>
        <v>F2845F - 8022</v>
      </c>
    </row>
    <row r="1020" spans="1:5" x14ac:dyDescent="0.35">
      <c r="A1020" s="17" t="s">
        <v>4081</v>
      </c>
      <c r="B1020" t="s">
        <v>6427</v>
      </c>
      <c r="C1020" s="9" t="str">
        <f>_xlfn.CONCAT(HEX2DEC(MID(Table14[[#This Row],[Color Code]], 1, 2))," , ",HEX2DEC(MID(Table14[[#This Row],[Color Code]], 3, 2))," , ",HEX2DEC(MID(Table14[[#This Row],[Color Code]], 5, 2)))</f>
        <v>178 , 120 , 86</v>
      </c>
      <c r="D10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89.342039376768199</v>
      </c>
      <c r="E1020" t="str">
        <f>Table14[[#This Row],[Color Code]] &amp; " - " &amp;Table14[[#This Row],[Color Name]]</f>
        <v>B27856 - 0523</v>
      </c>
    </row>
    <row r="1021" spans="1:5" x14ac:dyDescent="0.35">
      <c r="A1021" s="17" t="s">
        <v>3280</v>
      </c>
      <c r="B1021" t="s">
        <v>5539</v>
      </c>
      <c r="C1021" s="9" t="str">
        <f>_xlfn.CONCAT(HEX2DEC(MID(Table14[[#This Row],[Color Code]], 1, 2))," , ",HEX2DEC(MID(Table14[[#This Row],[Color Code]], 3, 2))," , ",HEX2DEC(MID(Table14[[#This Row],[Color Code]], 5, 2)))</f>
        <v>249 , 233 , 192</v>
      </c>
      <c r="D10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89.342039376768199</v>
      </c>
      <c r="E1021" t="str">
        <f>Table14[[#This Row],[Color Code]] &amp; " - " &amp;Table14[[#This Row],[Color Name]]</f>
        <v>F9E9C0 - 7874</v>
      </c>
    </row>
    <row r="1022" spans="1:5" x14ac:dyDescent="0.35">
      <c r="A1022" s="17" t="s">
        <v>3034</v>
      </c>
      <c r="B1022" t="s">
        <v>5278</v>
      </c>
      <c r="C1022" s="9" t="str">
        <f>_xlfn.CONCAT(HEX2DEC(MID(Table14[[#This Row],[Color Code]], 1, 2))," , ",HEX2DEC(MID(Table14[[#This Row],[Color Code]], 3, 2))," , ",HEX2DEC(MID(Table14[[#This Row],[Color Code]], 5, 2)))</f>
        <v>123 , 187 , 99</v>
      </c>
      <c r="D10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89.671623159168917</v>
      </c>
      <c r="E1022" t="str">
        <f>Table14[[#This Row],[Color Code]] &amp; " - " &amp;Table14[[#This Row],[Color Name]]</f>
        <v>7BBB63 - 7654</v>
      </c>
    </row>
    <row r="1023" spans="1:5" x14ac:dyDescent="0.35">
      <c r="A1023" s="17" t="s">
        <v>3396</v>
      </c>
      <c r="B1023" t="s">
        <v>5655</v>
      </c>
      <c r="C1023" s="9" t="str">
        <f>_xlfn.CONCAT(HEX2DEC(MID(Table14[[#This Row],[Color Code]], 1, 2))," , ",HEX2DEC(MID(Table14[[#This Row],[Color Code]], 3, 2))," , ",HEX2DEC(MID(Table14[[#This Row],[Color Code]], 5, 2)))</f>
        <v>253 , 228 , 194</v>
      </c>
      <c r="D10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89.727364833700534</v>
      </c>
      <c r="E1023" t="str">
        <f>Table14[[#This Row],[Color Code]] &amp; " - " &amp;Table14[[#This Row],[Color Name]]</f>
        <v>FDE4C2 - 7978</v>
      </c>
    </row>
    <row r="1024" spans="1:5" x14ac:dyDescent="0.35">
      <c r="A1024" s="17" t="s">
        <v>2604</v>
      </c>
      <c r="B1024" t="s">
        <v>4799</v>
      </c>
      <c r="C1024" s="9" t="str">
        <f>_xlfn.CONCAT(HEX2DEC(MID(Table14[[#This Row],[Color Code]], 1, 2))," , ",HEX2DEC(MID(Table14[[#This Row],[Color Code]], 3, 2))," , ",HEX2DEC(MID(Table14[[#This Row],[Color Code]], 5, 2)))</f>
        <v>176 , 89 , 135</v>
      </c>
      <c r="D10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89.732937096698222</v>
      </c>
      <c r="E1024" t="str">
        <f>Table14[[#This Row],[Color Code]] &amp; " - " &amp;Table14[[#This Row],[Color Name]]</f>
        <v>B05987 - 9584</v>
      </c>
    </row>
    <row r="1025" spans="1:5" x14ac:dyDescent="0.35">
      <c r="A1025" s="17" t="s">
        <v>4137</v>
      </c>
      <c r="B1025" t="s">
        <v>6489</v>
      </c>
      <c r="C1025" s="9" t="str">
        <f>_xlfn.CONCAT(HEX2DEC(MID(Table14[[#This Row],[Color Code]], 1, 2))," , ",HEX2DEC(MID(Table14[[#This Row],[Color Code]], 3, 2))," , ",HEX2DEC(MID(Table14[[#This Row],[Color Code]], 5, 2)))</f>
        <v>140 , 118 , 109</v>
      </c>
      <c r="D10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89.827612681179502</v>
      </c>
      <c r="E1025" t="str">
        <f>Table14[[#This Row],[Color Code]] &amp; " - " &amp;Table14[[#This Row],[Color Name]]</f>
        <v>8C766D - 8655</v>
      </c>
    </row>
    <row r="1026" spans="1:5" x14ac:dyDescent="0.35">
      <c r="A1026" s="17" t="s">
        <v>3335</v>
      </c>
      <c r="B1026" t="s">
        <v>5594</v>
      </c>
      <c r="C1026" s="9" t="str">
        <f>_xlfn.CONCAT(HEX2DEC(MID(Table14[[#This Row],[Color Code]], 1, 2))," , ",HEX2DEC(MID(Table14[[#This Row],[Color Code]], 3, 2))," , ",HEX2DEC(MID(Table14[[#This Row],[Color Code]], 5, 2)))</f>
        <v>254 , 231 , 188</v>
      </c>
      <c r="D10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89.827612681179502</v>
      </c>
      <c r="E1026" t="str">
        <f>Table14[[#This Row],[Color Code]] &amp; " - " &amp;Table14[[#This Row],[Color Name]]</f>
        <v>FEE7BC - 7922</v>
      </c>
    </row>
    <row r="1027" spans="1:5" x14ac:dyDescent="0.35">
      <c r="A1027" s="17" t="s">
        <v>3491</v>
      </c>
      <c r="B1027" t="s">
        <v>5758</v>
      </c>
      <c r="C1027" s="9" t="str">
        <f>_xlfn.CONCAT(HEX2DEC(MID(Table14[[#This Row],[Color Code]], 1, 2))," , ",HEX2DEC(MID(Table14[[#This Row],[Color Code]], 3, 2))," , ",HEX2DEC(MID(Table14[[#This Row],[Color Code]], 5, 2)))</f>
        <v>254 , 221 , 201</v>
      </c>
      <c r="D10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89.866567754643881</v>
      </c>
      <c r="E1027" t="str">
        <f>Table14[[#This Row],[Color Code]] &amp; " - " &amp;Table14[[#This Row],[Color Name]]</f>
        <v>FEDDC9 - 8026</v>
      </c>
    </row>
    <row r="1028" spans="1:5" x14ac:dyDescent="0.35">
      <c r="A1028" s="17" t="s">
        <v>3938</v>
      </c>
      <c r="B1028" t="s">
        <v>6266</v>
      </c>
      <c r="C1028" s="9" t="str">
        <f>_xlfn.CONCAT(HEX2DEC(MID(Table14[[#This Row],[Color Code]], 1, 2))," , ",HEX2DEC(MID(Table14[[#This Row],[Color Code]], 3, 2))," , ",HEX2DEC(MID(Table14[[#This Row],[Color Code]], 5, 2)))</f>
        <v>134 , 124 , 109</v>
      </c>
      <c r="D10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89.894382471876412</v>
      </c>
      <c r="E1028" t="str">
        <f>Table14[[#This Row],[Color Code]] &amp; " - " &amp;Table14[[#This Row],[Color Name]]</f>
        <v>867C6D - 8463</v>
      </c>
    </row>
    <row r="1029" spans="1:5" x14ac:dyDescent="0.35">
      <c r="A1029" s="17" t="s">
        <v>3616</v>
      </c>
      <c r="B1029" t="s">
        <v>5886</v>
      </c>
      <c r="C1029" s="9" t="str">
        <f>_xlfn.CONCAT(HEX2DEC(MID(Table14[[#This Row],[Color Code]], 1, 2))," , ",HEX2DEC(MID(Table14[[#This Row],[Color Code]], 3, 2))," , ",HEX2DEC(MID(Table14[[#This Row],[Color Code]], 5, 2)))</f>
        <v>242 , 210 , 221</v>
      </c>
      <c r="D10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89.894382471876412</v>
      </c>
      <c r="E1029" t="str">
        <f>Table14[[#This Row],[Color Code]] &amp; " - " &amp;Table14[[#This Row],[Color Name]]</f>
        <v>F2D2DD - 8130</v>
      </c>
    </row>
    <row r="1030" spans="1:5" x14ac:dyDescent="0.35">
      <c r="A1030" s="17" t="s">
        <v>3281</v>
      </c>
      <c r="B1030" t="s">
        <v>5540</v>
      </c>
      <c r="C1030" s="9" t="str">
        <f>_xlfn.CONCAT(HEX2DEC(MID(Table14[[#This Row],[Color Code]], 1, 2))," , ",HEX2DEC(MID(Table14[[#This Row],[Color Code]], 3, 2))," , ",HEX2DEC(MID(Table14[[#This Row],[Color Code]], 5, 2)))</f>
        <v>253 , 235 , 183</v>
      </c>
      <c r="D10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90.027773492406226</v>
      </c>
      <c r="E1030" t="str">
        <f>Table14[[#This Row],[Color Code]] &amp; " - " &amp;Table14[[#This Row],[Color Name]]</f>
        <v>FDEBB7 - 7873</v>
      </c>
    </row>
    <row r="1031" spans="1:5" x14ac:dyDescent="0.35">
      <c r="A1031" s="17" t="s">
        <v>3592</v>
      </c>
      <c r="B1031" t="s">
        <v>5861</v>
      </c>
      <c r="C1031" s="9" t="str">
        <f>_xlfn.CONCAT(HEX2DEC(MID(Table14[[#This Row],[Color Code]], 1, 2))," , ",HEX2DEC(MID(Table14[[#This Row],[Color Code]], 3, 2))," , ",HEX2DEC(MID(Table14[[#This Row],[Color Code]], 5, 2)))</f>
        <v>244 , 216 , 216</v>
      </c>
      <c r="D10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90.033327162779003</v>
      </c>
      <c r="E1031" t="str">
        <f>Table14[[#This Row],[Color Code]] &amp; " - " &amp;Table14[[#This Row],[Color Name]]</f>
        <v>F4D8D8 - 8115</v>
      </c>
    </row>
    <row r="1032" spans="1:5" x14ac:dyDescent="0.35">
      <c r="A1032" s="17" t="s">
        <v>2925</v>
      </c>
      <c r="B1032" t="s">
        <v>5154</v>
      </c>
      <c r="C1032" s="9" t="str">
        <f>_xlfn.CONCAT(HEX2DEC(MID(Table14[[#This Row],[Color Code]], 1, 2))," , ",HEX2DEC(MID(Table14[[#This Row],[Color Code]], 3, 2))," , ",HEX2DEC(MID(Table14[[#This Row],[Color Code]], 5, 2)))</f>
        <v>192 , 233 , 224</v>
      </c>
      <c r="D10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90.13878188659973</v>
      </c>
      <c r="E1032" t="str">
        <f>Table14[[#This Row],[Color Code]] &amp; " - " &amp;Table14[[#This Row],[Color Name]]</f>
        <v>C0E9E0 - 7515</v>
      </c>
    </row>
    <row r="1033" spans="1:5" x14ac:dyDescent="0.35">
      <c r="A1033" s="17" t="s">
        <v>2937</v>
      </c>
      <c r="B1033" t="s">
        <v>5169</v>
      </c>
      <c r="C1033" s="9" t="str">
        <f>_xlfn.CONCAT(HEX2DEC(MID(Table14[[#This Row],[Color Code]], 1, 2))," , ",HEX2DEC(MID(Table14[[#This Row],[Color Code]], 3, 2))," , ",HEX2DEC(MID(Table14[[#This Row],[Color Code]], 5, 2)))</f>
        <v>208 , 232 , 223</v>
      </c>
      <c r="D10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90.160967164289005</v>
      </c>
      <c r="E1033" t="str">
        <f>Table14[[#This Row],[Color Code]] &amp; " - " &amp;Table14[[#This Row],[Color Name]]</f>
        <v>D0E8DF - 7532</v>
      </c>
    </row>
    <row r="1034" spans="1:5" x14ac:dyDescent="0.35">
      <c r="A1034" s="17" t="s">
        <v>3205</v>
      </c>
      <c r="B1034" t="s">
        <v>5463</v>
      </c>
      <c r="C1034" s="9" t="str">
        <f>_xlfn.CONCAT(HEX2DEC(MID(Table14[[#This Row],[Color Code]], 1, 2))," , ",HEX2DEC(MID(Table14[[#This Row],[Color Code]], 3, 2))," , ",HEX2DEC(MID(Table14[[#This Row],[Color Code]], 5, 2)))</f>
        <v>143 , 133 , 92</v>
      </c>
      <c r="D10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90.188691087075881</v>
      </c>
      <c r="E1034" t="str">
        <f>Table14[[#This Row],[Color Code]] &amp; " - " &amp;Table14[[#This Row],[Color Name]]</f>
        <v>8F855C - 7790</v>
      </c>
    </row>
    <row r="1035" spans="1:5" x14ac:dyDescent="0.35">
      <c r="A1035" s="17" t="s">
        <v>2432</v>
      </c>
      <c r="B1035" t="s">
        <v>4624</v>
      </c>
      <c r="C1035" s="9" t="str">
        <f>_xlfn.CONCAT(HEX2DEC(MID(Table14[[#This Row],[Color Code]], 1, 2))," , ",HEX2DEC(MID(Table14[[#This Row],[Color Code]], 3, 2))," , ",HEX2DEC(MID(Table14[[#This Row],[Color Code]], 5, 2)))</f>
        <v>247 , 228 , 203</v>
      </c>
      <c r="D10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90.210864090751286</v>
      </c>
      <c r="E1035" t="str">
        <f>Table14[[#This Row],[Color Code]] &amp; " - " &amp;Table14[[#This Row],[Color Name]]</f>
        <v>F7E4CB - 0951</v>
      </c>
    </row>
    <row r="1036" spans="1:5" x14ac:dyDescent="0.35">
      <c r="A1036" s="17" t="s">
        <v>4498</v>
      </c>
      <c r="B1036" t="s">
        <v>6065</v>
      </c>
      <c r="C1036" s="9" t="str">
        <f>_xlfn.CONCAT(HEX2DEC(MID(Table14[[#This Row],[Color Code]], 1, 2))," , ",HEX2DEC(MID(Table14[[#This Row],[Color Code]], 3, 2))," , ",HEX2DEC(MID(Table14[[#This Row],[Color Code]], 5, 2)))</f>
        <v>112 , 134 , 147</v>
      </c>
      <c r="D10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90.249653738947941</v>
      </c>
      <c r="E1036" t="str">
        <f>Table14[[#This Row],[Color Code]] &amp; " - " &amp;Table14[[#This Row],[Color Name]]</f>
        <v>708693 - 6134</v>
      </c>
    </row>
    <row r="1037" spans="1:5" x14ac:dyDescent="0.35">
      <c r="A1037" s="17" t="s">
        <v>2883</v>
      </c>
      <c r="B1037" t="s">
        <v>5105</v>
      </c>
      <c r="C1037" s="9" t="str">
        <f>_xlfn.CONCAT(HEX2DEC(MID(Table14[[#This Row],[Color Code]], 1, 2))," , ",HEX2DEC(MID(Table14[[#This Row],[Color Code]], 3, 2))," , ",HEX2DEC(MID(Table14[[#This Row],[Color Code]], 5, 2)))</f>
        <v>132 , 211 , 212</v>
      </c>
      <c r="D10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90.249653738947941</v>
      </c>
      <c r="E1037" t="str">
        <f>Table14[[#This Row],[Color Code]] &amp; " - " &amp;Table14[[#This Row],[Color Name]]</f>
        <v>84D3D4 - 9701</v>
      </c>
    </row>
    <row r="1038" spans="1:5" x14ac:dyDescent="0.35">
      <c r="A1038" s="17" t="s">
        <v>2786</v>
      </c>
      <c r="B1038" t="s">
        <v>5001</v>
      </c>
      <c r="C1038" s="9" t="str">
        <f>_xlfn.CONCAT(HEX2DEC(MID(Table14[[#This Row],[Color Code]], 1, 2))," , ",HEX2DEC(MID(Table14[[#This Row],[Color Code]], 3, 2))," , ",HEX2DEC(MID(Table14[[#This Row],[Color Code]], 5, 2)))</f>
        <v>196 , 222 , 232</v>
      </c>
      <c r="D10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90.299501659754469</v>
      </c>
      <c r="E1038" t="str">
        <f>Table14[[#This Row],[Color Code]] &amp; " - " &amp;Table14[[#This Row],[Color Name]]</f>
        <v>C4DEE8 - 7331</v>
      </c>
    </row>
    <row r="1039" spans="1:5" x14ac:dyDescent="0.35">
      <c r="A1039" s="17" t="s">
        <v>2509</v>
      </c>
      <c r="B1039" t="s">
        <v>4703</v>
      </c>
      <c r="C1039" s="9" t="str">
        <f>_xlfn.CONCAT(HEX2DEC(MID(Table14[[#This Row],[Color Code]], 1, 2))," , ",HEX2DEC(MID(Table14[[#This Row],[Color Code]], 3, 2))," , ",HEX2DEC(MID(Table14[[#This Row],[Color Code]], 5, 2)))</f>
        <v>227 , 227 , 220</v>
      </c>
      <c r="D10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90.299501659754469</v>
      </c>
      <c r="E1039" t="str">
        <f>Table14[[#This Row],[Color Code]] &amp; " - " &amp;Table14[[#This Row],[Color Name]]</f>
        <v>E3E3DC - 8292</v>
      </c>
    </row>
    <row r="1040" spans="1:5" x14ac:dyDescent="0.35">
      <c r="A1040" s="17" t="s">
        <v>4089</v>
      </c>
      <c r="B1040" t="s">
        <v>6435</v>
      </c>
      <c r="C1040" s="9" t="str">
        <f>_xlfn.CONCAT(HEX2DEC(MID(Table14[[#This Row],[Color Code]], 1, 2))," , ",HEX2DEC(MID(Table14[[#This Row],[Color Code]], 3, 2))," , ",HEX2DEC(MID(Table14[[#This Row],[Color Code]], 5, 2)))</f>
        <v>163 , 116 , 93</v>
      </c>
      <c r="D10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90.365922780658863</v>
      </c>
      <c r="E1040" t="str">
        <f>Table14[[#This Row],[Color Code]] &amp; " - " &amp;Table14[[#This Row],[Color Name]]</f>
        <v>A3745D - 8598</v>
      </c>
    </row>
    <row r="1041" spans="1:5" x14ac:dyDescent="0.35">
      <c r="A1041" s="17" t="s">
        <v>3427</v>
      </c>
      <c r="B1041" t="s">
        <v>5688</v>
      </c>
      <c r="C1041" s="9" t="str">
        <f>_xlfn.CONCAT(HEX2DEC(MID(Table14[[#This Row],[Color Code]], 1, 2))," , ",HEX2DEC(MID(Table14[[#This Row],[Color Code]], 3, 2))," , ",HEX2DEC(MID(Table14[[#This Row],[Color Code]], 5, 2)))</f>
        <v>182 , 113 , 90</v>
      </c>
      <c r="D10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90.382520433986571</v>
      </c>
      <c r="E1041" t="str">
        <f>Table14[[#This Row],[Color Code]] &amp; " - " &amp;Table14[[#This Row],[Color Name]]</f>
        <v>B6715A - 9928</v>
      </c>
    </row>
    <row r="1042" spans="1:5" x14ac:dyDescent="0.35">
      <c r="A1042" s="17" t="s">
        <v>2581</v>
      </c>
      <c r="B1042" t="s">
        <v>4775</v>
      </c>
      <c r="C1042" s="9" t="str">
        <f>_xlfn.CONCAT(HEX2DEC(MID(Table14[[#This Row],[Color Code]], 1, 2))," , ",HEX2DEC(MID(Table14[[#This Row],[Color Code]], 3, 2))," , ",HEX2DEC(MID(Table14[[#This Row],[Color Code]], 5, 2)))</f>
        <v>209 , 227 , 227</v>
      </c>
      <c r="D10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90.426765949026404</v>
      </c>
      <c r="E1042" t="str">
        <f>Table14[[#This Row],[Color Code]] &amp; " - " &amp;Table14[[#This Row],[Color Name]]</f>
        <v>D1E3E3 - 9228</v>
      </c>
    </row>
    <row r="1043" spans="1:5" x14ac:dyDescent="0.35">
      <c r="A1043" s="17" t="s">
        <v>4340</v>
      </c>
      <c r="B1043" t="s">
        <v>6712</v>
      </c>
      <c r="C1043" s="9" t="str">
        <f>_xlfn.CONCAT(HEX2DEC(MID(Table14[[#This Row],[Color Code]], 1, 2))," , ",HEX2DEC(MID(Table14[[#This Row],[Color Code]], 3, 2))," , ",HEX2DEC(MID(Table14[[#This Row],[Color Code]], 5, 2)))</f>
        <v>176 , 198 , 69</v>
      </c>
      <c r="D10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90.44888059008801</v>
      </c>
      <c r="E1043" t="str">
        <f>Table14[[#This Row],[Color Code]] &amp; " - " &amp;Table14[[#This Row],[Color Name]]</f>
        <v>B0C645 - X211</v>
      </c>
    </row>
    <row r="1044" spans="1:5" x14ac:dyDescent="0.35">
      <c r="A1044" s="17" t="s">
        <v>3324</v>
      </c>
      <c r="B1044" t="s">
        <v>5583</v>
      </c>
      <c r="C1044" s="9" t="str">
        <f>_xlfn.CONCAT(HEX2DEC(MID(Table14[[#This Row],[Color Code]], 1, 2))," , ",HEX2DEC(MID(Table14[[#This Row],[Color Code]], 3, 2))," , ",HEX2DEC(MID(Table14[[#This Row],[Color Code]], 5, 2)))</f>
        <v>246 , 190 , 84</v>
      </c>
      <c r="D10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90.454408405560869</v>
      </c>
      <c r="E1044" t="str">
        <f>Table14[[#This Row],[Color Code]] &amp; " - " &amp;Table14[[#This Row],[Color Name]]</f>
        <v>F6BE54 - 7902</v>
      </c>
    </row>
    <row r="1045" spans="1:5" x14ac:dyDescent="0.35">
      <c r="A1045" s="17" t="s">
        <v>3158</v>
      </c>
      <c r="B1045" t="s">
        <v>5414</v>
      </c>
      <c r="C1045" s="9" t="str">
        <f>_xlfn.CONCAT(HEX2DEC(MID(Table14[[#This Row],[Color Code]], 1, 2))," , ",HEX2DEC(MID(Table14[[#This Row],[Color Code]], 3, 2))," , ",HEX2DEC(MID(Table14[[#This Row],[Color Code]], 5, 2)))</f>
        <v>173 , 166 , 67</v>
      </c>
      <c r="D10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90.476516290140168</v>
      </c>
      <c r="E1045" t="str">
        <f>Table14[[#This Row],[Color Code]] &amp; " - " &amp;Table14[[#This Row],[Color Name]]</f>
        <v>ADA643 - 9838</v>
      </c>
    </row>
    <row r="1046" spans="1:5" x14ac:dyDescent="0.35">
      <c r="A1046" s="17" t="s">
        <v>3589</v>
      </c>
      <c r="B1046" t="s">
        <v>5858</v>
      </c>
      <c r="C1046" s="9" t="str">
        <f>_xlfn.CONCAT(HEX2DEC(MID(Table14[[#This Row],[Color Code]], 1, 2))," , ",HEX2DEC(MID(Table14[[#This Row],[Color Code]], 3, 2))," , ",HEX2DEC(MID(Table14[[#This Row],[Color Code]], 5, 2)))</f>
        <v>162 , 105 , 106</v>
      </c>
      <c r="D10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90.559372789347435</v>
      </c>
      <c r="E1046" t="str">
        <f>Table14[[#This Row],[Color Code]] &amp; " - " &amp;Table14[[#This Row],[Color Name]]</f>
        <v>A2696A - 8102</v>
      </c>
    </row>
    <row r="1047" spans="1:5" x14ac:dyDescent="0.35">
      <c r="A1047" s="17" t="s">
        <v>2942</v>
      </c>
      <c r="B1047" t="s">
        <v>5174</v>
      </c>
      <c r="C1047" s="9" t="str">
        <f>_xlfn.CONCAT(HEX2DEC(MID(Table14[[#This Row],[Color Code]], 1, 2))," , ",HEX2DEC(MID(Table14[[#This Row],[Color Code]], 3, 2))," , ",HEX2DEC(MID(Table14[[#This Row],[Color Code]], 5, 2)))</f>
        <v>102 , 174 , 165</v>
      </c>
      <c r="D10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90.559372789347435</v>
      </c>
      <c r="E1047" t="str">
        <f>Table14[[#This Row],[Color Code]] &amp; " - " &amp;Table14[[#This Row],[Color Name]]</f>
        <v>66AEA5 - 7527</v>
      </c>
    </row>
    <row r="1048" spans="1:5" x14ac:dyDescent="0.35">
      <c r="A1048" s="17" t="s">
        <v>3522</v>
      </c>
      <c r="B1048" t="s">
        <v>5790</v>
      </c>
      <c r="C1048" s="9" t="str">
        <f>_xlfn.CONCAT(HEX2DEC(MID(Table14[[#This Row],[Color Code]], 1, 2))," , ",HEX2DEC(MID(Table14[[#This Row],[Color Code]], 3, 2))," , ",HEX2DEC(MID(Table14[[#This Row],[Color Code]], 5, 2)))</f>
        <v>253 , 216 , 208</v>
      </c>
      <c r="D10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90.61456836513652</v>
      </c>
      <c r="E1048" t="str">
        <f>Table14[[#This Row],[Color Code]] &amp; " - " &amp;Table14[[#This Row],[Color Name]]</f>
        <v>FDD8D0 - 8050</v>
      </c>
    </row>
    <row r="1049" spans="1:5" x14ac:dyDescent="0.35">
      <c r="A1049" s="17" t="s">
        <v>2775</v>
      </c>
      <c r="B1049" t="s">
        <v>4988</v>
      </c>
      <c r="C1049" s="9" t="str">
        <f>_xlfn.CONCAT(HEX2DEC(MID(Table14[[#This Row],[Color Code]], 1, 2))," , ",HEX2DEC(MID(Table14[[#This Row],[Color Code]], 3, 2))," , ",HEX2DEC(MID(Table14[[#This Row],[Color Code]], 5, 2)))</f>
        <v>108 , 144 , 169</v>
      </c>
      <c r="D10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90.62560344626678</v>
      </c>
      <c r="E1049" t="str">
        <f>Table14[[#This Row],[Color Code]] &amp; " - " &amp;Table14[[#This Row],[Color Name]]</f>
        <v>6C90A9 - 7304</v>
      </c>
    </row>
    <row r="1050" spans="1:5" x14ac:dyDescent="0.35">
      <c r="A1050" s="17" t="s">
        <v>4023</v>
      </c>
      <c r="B1050" t="s">
        <v>6365</v>
      </c>
      <c r="C1050" s="9" t="str">
        <f>_xlfn.CONCAT(HEX2DEC(MID(Table14[[#This Row],[Color Code]], 1, 2))," , ",HEX2DEC(MID(Table14[[#This Row],[Color Code]], 3, 2))," , ",HEX2DEC(MID(Table14[[#This Row],[Color Code]], 5, 2)))</f>
        <v>243 , 227 , 209</v>
      </c>
      <c r="D10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90.669730340395304</v>
      </c>
      <c r="E1050" t="str">
        <f>Table14[[#This Row],[Color Code]] &amp; " - " &amp;Table14[[#This Row],[Color Name]]</f>
        <v>F3E3D1 - 8564</v>
      </c>
    </row>
    <row r="1051" spans="1:5" x14ac:dyDescent="0.35">
      <c r="A1051" s="17" t="s">
        <v>2478</v>
      </c>
      <c r="B1051" t="s">
        <v>4671</v>
      </c>
      <c r="C1051" s="9" t="str">
        <f>_xlfn.CONCAT(HEX2DEC(MID(Table14[[#This Row],[Color Code]], 1, 2))," , ",HEX2DEC(MID(Table14[[#This Row],[Color Code]], 3, 2))," , ",HEX2DEC(MID(Table14[[#This Row],[Color Code]], 5, 2)))</f>
        <v>233 , 227 , 217</v>
      </c>
      <c r="D10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90.71383576941281</v>
      </c>
      <c r="E1051" t="str">
        <f>Table14[[#This Row],[Color Code]] &amp; " - " &amp;Table14[[#This Row],[Color Name]]</f>
        <v>E9E3D9 - 8476</v>
      </c>
    </row>
    <row r="1052" spans="1:5" x14ac:dyDescent="0.35">
      <c r="A1052" s="17" t="s">
        <v>2706</v>
      </c>
      <c r="B1052" t="s">
        <v>4914</v>
      </c>
      <c r="C1052" s="9" t="str">
        <f>_xlfn.CONCAT(HEX2DEC(MID(Table14[[#This Row],[Color Code]], 1, 2))," , ",HEX2DEC(MID(Table14[[#This Row],[Color Code]], 3, 2))," , ",HEX2DEC(MID(Table14[[#This Row],[Color Code]], 5, 2)))</f>
        <v>216 , 219 , 231</v>
      </c>
      <c r="D10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91.038453413928337</v>
      </c>
      <c r="E1052" t="str">
        <f>Table14[[#This Row],[Color Code]] &amp; " - " &amp;Table14[[#This Row],[Color Name]]</f>
        <v>D8DBE7 - 7211</v>
      </c>
    </row>
    <row r="1053" spans="1:5" x14ac:dyDescent="0.35">
      <c r="A1053" s="17" t="s">
        <v>2911</v>
      </c>
      <c r="B1053" t="s">
        <v>5138</v>
      </c>
      <c r="C1053" s="9" t="str">
        <f>_xlfn.CONCAT(HEX2DEC(MID(Table14[[#This Row],[Color Code]], 1, 2))," , ",HEX2DEC(MID(Table14[[#This Row],[Color Code]], 3, 2))," , ",HEX2DEC(MID(Table14[[#This Row],[Color Code]], 5, 2)))</f>
        <v>194 , 232 , 226</v>
      </c>
      <c r="D10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91.071400560219786</v>
      </c>
      <c r="E1053" t="str">
        <f>Table14[[#This Row],[Color Code]] &amp; " - " &amp;Table14[[#This Row],[Color Name]]</f>
        <v>C2E8E2 - 7507</v>
      </c>
    </row>
    <row r="1054" spans="1:5" x14ac:dyDescent="0.35">
      <c r="A1054" s="17" t="s">
        <v>3545</v>
      </c>
      <c r="B1054" t="s">
        <v>5814</v>
      </c>
      <c r="C1054" s="9" t="str">
        <f>_xlfn.CONCAT(HEX2DEC(MID(Table14[[#This Row],[Color Code]], 1, 2))," , ",HEX2DEC(MID(Table14[[#This Row],[Color Code]], 3, 2))," , ",HEX2DEC(MID(Table14[[#This Row],[Color Code]], 5, 2)))</f>
        <v>251 , 216 , 211</v>
      </c>
      <c r="D10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91.093358704133863</v>
      </c>
      <c r="E1054" t="str">
        <f>Table14[[#This Row],[Color Code]] &amp; " - " &amp;Table14[[#This Row],[Color Name]]</f>
        <v>FBD8D3 - 8066</v>
      </c>
    </row>
    <row r="1055" spans="1:5" x14ac:dyDescent="0.35">
      <c r="A1055" s="17" t="s">
        <v>2927</v>
      </c>
      <c r="B1055" t="s">
        <v>5156</v>
      </c>
      <c r="C1055" s="9" t="str">
        <f>_xlfn.CONCAT(HEX2DEC(MID(Table14[[#This Row],[Color Code]], 1, 2))," , ",HEX2DEC(MID(Table14[[#This Row],[Color Code]], 3, 2))," , ",HEX2DEC(MID(Table14[[#This Row],[Color Code]], 5, 2)))</f>
        <v>130 , 217 , 207</v>
      </c>
      <c r="D10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91.170170560331854</v>
      </c>
      <c r="E1055" t="str">
        <f>Table14[[#This Row],[Color Code]] &amp; " - " &amp;Table14[[#This Row],[Color Name]]</f>
        <v>82D9CF - 7513</v>
      </c>
    </row>
    <row r="1056" spans="1:5" x14ac:dyDescent="0.35">
      <c r="A1056" s="17" t="s">
        <v>3473</v>
      </c>
      <c r="B1056" t="s">
        <v>5738</v>
      </c>
      <c r="C1056" s="9" t="str">
        <f>_xlfn.CONCAT(HEX2DEC(MID(Table14[[#This Row],[Color Code]], 1, 2))," , ",HEX2DEC(MID(Table14[[#This Row],[Color Code]], 3, 2))," , ",HEX2DEC(MID(Table14[[#This Row],[Color Code]], 5, 2)))</f>
        <v>185 , 117 , 85</v>
      </c>
      <c r="D10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91.1756546453054</v>
      </c>
      <c r="E1056" t="str">
        <f>Table14[[#This Row],[Color Code]] &amp; " - " &amp;Table14[[#This Row],[Color Name]]</f>
        <v>B97555 - 5103</v>
      </c>
    </row>
    <row r="1057" spans="1:5" x14ac:dyDescent="0.35">
      <c r="A1057" s="17" t="s">
        <v>2977</v>
      </c>
      <c r="B1057" t="s">
        <v>5219</v>
      </c>
      <c r="C1057" s="9" t="str">
        <f>_xlfn.CONCAT(HEX2DEC(MID(Table14[[#This Row],[Color Code]], 1, 2))," , ",HEX2DEC(MID(Table14[[#This Row],[Color Code]], 3, 2))," , ",HEX2DEC(MID(Table14[[#This Row],[Color Code]], 5, 2)))</f>
        <v>107 , 148 , 136</v>
      </c>
      <c r="D10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91.186621825791974</v>
      </c>
      <c r="E1057" t="str">
        <f>Table14[[#This Row],[Color Code]] &amp; " - " &amp;Table14[[#This Row],[Color Name]]</f>
        <v>6B9488 - 9746</v>
      </c>
    </row>
    <row r="1058" spans="1:5" x14ac:dyDescent="0.35">
      <c r="A1058" s="17" t="s">
        <v>2486</v>
      </c>
      <c r="B1058" t="s">
        <v>4679</v>
      </c>
      <c r="C1058" s="9" t="str">
        <f>_xlfn.CONCAT(HEX2DEC(MID(Table14[[#This Row],[Color Code]], 1, 2))," , ",HEX2DEC(MID(Table14[[#This Row],[Color Code]], 3, 2))," , ",HEX2DEC(MID(Table14[[#This Row],[Color Code]], 5, 2)))</f>
        <v>233 , 228 , 217</v>
      </c>
      <c r="D10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91.290744328217627</v>
      </c>
      <c r="E1058" t="str">
        <f>Table14[[#This Row],[Color Code]] &amp; " - " &amp;Table14[[#This Row],[Color Name]]</f>
        <v>E9E4D9 - 8436</v>
      </c>
    </row>
    <row r="1059" spans="1:5" x14ac:dyDescent="0.35">
      <c r="A1059" s="17" t="s">
        <v>2826</v>
      </c>
      <c r="B1059" t="s">
        <v>5042</v>
      </c>
      <c r="C1059" s="9" t="str">
        <f>_xlfn.CONCAT(HEX2DEC(MID(Table14[[#This Row],[Color Code]], 1, 2))," , ",HEX2DEC(MID(Table14[[#This Row],[Color Code]], 3, 2))," , ",HEX2DEC(MID(Table14[[#This Row],[Color Code]], 5, 2)))</f>
        <v>196 , 227 , 230</v>
      </c>
      <c r="D10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91.35097153287424</v>
      </c>
      <c r="E1059" t="str">
        <f>Table14[[#This Row],[Color Code]] &amp; " - " &amp;Table14[[#This Row],[Color Name]]</f>
        <v>C4E3E6 - 7411</v>
      </c>
    </row>
    <row r="1060" spans="1:5" x14ac:dyDescent="0.35">
      <c r="A1060" s="17" t="s">
        <v>4031</v>
      </c>
      <c r="B1060" t="s">
        <v>6373</v>
      </c>
      <c r="C1060" s="9" t="str">
        <f>_xlfn.CONCAT(HEX2DEC(MID(Table14[[#This Row],[Color Code]], 1, 2))," , ",HEX2DEC(MID(Table14[[#This Row],[Color Code]], 3, 2))," , ",HEX2DEC(MID(Table14[[#This Row],[Color Code]], 5, 2)))</f>
        <v>241 , 228 , 211</v>
      </c>
      <c r="D10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91.356444764449975</v>
      </c>
      <c r="E1060" t="str">
        <f>Table14[[#This Row],[Color Code]] &amp; " - " &amp;Table14[[#This Row],[Color Name]]</f>
        <v>F1E4D3 - 0N68</v>
      </c>
    </row>
    <row r="1061" spans="1:5" x14ac:dyDescent="0.35">
      <c r="A1061" s="17" t="s">
        <v>3977</v>
      </c>
      <c r="B1061" t="s">
        <v>6317</v>
      </c>
      <c r="C1061" s="9" t="str">
        <f>_xlfn.CONCAT(HEX2DEC(MID(Table14[[#This Row],[Color Code]], 1, 2))," , ",HEX2DEC(MID(Table14[[#This Row],[Color Code]], 3, 2))," , ",HEX2DEC(MID(Table14[[#This Row],[Color Code]], 5, 2)))</f>
        <v>240 , 230 , 210</v>
      </c>
      <c r="D10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91.400218818118816</v>
      </c>
      <c r="E1061" t="str">
        <f>Table14[[#This Row],[Color Code]] &amp; " - " &amp;Table14[[#This Row],[Color Name]]</f>
        <v>F0E6D2 - 0942</v>
      </c>
    </row>
    <row r="1062" spans="1:5" x14ac:dyDescent="0.35">
      <c r="A1062" s="17" t="s">
        <v>2859</v>
      </c>
      <c r="B1062" t="s">
        <v>5077</v>
      </c>
      <c r="C1062" s="9" t="str">
        <f>_xlfn.CONCAT(HEX2DEC(MID(Table14[[#This Row],[Color Code]], 1, 2))," , ",HEX2DEC(MID(Table14[[#This Row],[Color Code]], 3, 2))," , ",HEX2DEC(MID(Table14[[#This Row],[Color Code]], 5, 2)))</f>
        <v>119 , 193 , 207</v>
      </c>
      <c r="D10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91.4166286842826</v>
      </c>
      <c r="E1062" t="str">
        <f>Table14[[#This Row],[Color Code]] &amp; " - " &amp;Table14[[#This Row],[Color Name]]</f>
        <v>77C1CF - 7432</v>
      </c>
    </row>
    <row r="1063" spans="1:5" x14ac:dyDescent="0.35">
      <c r="A1063" s="17" t="s">
        <v>3029</v>
      </c>
      <c r="B1063" t="s">
        <v>5273</v>
      </c>
      <c r="C1063" s="9" t="str">
        <f>_xlfn.CONCAT(HEX2DEC(MID(Table14[[#This Row],[Color Code]], 1, 2))," , ",HEX2DEC(MID(Table14[[#This Row],[Color Code]], 3, 2))," , ",HEX2DEC(MID(Table14[[#This Row],[Color Code]], 5, 2)))</f>
        <v>226 , 237 , 213</v>
      </c>
      <c r="D10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91.454906921389409</v>
      </c>
      <c r="E1063" t="str">
        <f>Table14[[#This Row],[Color Code]] &amp; " - " &amp;Table14[[#This Row],[Color Name]]</f>
        <v>E2EDD5 - 7659</v>
      </c>
    </row>
    <row r="1064" spans="1:5" x14ac:dyDescent="0.35">
      <c r="A1064" s="17" t="s">
        <v>3086</v>
      </c>
      <c r="B1064" t="s">
        <v>5338</v>
      </c>
      <c r="C1064" s="9" t="str">
        <f>_xlfn.CONCAT(HEX2DEC(MID(Table14[[#This Row],[Color Code]], 1, 2))," , ",HEX2DEC(MID(Table14[[#This Row],[Color Code]], 3, 2))," , ",HEX2DEC(MID(Table14[[#This Row],[Color Code]], 5, 2)))</f>
        <v>235 , 235 , 209</v>
      </c>
      <c r="D10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91.460373933195797</v>
      </c>
      <c r="E1064" t="str">
        <f>Table14[[#This Row],[Color Code]] &amp; " - " &amp;Table14[[#This Row],[Color Name]]</f>
        <v>EBEBD1 - 7715</v>
      </c>
    </row>
    <row r="1065" spans="1:5" x14ac:dyDescent="0.35">
      <c r="A1065" s="17" t="s">
        <v>2817</v>
      </c>
      <c r="B1065" t="s">
        <v>5033</v>
      </c>
      <c r="C1065" s="9" t="str">
        <f>_xlfn.CONCAT(HEX2DEC(MID(Table14[[#This Row],[Color Code]], 1, 2))," , ",HEX2DEC(MID(Table14[[#This Row],[Color Code]], 3, 2))," , ",HEX2DEC(MID(Table14[[#This Row],[Color Code]], 5, 2)))</f>
        <v>171 , 218 , 233</v>
      </c>
      <c r="D10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91.509562341866769</v>
      </c>
      <c r="E1065" t="str">
        <f>Table14[[#This Row],[Color Code]] &amp; " - " &amp;Table14[[#This Row],[Color Name]]</f>
        <v>ABDAE9 - 9210</v>
      </c>
    </row>
    <row r="1066" spans="1:5" x14ac:dyDescent="0.35">
      <c r="A1066" s="17" t="s">
        <v>2918</v>
      </c>
      <c r="B1066" t="s">
        <v>5145</v>
      </c>
      <c r="C1066" s="9" t="str">
        <f>_xlfn.CONCAT(HEX2DEC(MID(Table14[[#This Row],[Color Code]], 1, 2))," , ",HEX2DEC(MID(Table14[[#This Row],[Color Code]], 3, 2))," , ",HEX2DEC(MID(Table14[[#This Row],[Color Code]], 5, 2)))</f>
        <v>198 , 230 , 228</v>
      </c>
      <c r="D10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91.596943180435886</v>
      </c>
      <c r="E1066" t="str">
        <f>Table14[[#This Row],[Color Code]] &amp; " - " &amp;Table14[[#This Row],[Color Name]]</f>
        <v>C6E6E4 - 7443</v>
      </c>
    </row>
    <row r="1067" spans="1:5" x14ac:dyDescent="0.35">
      <c r="A1067" s="17" t="s">
        <v>2435</v>
      </c>
      <c r="B1067" t="s">
        <v>4627</v>
      </c>
      <c r="C1067" s="9" t="str">
        <f>_xlfn.CONCAT(HEX2DEC(MID(Table14[[#This Row],[Color Code]], 1, 2))," , ",HEX2DEC(MID(Table14[[#This Row],[Color Code]], 3, 2))," , ",HEX2DEC(MID(Table14[[#This Row],[Color Code]], 5, 2)))</f>
        <v>235 , 227 , 217</v>
      </c>
      <c r="D10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91.635146095807585</v>
      </c>
      <c r="E1067" t="str">
        <f>Table14[[#This Row],[Color Code]] &amp; " - " &amp;Table14[[#This Row],[Color Name]]</f>
        <v>EBE3D9 - 5232</v>
      </c>
    </row>
    <row r="1068" spans="1:5" x14ac:dyDescent="0.35">
      <c r="A1068" s="17" t="s">
        <v>3706</v>
      </c>
      <c r="B1068" t="s">
        <v>5993</v>
      </c>
      <c r="C1068" s="9" t="str">
        <f>_xlfn.CONCAT(HEX2DEC(MID(Table14[[#This Row],[Color Code]], 1, 2))," , ",HEX2DEC(MID(Table14[[#This Row],[Color Code]], 3, 2))," , ",HEX2DEC(MID(Table14[[#This Row],[Color Code]], 5, 2)))</f>
        <v>126 , 120 , 123</v>
      </c>
      <c r="D10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91.678787077491378</v>
      </c>
      <c r="E1068" t="str">
        <f>Table14[[#This Row],[Color Code]] &amp; " - " &amp;Table14[[#This Row],[Color Name]]</f>
        <v>7E787B - K079</v>
      </c>
    </row>
    <row r="1069" spans="1:5" x14ac:dyDescent="0.35">
      <c r="A1069" s="17" t="s">
        <v>2501</v>
      </c>
      <c r="B1069" t="s">
        <v>4695</v>
      </c>
      <c r="C1069" s="9" t="str">
        <f>_xlfn.CONCAT(HEX2DEC(MID(Table14[[#This Row],[Color Code]], 1, 2))," , ",HEX2DEC(MID(Table14[[#This Row],[Color Code]], 3, 2))," , ",HEX2DEC(MID(Table14[[#This Row],[Color Code]], 5, 2)))</f>
        <v>231 , 229 , 218</v>
      </c>
      <c r="D10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91.684240739616754</v>
      </c>
      <c r="E1069" t="str">
        <f>Table14[[#This Row],[Color Code]] &amp; " - " &amp;Table14[[#This Row],[Color Name]]</f>
        <v>E7E5DA - L109</v>
      </c>
    </row>
    <row r="1070" spans="1:5" x14ac:dyDescent="0.35">
      <c r="A1070" s="17" t="s">
        <v>2933</v>
      </c>
      <c r="B1070" t="s">
        <v>5163</v>
      </c>
      <c r="C1070" s="9" t="str">
        <f>_xlfn.CONCAT(HEX2DEC(MID(Table14[[#This Row],[Color Code]], 1, 2))," , ",HEX2DEC(MID(Table14[[#This Row],[Color Code]], 3, 2))," , ",HEX2DEC(MID(Table14[[#This Row],[Color Code]], 5, 2)))</f>
        <v>114 , 206 , 192</v>
      </c>
      <c r="D10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91.727858363749007</v>
      </c>
      <c r="E1070" t="str">
        <f>Table14[[#This Row],[Color Code]] &amp; " - " &amp;Table14[[#This Row],[Color Name]]</f>
        <v>72CEC0 - 9720</v>
      </c>
    </row>
    <row r="1071" spans="1:5" x14ac:dyDescent="0.35">
      <c r="A1071" s="17" t="s">
        <v>2532</v>
      </c>
      <c r="B1071" t="s">
        <v>4726</v>
      </c>
      <c r="C1071" s="9" t="str">
        <f>_xlfn.CONCAT(HEX2DEC(MID(Table14[[#This Row],[Color Code]], 1, 2))," , ",HEX2DEC(MID(Table14[[#This Row],[Color Code]], 3, 2))," , ",HEX2DEC(MID(Table14[[#This Row],[Color Code]], 5, 2)))</f>
        <v>230 , 231 , 217</v>
      </c>
      <c r="D10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91.782351244670124</v>
      </c>
      <c r="E1071" t="str">
        <f>Table14[[#This Row],[Color Code]] &amp; " - " &amp;Table14[[#This Row],[Color Name]]</f>
        <v>E6E7D9 - 8388</v>
      </c>
    </row>
    <row r="1072" spans="1:5" x14ac:dyDescent="0.35">
      <c r="A1072" s="17" t="s">
        <v>2582</v>
      </c>
      <c r="B1072" t="s">
        <v>4776</v>
      </c>
      <c r="C1072" s="9" t="str">
        <f>_xlfn.CONCAT(HEX2DEC(MID(Table14[[#This Row],[Color Code]], 1, 2))," , ",HEX2DEC(MID(Table14[[#This Row],[Color Code]], 3, 2))," , ",HEX2DEC(MID(Table14[[#This Row],[Color Code]], 5, 2)))</f>
        <v>199 , 226 , 231</v>
      </c>
      <c r="D10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91.793245938903368</v>
      </c>
      <c r="E1072" t="str">
        <f>Table14[[#This Row],[Color Code]] &amp; " - " &amp;Table14[[#This Row],[Color Name]]</f>
        <v>C7E2E7 - 7363</v>
      </c>
    </row>
    <row r="1073" spans="1:5" x14ac:dyDescent="0.35">
      <c r="A1073" s="17" t="s">
        <v>3969</v>
      </c>
      <c r="B1073" t="s">
        <v>6309</v>
      </c>
      <c r="C1073" s="9" t="str">
        <f>_xlfn.CONCAT(HEX2DEC(MID(Table14[[#This Row],[Color Code]], 1, 2))," , ",HEX2DEC(MID(Table14[[#This Row],[Color Code]], 3, 2))," , ",HEX2DEC(MID(Table14[[#This Row],[Color Code]], 5, 2)))</f>
        <v>241 , 230 , 210</v>
      </c>
      <c r="D10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91.92932067626738</v>
      </c>
      <c r="E1073" t="str">
        <f>Table14[[#This Row],[Color Code]] &amp; " - " &amp;Table14[[#This Row],[Color Name]]</f>
        <v>F1E6D2 - 8508</v>
      </c>
    </row>
    <row r="1074" spans="1:5" x14ac:dyDescent="0.35">
      <c r="A1074" s="17" t="s">
        <v>3064</v>
      </c>
      <c r="B1074" t="s">
        <v>5313</v>
      </c>
      <c r="C1074" s="9" t="str">
        <f>_xlfn.CONCAT(HEX2DEC(MID(Table14[[#This Row],[Color Code]], 1, 2))," , ",HEX2DEC(MID(Table14[[#This Row],[Color Code]], 3, 2))," , ",HEX2DEC(MID(Table14[[#This Row],[Color Code]], 5, 2)))</f>
        <v>229 , 236 , 213</v>
      </c>
      <c r="D10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91.945636111780743</v>
      </c>
      <c r="E1074" t="str">
        <f>Table14[[#This Row],[Color Code]] &amp; " - " &amp;Table14[[#This Row],[Color Name]]</f>
        <v>E5ECD5 - 7675</v>
      </c>
    </row>
    <row r="1075" spans="1:5" x14ac:dyDescent="0.35">
      <c r="A1075" s="17" t="s">
        <v>4564</v>
      </c>
      <c r="B1075" t="s">
        <v>6574</v>
      </c>
      <c r="C1075" s="9" t="str">
        <f>_xlfn.CONCAT(HEX2DEC(MID(Table14[[#This Row],[Color Code]], 1, 2))," , ",HEX2DEC(MID(Table14[[#This Row],[Color Code]], 3, 2))," , ",HEX2DEC(MID(Table14[[#This Row],[Color Code]], 5, 2)))</f>
        <v>146 , 113 , 105</v>
      </c>
      <c r="D10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91.978258300535344</v>
      </c>
      <c r="E1075" t="str">
        <f>Table14[[#This Row],[Color Code]] &amp; " - " &amp;Table14[[#This Row],[Color Name]]</f>
        <v>927169 - K267</v>
      </c>
    </row>
    <row r="1076" spans="1:5" x14ac:dyDescent="0.35">
      <c r="A1076" s="17" t="s">
        <v>2781</v>
      </c>
      <c r="B1076" t="s">
        <v>4995</v>
      </c>
      <c r="C1076" s="9" t="str">
        <f>_xlfn.CONCAT(HEX2DEC(MID(Table14[[#This Row],[Color Code]], 1, 2))," , ",HEX2DEC(MID(Table14[[#This Row],[Color Code]], 3, 2))," , ",HEX2DEC(MID(Table14[[#This Row],[Color Code]], 5, 2)))</f>
        <v>139 , 197 , 227</v>
      </c>
      <c r="D10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92.070625065761334</v>
      </c>
      <c r="E1076" t="str">
        <f>Table14[[#This Row],[Color Code]] &amp; " - " &amp;Table14[[#This Row],[Color Name]]</f>
        <v>8BC5E3 - 7329</v>
      </c>
    </row>
    <row r="1077" spans="1:5" x14ac:dyDescent="0.35">
      <c r="A1077" s="17" t="s">
        <v>3732</v>
      </c>
      <c r="B1077" t="s">
        <v>6021</v>
      </c>
      <c r="C1077" s="9" t="str">
        <f>_xlfn.CONCAT(HEX2DEC(MID(Table14[[#This Row],[Color Code]], 1, 2))," , ",HEX2DEC(MID(Table14[[#This Row],[Color Code]], 3, 2))," , ",HEX2DEC(MID(Table14[[#This Row],[Color Code]], 5, 2)))</f>
        <v>207 , 220 , 234</v>
      </c>
      <c r="D10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92.14662229295223</v>
      </c>
      <c r="E1077" t="str">
        <f>Table14[[#This Row],[Color Code]] &amp; " - " &amp;Table14[[#This Row],[Color Name]]</f>
        <v>CFDCEA - K083</v>
      </c>
    </row>
    <row r="1078" spans="1:5" x14ac:dyDescent="0.35">
      <c r="A1078" s="17" t="s">
        <v>2571</v>
      </c>
      <c r="B1078" t="s">
        <v>4765</v>
      </c>
      <c r="C1078" s="9" t="str">
        <f>_xlfn.CONCAT(HEX2DEC(MID(Table14[[#This Row],[Color Code]], 1, 2))," , ",HEX2DEC(MID(Table14[[#This Row],[Color Code]], 3, 2))," , ",HEX2DEC(MID(Table14[[#This Row],[Color Code]], 5, 2)))</f>
        <v>220 , 228 , 225</v>
      </c>
      <c r="D10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92.157473923713866</v>
      </c>
      <c r="E1078" t="str">
        <f>Table14[[#This Row],[Color Code]] &amp; " - " &amp;Table14[[#This Row],[Color Name]]</f>
        <v>DCE4E1 - 7388</v>
      </c>
    </row>
    <row r="1079" spans="1:5" x14ac:dyDescent="0.35">
      <c r="A1079" s="17" t="s">
        <v>2590</v>
      </c>
      <c r="B1079" t="s">
        <v>4784</v>
      </c>
      <c r="C1079" s="9" t="str">
        <f>_xlfn.CONCAT(HEX2DEC(MID(Table14[[#This Row],[Color Code]], 1, 2))," , ",HEX2DEC(MID(Table14[[#This Row],[Color Code]], 3, 2))," , ",HEX2DEC(MID(Table14[[#This Row],[Color Code]], 5, 2)))</f>
        <v>225 , 219 , 229</v>
      </c>
      <c r="D10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92.200867674876037</v>
      </c>
      <c r="E1079" t="str">
        <f>Table14[[#This Row],[Color Code]] &amp; " - " &amp;Table14[[#This Row],[Color Name]]</f>
        <v>E1DBE5 - 7163</v>
      </c>
    </row>
    <row r="1080" spans="1:5" x14ac:dyDescent="0.35">
      <c r="A1080" s="17" t="s">
        <v>3680</v>
      </c>
      <c r="B1080" t="s">
        <v>5955</v>
      </c>
      <c r="C1080" s="9" t="str">
        <f>_xlfn.CONCAT(HEX2DEC(MID(Table14[[#This Row],[Color Code]], 1, 2))," , ",HEX2DEC(MID(Table14[[#This Row],[Color Code]], 3, 2))," , ",HEX2DEC(MID(Table14[[#This Row],[Color Code]], 5, 2)))</f>
        <v>134 , 109 , 127</v>
      </c>
      <c r="D10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92.217135067188025</v>
      </c>
      <c r="E1080" t="str">
        <f>Table14[[#This Row],[Color Code]] &amp; " - " &amp;Table14[[#This Row],[Color Name]]</f>
        <v>866D7F - 8198</v>
      </c>
    </row>
    <row r="1081" spans="1:5" x14ac:dyDescent="0.35">
      <c r="A1081" s="17" t="s">
        <v>3409</v>
      </c>
      <c r="B1081" t="s">
        <v>5669</v>
      </c>
      <c r="C1081" s="9" t="str">
        <f>_xlfn.CONCAT(HEX2DEC(MID(Table14[[#This Row],[Color Code]], 1, 2))," , ",HEX2DEC(MID(Table14[[#This Row],[Color Code]], 3, 2))," , ",HEX2DEC(MID(Table14[[#This Row],[Color Code]], 5, 2)))</f>
        <v>252 , 226 , 203</v>
      </c>
      <c r="D10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92.22255689363638</v>
      </c>
      <c r="E1081" t="str">
        <f>Table14[[#This Row],[Color Code]] &amp; " - " &amp;Table14[[#This Row],[Color Name]]</f>
        <v>FCE2CB - 9909</v>
      </c>
    </row>
    <row r="1082" spans="1:5" x14ac:dyDescent="0.35">
      <c r="A1082" s="17" t="s">
        <v>2906</v>
      </c>
      <c r="B1082" t="s">
        <v>5133</v>
      </c>
      <c r="C1082" s="9" t="str">
        <f>_xlfn.CONCAT(HEX2DEC(MID(Table14[[#This Row],[Color Code]], 1, 2))," , ",HEX2DEC(MID(Table14[[#This Row],[Color Code]], 3, 2))," , ",HEX2DEC(MID(Table14[[#This Row],[Color Code]], 5, 2)))</f>
        <v>101 , 160 , 155</v>
      </c>
      <c r="D10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92.22797840135064</v>
      </c>
      <c r="E1082" t="str">
        <f>Table14[[#This Row],[Color Code]] &amp; " - " &amp;Table14[[#This Row],[Color Name]]</f>
        <v>65A09B - 7487</v>
      </c>
    </row>
    <row r="1083" spans="1:5" x14ac:dyDescent="0.35">
      <c r="A1083" s="17" t="s">
        <v>2797</v>
      </c>
      <c r="B1083" t="s">
        <v>5012</v>
      </c>
      <c r="C1083" s="9" t="str">
        <f>_xlfn.CONCAT(HEX2DEC(MID(Table14[[#This Row],[Color Code]], 1, 2))," , ",HEX2DEC(MID(Table14[[#This Row],[Color Code]], 3, 2))," , ",HEX2DEC(MID(Table14[[#This Row],[Color Code]], 5, 2)))</f>
        <v>120 , 186 , 212</v>
      </c>
      <c r="D10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92.487837038174916</v>
      </c>
      <c r="E1083" t="str">
        <f>Table14[[#This Row],[Color Code]] &amp; " - " &amp;Table14[[#This Row],[Color Name]]</f>
        <v>78BAD4 - 7360</v>
      </c>
    </row>
    <row r="1084" spans="1:5" x14ac:dyDescent="0.35">
      <c r="A1084" s="17" t="s">
        <v>3946</v>
      </c>
      <c r="B1084" t="s">
        <v>6275</v>
      </c>
      <c r="C1084" s="9" t="str">
        <f>_xlfn.CONCAT(HEX2DEC(MID(Table14[[#This Row],[Color Code]], 1, 2))," , ",HEX2DEC(MID(Table14[[#This Row],[Color Code]], 3, 2))," , ",HEX2DEC(MID(Table14[[#This Row],[Color Code]], 5, 2)))</f>
        <v>131 , 122 , 110</v>
      </c>
      <c r="D10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92.493242996448117</v>
      </c>
      <c r="E1084" t="str">
        <f>Table14[[#This Row],[Color Code]] &amp; " - " &amp;Table14[[#This Row],[Color Name]]</f>
        <v>837A6E - K300</v>
      </c>
    </row>
    <row r="1085" spans="1:5" x14ac:dyDescent="0.35">
      <c r="A1085" s="17" t="s">
        <v>2607</v>
      </c>
      <c r="B1085" t="s">
        <v>4803</v>
      </c>
      <c r="C1085" s="9" t="str">
        <f>_xlfn.CONCAT(HEX2DEC(MID(Table14[[#This Row],[Color Code]], 1, 2))," , ",HEX2DEC(MID(Table14[[#This Row],[Color Code]], 3, 2))," , ",HEX2DEC(MID(Table14[[#This Row],[Color Code]], 5, 2)))</f>
        <v>239 , 207 , 228</v>
      </c>
      <c r="D10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92.531075861031681</v>
      </c>
      <c r="E1085" t="str">
        <f>Table14[[#This Row],[Color Code]] &amp; " - " &amp;Table14[[#This Row],[Color Name]]</f>
        <v>EFCFE4 - 9426</v>
      </c>
    </row>
    <row r="1086" spans="1:5" x14ac:dyDescent="0.35">
      <c r="A1086" s="17" t="s">
        <v>2500</v>
      </c>
      <c r="B1086" t="s">
        <v>4694</v>
      </c>
      <c r="C1086" s="9" t="str">
        <f>_xlfn.CONCAT(HEX2DEC(MID(Table14[[#This Row],[Color Code]], 1, 2))," , ",HEX2DEC(MID(Table14[[#This Row],[Color Code]], 3, 2))," , ",HEX2DEC(MID(Table14[[#This Row],[Color Code]], 5, 2)))</f>
        <v>233 , 229 , 218</v>
      </c>
      <c r="D10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92.552687697332701</v>
      </c>
      <c r="E1086" t="str">
        <f>Table14[[#This Row],[Color Code]] &amp; " - " &amp;Table14[[#This Row],[Color Name]]</f>
        <v>E9E5DA - 8428</v>
      </c>
    </row>
    <row r="1087" spans="1:5" x14ac:dyDescent="0.35">
      <c r="A1087" s="17" t="s">
        <v>3328</v>
      </c>
      <c r="B1087" t="s">
        <v>5587</v>
      </c>
      <c r="C1087" s="9" t="str">
        <f>_xlfn.CONCAT(HEX2DEC(MID(Table14[[#This Row],[Color Code]], 1, 2))," , ",HEX2DEC(MID(Table14[[#This Row],[Color Code]], 3, 2))," , ",HEX2DEC(MID(Table14[[#This Row],[Color Code]], 5, 2)))</f>
        <v>252 , 235 , 192</v>
      </c>
      <c r="D10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92.568893263341977</v>
      </c>
      <c r="E1087" t="str">
        <f>Table14[[#This Row],[Color Code]] &amp; " - " &amp;Table14[[#This Row],[Color Name]]</f>
        <v>FCEBC0 - 7914</v>
      </c>
    </row>
    <row r="1088" spans="1:5" x14ac:dyDescent="0.35">
      <c r="A1088" s="17" t="s">
        <v>2989</v>
      </c>
      <c r="B1088" t="s">
        <v>5233</v>
      </c>
      <c r="C1088" s="9" t="str">
        <f>_xlfn.CONCAT(HEX2DEC(MID(Table14[[#This Row],[Color Code]], 1, 2))," , ",HEX2DEC(MID(Table14[[#This Row],[Color Code]], 3, 2))," , ",HEX2DEC(MID(Table14[[#This Row],[Color Code]], 5, 2)))</f>
        <v>211 , 236 , 222</v>
      </c>
      <c r="D10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92.579695398073113</v>
      </c>
      <c r="E1088" t="str">
        <f>Table14[[#This Row],[Color Code]] &amp; " - " &amp;Table14[[#This Row],[Color Name]]</f>
        <v>D3ECDE - 7571</v>
      </c>
    </row>
    <row r="1089" spans="1:5" x14ac:dyDescent="0.35">
      <c r="A1089" s="17" t="s">
        <v>2461</v>
      </c>
      <c r="B1089" t="s">
        <v>4653</v>
      </c>
      <c r="C1089" s="9" t="str">
        <f>_xlfn.CONCAT(HEX2DEC(MID(Table14[[#This Row],[Color Code]], 1, 2))," , ",HEX2DEC(MID(Table14[[#This Row],[Color Code]], 3, 2))," , ",HEX2DEC(MID(Table14[[#This Row],[Color Code]], 5, 2)))</f>
        <v>236 , 229 , 216</v>
      </c>
      <c r="D10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92.590496272565687</v>
      </c>
      <c r="E1089" t="str">
        <f>Table14[[#This Row],[Color Code]] &amp; " - " &amp;Table14[[#This Row],[Color Name]]</f>
        <v>ECE5D8 - L160</v>
      </c>
    </row>
    <row r="1090" spans="1:5" x14ac:dyDescent="0.35">
      <c r="A1090" s="17" t="s">
        <v>2697</v>
      </c>
      <c r="B1090" t="s">
        <v>4905</v>
      </c>
      <c r="C1090" s="9" t="str">
        <f>_xlfn.CONCAT(HEX2DEC(MID(Table14[[#This Row],[Color Code]], 1, 2))," , ",HEX2DEC(MID(Table14[[#This Row],[Color Code]], 3, 2))," , ",HEX2DEC(MID(Table14[[#This Row],[Color Code]], 5, 2)))</f>
        <v>225 , 223 , 227</v>
      </c>
      <c r="D10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92.612094242598786</v>
      </c>
      <c r="E1090" t="str">
        <f>Table14[[#This Row],[Color Code]] &amp; " - " &amp;Table14[[#This Row],[Color Name]]</f>
        <v>E1DFE3 - 7204</v>
      </c>
    </row>
    <row r="1091" spans="1:5" x14ac:dyDescent="0.35">
      <c r="A1091" s="17" t="s">
        <v>2574</v>
      </c>
      <c r="B1091" t="s">
        <v>4768</v>
      </c>
      <c r="C1091" s="9" t="str">
        <f>_xlfn.CONCAT(HEX2DEC(MID(Table14[[#This Row],[Color Code]], 1, 2))," , ",HEX2DEC(MID(Table14[[#This Row],[Color Code]], 3, 2))," , ",HEX2DEC(MID(Table14[[#This Row],[Color Code]], 5, 2)))</f>
        <v>209 , 232 , 226</v>
      </c>
      <c r="D10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92.622891339020512</v>
      </c>
      <c r="E1091" t="str">
        <f>Table14[[#This Row],[Color Code]] &amp; " - " &amp;Table14[[#This Row],[Color Name]]</f>
        <v>D1E8E2 - 7460</v>
      </c>
    </row>
    <row r="1092" spans="1:5" x14ac:dyDescent="0.35">
      <c r="A1092" s="17" t="s">
        <v>3101</v>
      </c>
      <c r="B1092" t="s">
        <v>5353</v>
      </c>
      <c r="C1092" s="9" t="str">
        <f>_xlfn.CONCAT(HEX2DEC(MID(Table14[[#This Row],[Color Code]], 1, 2))," , ",HEX2DEC(MID(Table14[[#This Row],[Color Code]], 3, 2))," , ",HEX2DEC(MID(Table14[[#This Row],[Color Code]], 5, 2)))</f>
        <v>235 , 235 , 211</v>
      </c>
      <c r="D10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92.655275079188016</v>
      </c>
      <c r="E1092" t="str">
        <f>Table14[[#This Row],[Color Code]] &amp; " - " &amp;Table14[[#This Row],[Color Name]]</f>
        <v>EBEBD3 - 7732</v>
      </c>
    </row>
    <row r="1093" spans="1:5" x14ac:dyDescent="0.35">
      <c r="A1093" s="17" t="s">
        <v>2667</v>
      </c>
      <c r="B1093" t="s">
        <v>4874</v>
      </c>
      <c r="C1093" s="9" t="str">
        <f>_xlfn.CONCAT(HEX2DEC(MID(Table14[[#This Row],[Color Code]], 1, 2))," , ",HEX2DEC(MID(Table14[[#This Row],[Color Code]], 3, 2))," , ",HEX2DEC(MID(Table14[[#This Row],[Color Code]], 5, 2)))</f>
        <v>223 , 218 , 231</v>
      </c>
      <c r="D10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92.660671268883007</v>
      </c>
      <c r="E1093" t="str">
        <f>Table14[[#This Row],[Color Code]] &amp; " - " &amp;Table14[[#This Row],[Color Name]]</f>
        <v>DFDAE7 - 9628</v>
      </c>
    </row>
    <row r="1094" spans="1:5" x14ac:dyDescent="0.35">
      <c r="A1094" s="17" t="s">
        <v>3316</v>
      </c>
      <c r="B1094" t="s">
        <v>5575</v>
      </c>
      <c r="C1094" s="9" t="str">
        <f>_xlfn.CONCAT(HEX2DEC(MID(Table14[[#This Row],[Color Code]], 1, 2))," , ",HEX2DEC(MID(Table14[[#This Row],[Color Code]], 3, 2))," , ",HEX2DEC(MID(Table14[[#This Row],[Color Code]], 5, 2)))</f>
        <v>249 , 196 , 85</v>
      </c>
      <c r="D10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92.682252885868067</v>
      </c>
      <c r="E1094" t="str">
        <f>Table14[[#This Row],[Color Code]] &amp; " - " &amp;Table14[[#This Row],[Color Name]]</f>
        <v>F9C455 - 7894</v>
      </c>
    </row>
    <row r="1095" spans="1:5" x14ac:dyDescent="0.35">
      <c r="A1095" s="17" t="s">
        <v>2966</v>
      </c>
      <c r="B1095" t="s">
        <v>5205</v>
      </c>
      <c r="C1095" s="9" t="str">
        <f>_xlfn.CONCAT(HEX2DEC(MID(Table14[[#This Row],[Color Code]], 1, 2))," , ",HEX2DEC(MID(Table14[[#This Row],[Color Code]], 3, 2))," , ",HEX2DEC(MID(Table14[[#This Row],[Color Code]], 5, 2)))</f>
        <v>101 , 189 , 167</v>
      </c>
      <c r="D10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92.849340331528467</v>
      </c>
      <c r="E1095" t="str">
        <f>Table14[[#This Row],[Color Code]] &amp; " - " &amp;Table14[[#This Row],[Color Name]]</f>
        <v>65BDA7 - 7551</v>
      </c>
    </row>
    <row r="1096" spans="1:5" x14ac:dyDescent="0.35">
      <c r="A1096" s="17" t="s">
        <v>2558</v>
      </c>
      <c r="B1096" t="s">
        <v>4752</v>
      </c>
      <c r="C1096" s="9" t="str">
        <f>_xlfn.CONCAT(HEX2DEC(MID(Table14[[#This Row],[Color Code]], 1, 2))," , ",HEX2DEC(MID(Table14[[#This Row],[Color Code]], 3, 2))," , ",HEX2DEC(MID(Table14[[#This Row],[Color Code]], 5, 2)))</f>
        <v>220 , 234 , 221</v>
      </c>
      <c r="D10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92.849340331528467</v>
      </c>
      <c r="E1096" t="str">
        <f>Table14[[#This Row],[Color Code]] &amp; " - " &amp;Table14[[#This Row],[Color Name]]</f>
        <v>DCEADD - 7564</v>
      </c>
    </row>
    <row r="1097" spans="1:5" x14ac:dyDescent="0.35">
      <c r="A1097" s="17" t="s">
        <v>2746</v>
      </c>
      <c r="B1097" t="s">
        <v>4958</v>
      </c>
      <c r="C1097" s="9" t="str">
        <f>_xlfn.CONCAT(HEX2DEC(MID(Table14[[#This Row],[Color Code]], 1, 2))," , ",HEX2DEC(MID(Table14[[#This Row],[Color Code]], 3, 2))," , ",HEX2DEC(MID(Table14[[#This Row],[Color Code]], 5, 2)))</f>
        <v>115 , 155 , 203</v>
      </c>
      <c r="D10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92.913938674452936</v>
      </c>
      <c r="E1097" t="str">
        <f>Table14[[#This Row],[Color Code]] &amp; " - " &amp;Table14[[#This Row],[Color Name]]</f>
        <v>739BCB - 7247</v>
      </c>
    </row>
    <row r="1098" spans="1:5" x14ac:dyDescent="0.35">
      <c r="A1098" s="17" t="s">
        <v>2742</v>
      </c>
      <c r="B1098" t="s">
        <v>4954</v>
      </c>
      <c r="C1098" s="9" t="str">
        <f>_xlfn.CONCAT(HEX2DEC(MID(Table14[[#This Row],[Color Code]], 1, 2))," , ",HEX2DEC(MID(Table14[[#This Row],[Color Code]], 3, 2))," , ",HEX2DEC(MID(Table14[[#This Row],[Color Code]], 5, 2)))</f>
        <v>206 , 222 , 234</v>
      </c>
      <c r="D10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92.983869568866623</v>
      </c>
      <c r="E1098" t="str">
        <f>Table14[[#This Row],[Color Code]] &amp; " - " &amp;Table14[[#This Row],[Color Name]]</f>
        <v>CEDEEA - 9646</v>
      </c>
    </row>
    <row r="1099" spans="1:5" x14ac:dyDescent="0.35">
      <c r="A1099" s="17" t="s">
        <v>3446</v>
      </c>
      <c r="B1099" t="s">
        <v>5710</v>
      </c>
      <c r="C1099" s="9" t="str">
        <f>_xlfn.CONCAT(HEX2DEC(MID(Table14[[#This Row],[Color Code]], 1, 2))," , ",HEX2DEC(MID(Table14[[#This Row],[Color Code]], 3, 2))," , ",HEX2DEC(MID(Table14[[#This Row],[Color Code]], 5, 2)))</f>
        <v>254 , 227 , 201</v>
      </c>
      <c r="D10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93.080610225760765</v>
      </c>
      <c r="E1099" t="str">
        <f>Table14[[#This Row],[Color Code]] &amp; " - " &amp;Table14[[#This Row],[Color Name]]</f>
        <v>FEE3C9 - 7994</v>
      </c>
    </row>
    <row r="1100" spans="1:5" x14ac:dyDescent="0.35">
      <c r="A1100" s="17" t="s">
        <v>3646</v>
      </c>
      <c r="B1100" t="s">
        <v>5917</v>
      </c>
      <c r="C1100" s="9" t="str">
        <f>_xlfn.CONCAT(HEX2DEC(MID(Table14[[#This Row],[Color Code]], 1, 2))," , ",HEX2DEC(MID(Table14[[#This Row],[Color Code]], 3, 2))," , ",HEX2DEC(MID(Table14[[#This Row],[Color Code]], 5, 2)))</f>
        <v>239 , 218 , 223</v>
      </c>
      <c r="D11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93.177250442369242</v>
      </c>
      <c r="E1100" t="str">
        <f>Table14[[#This Row],[Color Code]] &amp; " - " &amp;Table14[[#This Row],[Color Name]]</f>
        <v>EFDADF - 8147</v>
      </c>
    </row>
    <row r="1101" spans="1:5" x14ac:dyDescent="0.35">
      <c r="A1101" s="17" t="s">
        <v>2795</v>
      </c>
      <c r="B1101" t="s">
        <v>5010</v>
      </c>
      <c r="C1101" s="9" t="str">
        <f>_xlfn.CONCAT(HEX2DEC(MID(Table14[[#This Row],[Color Code]], 1, 2))," , ",HEX2DEC(MID(Table14[[#This Row],[Color Code]], 3, 2))," , ",HEX2DEC(MID(Table14[[#This Row],[Color Code]], 5, 2)))</f>
        <v>130 , 197 , 221</v>
      </c>
      <c r="D11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93.187982057773951</v>
      </c>
      <c r="E1101" t="str">
        <f>Table14[[#This Row],[Color Code]] &amp; " - " &amp;Table14[[#This Row],[Color Name]]</f>
        <v>82C5DD - 7361</v>
      </c>
    </row>
    <row r="1102" spans="1:5" x14ac:dyDescent="0.35">
      <c r="A1102" s="17" t="s">
        <v>2438</v>
      </c>
      <c r="B1102" t="s">
        <v>4630</v>
      </c>
      <c r="C1102" s="9" t="str">
        <f>_xlfn.CONCAT(HEX2DEC(MID(Table14[[#This Row],[Color Code]], 1, 2))," , ",HEX2DEC(MID(Table14[[#This Row],[Color Code]], 3, 2))," , ",HEX2DEC(MID(Table14[[#This Row],[Color Code]], 5, 2)))</f>
        <v>240 , 231 , 212</v>
      </c>
      <c r="D11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93.214805690941603</v>
      </c>
      <c r="E1102" t="str">
        <f>Table14[[#This Row],[Color Code]] &amp; " - " &amp;Table14[[#This Row],[Color Name]]</f>
        <v>F0E7D4 - L132</v>
      </c>
    </row>
    <row r="1103" spans="1:5" x14ac:dyDescent="0.35">
      <c r="A1103" s="17" t="s">
        <v>2560</v>
      </c>
      <c r="B1103" t="s">
        <v>4754</v>
      </c>
      <c r="C1103" s="9" t="str">
        <f>_xlfn.CONCAT(HEX2DEC(MID(Table14[[#This Row],[Color Code]], 1, 2))," , ",HEX2DEC(MID(Table14[[#This Row],[Color Code]], 3, 2))," , ",HEX2DEC(MID(Table14[[#This Row],[Color Code]], 5, 2)))</f>
        <v>225 , 227 , 225</v>
      </c>
      <c r="D11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93.23625904121208</v>
      </c>
      <c r="E1103" t="str">
        <f>Table14[[#This Row],[Color Code]] &amp; " - " &amp;Table14[[#This Row],[Color Name]]</f>
        <v>E1E3E1 - 7236</v>
      </c>
    </row>
    <row r="1104" spans="1:5" x14ac:dyDescent="0.35">
      <c r="A1104" s="17" t="s">
        <v>3122</v>
      </c>
      <c r="B1104" t="s">
        <v>5377</v>
      </c>
      <c r="C1104" s="9" t="str">
        <f>_xlfn.CONCAT(HEX2DEC(MID(Table14[[#This Row],[Color Code]], 1, 2))," , ",HEX2DEC(MID(Table14[[#This Row],[Color Code]], 3, 2))," , ",HEX2DEC(MID(Table14[[#This Row],[Color Code]], 5, 2)))</f>
        <v>236 , 241 , 204</v>
      </c>
      <c r="D11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93.23625904121208</v>
      </c>
      <c r="E1104" t="str">
        <f>Table14[[#This Row],[Color Code]] &amp; " - " &amp;Table14[[#This Row],[Color Name]]</f>
        <v>ECF1CC - 9809</v>
      </c>
    </row>
    <row r="1105" spans="1:5" x14ac:dyDescent="0.35">
      <c r="A1105" s="17" t="s">
        <v>3765</v>
      </c>
      <c r="B1105" t="s">
        <v>6058</v>
      </c>
      <c r="C1105" s="9" t="str">
        <f>_xlfn.CONCAT(HEX2DEC(MID(Table14[[#This Row],[Color Code]], 1, 2))," , ",HEX2DEC(MID(Table14[[#This Row],[Color Code]], 3, 2))," , ",HEX2DEC(MID(Table14[[#This Row],[Color Code]], 5, 2)))</f>
        <v>111 , 132 , 138</v>
      </c>
      <c r="D11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93.268429814165955</v>
      </c>
      <c r="E1105" t="str">
        <f>Table14[[#This Row],[Color Code]] &amp; " - " &amp;Table14[[#This Row],[Color Name]]</f>
        <v>6F848A - 9471</v>
      </c>
    </row>
    <row r="1106" spans="1:5" x14ac:dyDescent="0.35">
      <c r="A1106" s="17" t="s">
        <v>2430</v>
      </c>
      <c r="B1106" t="s">
        <v>4622</v>
      </c>
      <c r="C1106" s="9" t="str">
        <f>_xlfn.CONCAT(HEX2DEC(MID(Table14[[#This Row],[Color Code]], 1, 2))," , ",HEX2DEC(MID(Table14[[#This Row],[Color Code]], 3, 2))," , ",HEX2DEC(MID(Table14[[#This Row],[Color Code]], 5, 2)))</f>
        <v>240 , 229 , 214</v>
      </c>
      <c r="D11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93.27915093953203</v>
      </c>
      <c r="E1106" t="str">
        <f>Table14[[#This Row],[Color Code]] &amp; " - " &amp;Table14[[#This Row],[Color Name]]</f>
        <v>F0E5D6 - 5184</v>
      </c>
    </row>
    <row r="1107" spans="1:5" x14ac:dyDescent="0.35">
      <c r="A1107" s="17" t="s">
        <v>4186</v>
      </c>
      <c r="B1107" t="s">
        <v>6541</v>
      </c>
      <c r="C1107" s="9" t="str">
        <f>_xlfn.CONCAT(HEX2DEC(MID(Table14[[#This Row],[Color Code]], 1, 2))," , ",HEX2DEC(MID(Table14[[#This Row],[Color Code]], 3, 2))," , ",HEX2DEC(MID(Table14[[#This Row],[Color Code]], 5, 2)))</f>
        <v>241 , 222 , 219</v>
      </c>
      <c r="D11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93.305948363435007</v>
      </c>
      <c r="E1107" t="str">
        <f>Table14[[#This Row],[Color Code]] &amp; " - " &amp;Table14[[#This Row],[Color Name]]</f>
        <v>F1DEDB - 8708</v>
      </c>
    </row>
    <row r="1108" spans="1:5" x14ac:dyDescent="0.35">
      <c r="A1108" s="17" t="s">
        <v>3450</v>
      </c>
      <c r="B1108" t="s">
        <v>5714</v>
      </c>
      <c r="C1108" s="9" t="str">
        <f>_xlfn.CONCAT(HEX2DEC(MID(Table14[[#This Row],[Color Code]], 1, 2))," , ",HEX2DEC(MID(Table14[[#This Row],[Color Code]], 3, 2))," , ",HEX2DEC(MID(Table14[[#This Row],[Color Code]], 5, 2)))</f>
        <v>248 , 142 , 88</v>
      </c>
      <c r="D11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93.348808240919709</v>
      </c>
      <c r="E1108" t="str">
        <f>Table14[[#This Row],[Color Code]] &amp; " - " &amp;Table14[[#This Row],[Color Name]]</f>
        <v>F88E58 - 7990</v>
      </c>
    </row>
    <row r="1109" spans="1:5" x14ac:dyDescent="0.35">
      <c r="A1109" s="17" t="s">
        <v>2623</v>
      </c>
      <c r="B1109" t="s">
        <v>4821</v>
      </c>
      <c r="C1109" s="9" t="str">
        <f>_xlfn.CONCAT(HEX2DEC(MID(Table14[[#This Row],[Color Code]], 1, 2))," , ",HEX2DEC(MID(Table14[[#This Row],[Color Code]], 3, 2))," , ",HEX2DEC(MID(Table14[[#This Row],[Color Code]], 5, 2)))</f>
        <v>149 , 93 , 143</v>
      </c>
      <c r="D11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93.364875622473789</v>
      </c>
      <c r="E1109" t="str">
        <f>Table14[[#This Row],[Color Code]] &amp; " - " &amp;Table14[[#This Row],[Color Name]]</f>
        <v>955D8F - 9597</v>
      </c>
    </row>
    <row r="1110" spans="1:5" x14ac:dyDescent="0.35">
      <c r="A1110" s="17" t="s">
        <v>3701</v>
      </c>
      <c r="B1110" t="s">
        <v>5986</v>
      </c>
      <c r="C1110" s="9" t="str">
        <f>_xlfn.CONCAT(HEX2DEC(MID(Table14[[#This Row],[Color Code]], 1, 2))," , ",HEX2DEC(MID(Table14[[#This Row],[Color Code]], 3, 2))," , ",HEX2DEC(MID(Table14[[#This Row],[Color Code]], 5, 2)))</f>
        <v>128 , 115 , 123</v>
      </c>
      <c r="D11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93.380940239430018</v>
      </c>
      <c r="E1110" t="str">
        <f>Table14[[#This Row],[Color Code]] &amp; " - " &amp;Table14[[#This Row],[Color Name]]</f>
        <v>80737B - 8206</v>
      </c>
    </row>
    <row r="1111" spans="1:5" x14ac:dyDescent="0.35">
      <c r="A1111" s="17" t="s">
        <v>2578</v>
      </c>
      <c r="B1111" t="s">
        <v>4772</v>
      </c>
      <c r="C1111" s="9" t="str">
        <f>_xlfn.CONCAT(HEX2DEC(MID(Table14[[#This Row],[Color Code]], 1, 2))," , ",HEX2DEC(MID(Table14[[#This Row],[Color Code]], 3, 2))," , ",HEX2DEC(MID(Table14[[#This Row],[Color Code]], 5, 2)))</f>
        <v>217 , 229 , 227</v>
      </c>
      <c r="D11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93.407708461347028</v>
      </c>
      <c r="E1111" t="str">
        <f>Table14[[#This Row],[Color Code]] &amp; " - " &amp;Table14[[#This Row],[Color Name]]</f>
        <v>D9E5E3 - 7372</v>
      </c>
    </row>
    <row r="1112" spans="1:5" x14ac:dyDescent="0.35">
      <c r="A1112" s="17" t="s">
        <v>2855</v>
      </c>
      <c r="B1112" t="s">
        <v>5073</v>
      </c>
      <c r="C1112" s="9" t="str">
        <f>_xlfn.CONCAT(HEX2DEC(MID(Table14[[#This Row],[Color Code]], 1, 2))," , ",HEX2DEC(MID(Table14[[#This Row],[Color Code]], 3, 2))," , ",HEX2DEC(MID(Table14[[#This Row],[Color Code]], 5, 2)))</f>
        <v>207 , 230 , 229</v>
      </c>
      <c r="D11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93.413061185253966</v>
      </c>
      <c r="E1112" t="str">
        <f>Table14[[#This Row],[Color Code]] &amp; " - " &amp;Table14[[#This Row],[Color Name]]</f>
        <v>CFE6E5 - 7436</v>
      </c>
    </row>
    <row r="1113" spans="1:5" x14ac:dyDescent="0.35">
      <c r="A1113" s="17" t="s">
        <v>2913</v>
      </c>
      <c r="B1113" t="s">
        <v>5140</v>
      </c>
      <c r="C1113" s="9" t="str">
        <f>_xlfn.CONCAT(HEX2DEC(MID(Table14[[#This Row],[Color Code]], 1, 2))," , ",HEX2DEC(MID(Table14[[#This Row],[Color Code]], 3, 2))," , ",HEX2DEC(MID(Table14[[#This Row],[Color Code]], 5, 2)))</f>
        <v>132 , 217 , 213</v>
      </c>
      <c r="D11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93.423765713013296</v>
      </c>
      <c r="E1113" t="str">
        <f>Table14[[#This Row],[Color Code]] &amp; " - " &amp;Table14[[#This Row],[Color Name]]</f>
        <v>84D9D5 - 7505</v>
      </c>
    </row>
    <row r="1114" spans="1:5" x14ac:dyDescent="0.35">
      <c r="A1114" s="17" t="s">
        <v>3879</v>
      </c>
      <c r="B1114" t="s">
        <v>6201</v>
      </c>
      <c r="C1114" s="9" t="str">
        <f>_xlfn.CONCAT(HEX2DEC(MID(Table14[[#This Row],[Color Code]], 1, 2))," , ",HEX2DEC(MID(Table14[[#This Row],[Color Code]], 3, 2))," , ",HEX2DEC(MID(Table14[[#This Row],[Color Code]], 5, 2)))</f>
        <v>123 , 128 , 113</v>
      </c>
      <c r="D11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93.455871939648603</v>
      </c>
      <c r="E1114" t="str">
        <f>Table14[[#This Row],[Color Code]] &amp; " - " &amp;Table14[[#This Row],[Color Name]]</f>
        <v>7B8071 - 8391</v>
      </c>
    </row>
    <row r="1115" spans="1:5" x14ac:dyDescent="0.35">
      <c r="A1115" s="17" t="s">
        <v>2565</v>
      </c>
      <c r="B1115" t="s">
        <v>4759</v>
      </c>
      <c r="C1115" s="9" t="str">
        <f>_xlfn.CONCAT(HEX2DEC(MID(Table14[[#This Row],[Color Code]], 1, 2))," , ",HEX2DEC(MID(Table14[[#This Row],[Color Code]], 3, 2))," , ",HEX2DEC(MID(Table14[[#This Row],[Color Code]], 5, 2)))</f>
        <v>219 , 232 , 224</v>
      </c>
      <c r="D11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93.482618705297298</v>
      </c>
      <c r="E1115" t="str">
        <f>Table14[[#This Row],[Color Code]] &amp; " - " &amp;Table14[[#This Row],[Color Name]]</f>
        <v>DBE8E0 - 7491</v>
      </c>
    </row>
    <row r="1116" spans="1:5" x14ac:dyDescent="0.35">
      <c r="A1116" s="17" t="s">
        <v>3167</v>
      </c>
      <c r="B1116" t="s">
        <v>5425</v>
      </c>
      <c r="C1116" s="9" t="str">
        <f>_xlfn.CONCAT(HEX2DEC(MID(Table14[[#This Row],[Color Code]], 1, 2))," , ",HEX2DEC(MID(Table14[[#This Row],[Color Code]], 3, 2))," , ",HEX2DEC(MID(Table14[[#This Row],[Color Code]], 5, 2)))</f>
        <v>239 , 236 , 208</v>
      </c>
      <c r="D11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93.482618705297298</v>
      </c>
      <c r="E1116" t="str">
        <f>Table14[[#This Row],[Color Code]] &amp; " - " &amp;Table14[[#This Row],[Color Name]]</f>
        <v>EFECD0 - 7772</v>
      </c>
    </row>
    <row r="1117" spans="1:5" x14ac:dyDescent="0.35">
      <c r="A1117" s="17" t="s">
        <v>3312</v>
      </c>
      <c r="B1117" t="s">
        <v>5571</v>
      </c>
      <c r="C1117" s="9" t="str">
        <f>_xlfn.CONCAT(HEX2DEC(MID(Table14[[#This Row],[Color Code]], 1, 2))," , ",HEX2DEC(MID(Table14[[#This Row],[Color Code]], 3, 2))," , ",HEX2DEC(MID(Table14[[#This Row],[Color Code]], 5, 2)))</f>
        <v>252 , 237 , 191</v>
      </c>
      <c r="D11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93.487967140161942</v>
      </c>
      <c r="E1117" t="str">
        <f>Table14[[#This Row],[Color Code]] &amp; " - " &amp;Table14[[#This Row],[Color Name]]</f>
        <v>FCEDBF - 7898</v>
      </c>
    </row>
    <row r="1118" spans="1:5" x14ac:dyDescent="0.35">
      <c r="A1118" s="17" t="s">
        <v>3709</v>
      </c>
      <c r="B1118" t="s">
        <v>5997</v>
      </c>
      <c r="C1118" s="9" t="str">
        <f>_xlfn.CONCAT(HEX2DEC(MID(Table14[[#This Row],[Color Code]], 1, 2))," , ",HEX2DEC(MID(Table14[[#This Row],[Color Code]], 3, 2))," , ",HEX2DEC(MID(Table14[[#This Row],[Color Code]], 5, 2)))</f>
        <v>233 , 227 , 221</v>
      </c>
      <c r="D11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93.493315269060815</v>
      </c>
      <c r="E1118" t="str">
        <f>Table14[[#This Row],[Color Code]] &amp; " - " &amp;Table14[[#This Row],[Color Name]]</f>
        <v>E9E3DD - 8220</v>
      </c>
    </row>
    <row r="1119" spans="1:5" x14ac:dyDescent="0.35">
      <c r="A1119" s="17" t="s">
        <v>3057</v>
      </c>
      <c r="B1119" t="s">
        <v>5305</v>
      </c>
      <c r="C1119" s="9" t="str">
        <f>_xlfn.CONCAT(HEX2DEC(MID(Table14[[#This Row],[Color Code]], 1, 2))," , ",HEX2DEC(MID(Table14[[#This Row],[Color Code]], 3, 2))," , ",HEX2DEC(MID(Table14[[#This Row],[Color Code]], 5, 2)))</f>
        <v>230 , 242 , 208</v>
      </c>
      <c r="D11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93.498663092046399</v>
      </c>
      <c r="E1119" t="str">
        <f>Table14[[#This Row],[Color Code]] &amp; " - " &amp;Table14[[#This Row],[Color Name]]</f>
        <v>E6F2D0 - 9786</v>
      </c>
    </row>
    <row r="1120" spans="1:5" x14ac:dyDescent="0.35">
      <c r="A1120" s="17" t="s">
        <v>2779</v>
      </c>
      <c r="B1120" t="s">
        <v>4993</v>
      </c>
      <c r="C1120" s="9" t="str">
        <f>_xlfn.CONCAT(HEX2DEC(MID(Table14[[#This Row],[Color Code]], 1, 2))," , ",HEX2DEC(MID(Table14[[#This Row],[Color Code]], 3, 2))," , ",HEX2DEC(MID(Table14[[#This Row],[Color Code]], 5, 2)))</f>
        <v>195 , 225 , 234</v>
      </c>
      <c r="D11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93.541434669348533</v>
      </c>
      <c r="E1120" t="str">
        <f>Table14[[#This Row],[Color Code]] &amp; " - " &amp;Table14[[#This Row],[Color Name]]</f>
        <v>C3E1EA - 9656</v>
      </c>
    </row>
    <row r="1121" spans="1:5" x14ac:dyDescent="0.35">
      <c r="A1121" s="17" t="s">
        <v>4075</v>
      </c>
      <c r="B1121" t="s">
        <v>6421</v>
      </c>
      <c r="C1121" s="9" t="str">
        <f>_xlfn.CONCAT(HEX2DEC(MID(Table14[[#This Row],[Color Code]], 1, 2))," , ",HEX2DEC(MID(Table14[[#This Row],[Color Code]], 3, 2))," , ",HEX2DEC(MID(Table14[[#This Row],[Color Code]], 5, 2)))</f>
        <v>243 , 229 , 212</v>
      </c>
      <c r="D11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93.626919205963404</v>
      </c>
      <c r="E1121" t="str">
        <f>Table14[[#This Row],[Color Code]] &amp; " - " &amp;Table14[[#This Row],[Color Name]]</f>
        <v>F3E5D4 - 8596</v>
      </c>
    </row>
    <row r="1122" spans="1:5" x14ac:dyDescent="0.35">
      <c r="A1122" s="17" t="s">
        <v>3294</v>
      </c>
      <c r="B1122" t="s">
        <v>5553</v>
      </c>
      <c r="C1122" s="9" t="str">
        <f>_xlfn.CONCAT(HEX2DEC(MID(Table14[[#This Row],[Color Code]], 1, 2))," , ",HEX2DEC(MID(Table14[[#This Row],[Color Code]], 3, 2))," , ",HEX2DEC(MID(Table14[[#This Row],[Color Code]], 5, 2)))</f>
        <v>243 , 232 , 209</v>
      </c>
      <c r="D11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93.626919205963404</v>
      </c>
      <c r="E1122" t="str">
        <f>Table14[[#This Row],[Color Code]] &amp; " - " &amp;Table14[[#This Row],[Color Name]]</f>
        <v>F3E8D1 - 7892</v>
      </c>
    </row>
    <row r="1123" spans="1:5" x14ac:dyDescent="0.35">
      <c r="A1123" s="17" t="s">
        <v>2552</v>
      </c>
      <c r="B1123" t="s">
        <v>4746</v>
      </c>
      <c r="C1123" s="9" t="str">
        <f>_xlfn.CONCAT(HEX2DEC(MID(Table14[[#This Row],[Color Code]], 1, 2))," , ",HEX2DEC(MID(Table14[[#This Row],[Color Code]], 3, 2))," , ",HEX2DEC(MID(Table14[[#This Row],[Color Code]], 5, 2)))</f>
        <v>223 , 229 , 225</v>
      </c>
      <c r="D11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93.685644578024863</v>
      </c>
      <c r="E1123" t="str">
        <f>Table14[[#This Row],[Color Code]] &amp; " - " &amp;Table14[[#This Row],[Color Name]]</f>
        <v>DFE5E1 - 8276</v>
      </c>
    </row>
    <row r="1124" spans="1:5" x14ac:dyDescent="0.35">
      <c r="A1124" s="17" t="s">
        <v>3146</v>
      </c>
      <c r="B1124" t="s">
        <v>5402</v>
      </c>
      <c r="C1124" s="9" t="str">
        <f>_xlfn.CONCAT(HEX2DEC(MID(Table14[[#This Row],[Color Code]], 1, 2))," , ",HEX2DEC(MID(Table14[[#This Row],[Color Code]], 3, 2))," , ",HEX2DEC(MID(Table14[[#This Row],[Color Code]], 5, 2)))</f>
        <v>239 , 238 , 206</v>
      </c>
      <c r="D11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93.696317963941354</v>
      </c>
      <c r="E1124" t="str">
        <f>Table14[[#This Row],[Color Code]] &amp; " - " &amp;Table14[[#This Row],[Color Name]]</f>
        <v>EFEECE - 7747</v>
      </c>
    </row>
    <row r="1125" spans="1:5" x14ac:dyDescent="0.35">
      <c r="A1125" s="17" t="s">
        <v>3686</v>
      </c>
      <c r="B1125" t="s">
        <v>5962</v>
      </c>
      <c r="C1125" s="9" t="str">
        <f>_xlfn.CONCAT(HEX2DEC(MID(Table14[[#This Row],[Color Code]], 1, 2))," , ",HEX2DEC(MID(Table14[[#This Row],[Color Code]], 3, 2))," , ",HEX2DEC(MID(Table14[[#This Row],[Color Code]], 5, 2)))</f>
        <v>128 , 113 , 126</v>
      </c>
      <c r="D11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93.706990134141009</v>
      </c>
      <c r="E1125" t="str">
        <f>Table14[[#This Row],[Color Code]] &amp; " - " &amp;Table14[[#This Row],[Color Name]]</f>
        <v>80717E - K058</v>
      </c>
    </row>
    <row r="1126" spans="1:5" x14ac:dyDescent="0.35">
      <c r="A1126" s="17" t="s">
        <v>3371</v>
      </c>
      <c r="B1126" t="s">
        <v>5630</v>
      </c>
      <c r="C1126" s="9" t="str">
        <f>_xlfn.CONCAT(HEX2DEC(MID(Table14[[#This Row],[Color Code]], 1, 2))," , ",HEX2DEC(MID(Table14[[#This Row],[Color Code]], 3, 2))," , ",HEX2DEC(MID(Table14[[#This Row],[Color Code]], 5, 2)))</f>
        <v>251 , 233 , 199</v>
      </c>
      <c r="D11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93.706990134141009</v>
      </c>
      <c r="E1126" t="str">
        <f>Table14[[#This Row],[Color Code]] &amp; " - " &amp;Table14[[#This Row],[Color Name]]</f>
        <v>FBE9C7 - 7955</v>
      </c>
    </row>
    <row r="1127" spans="1:5" x14ac:dyDescent="0.35">
      <c r="A1127" s="17" t="s">
        <v>2462</v>
      </c>
      <c r="B1127" t="s">
        <v>4654</v>
      </c>
      <c r="C1127" s="9" t="str">
        <f>_xlfn.CONCAT(HEX2DEC(MID(Table14[[#This Row],[Color Code]], 1, 2))," , ",HEX2DEC(MID(Table14[[#This Row],[Color Code]], 3, 2))," , ",HEX2DEC(MID(Table14[[#This Row],[Color Code]], 5, 2)))</f>
        <v>241 , 231 , 212</v>
      </c>
      <c r="D11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93.733665243603909</v>
      </c>
      <c r="E1127" t="str">
        <f>Table14[[#This Row],[Color Code]] &amp; " - " &amp;Table14[[#This Row],[Color Name]]</f>
        <v>F1E7D4 - L133</v>
      </c>
    </row>
    <row r="1128" spans="1:5" x14ac:dyDescent="0.35">
      <c r="A1128" s="17" t="s">
        <v>3240</v>
      </c>
      <c r="B1128" t="s">
        <v>5498</v>
      </c>
      <c r="C1128" s="9" t="str">
        <f>_xlfn.CONCAT(HEX2DEC(MID(Table14[[#This Row],[Color Code]], 1, 2))," , ",HEX2DEC(MID(Table14[[#This Row],[Color Code]], 3, 2))," , ",HEX2DEC(MID(Table14[[#This Row],[Color Code]], 5, 2)))</f>
        <v>243 , 234 , 207</v>
      </c>
      <c r="D11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93.733665243603909</v>
      </c>
      <c r="E1128" t="str">
        <f>Table14[[#This Row],[Color Code]] &amp; " - " &amp;Table14[[#This Row],[Color Name]]</f>
        <v>F3EACF - 7843</v>
      </c>
    </row>
    <row r="1129" spans="1:5" x14ac:dyDescent="0.35">
      <c r="A1129" s="17" t="s">
        <v>2924</v>
      </c>
      <c r="B1129" t="s">
        <v>5153</v>
      </c>
      <c r="C1129" s="9" t="str">
        <f>_xlfn.CONCAT(HEX2DEC(MID(Table14[[#This Row],[Color Code]], 1, 2))," , ",HEX2DEC(MID(Table14[[#This Row],[Color Code]], 3, 2))," , ",HEX2DEC(MID(Table14[[#This Row],[Color Code]], 5, 2)))</f>
        <v>209 , 235 , 225</v>
      </c>
      <c r="D11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93.749666666074077</v>
      </c>
      <c r="E1129" t="str">
        <f>Table14[[#This Row],[Color Code]] &amp; " - " &amp;Table14[[#This Row],[Color Name]]</f>
        <v>D1EBE1 - 7516</v>
      </c>
    </row>
    <row r="1130" spans="1:5" x14ac:dyDescent="0.35">
      <c r="A1130" s="17" t="s">
        <v>3653</v>
      </c>
      <c r="B1130" t="s">
        <v>5925</v>
      </c>
      <c r="C1130" s="9" t="str">
        <f>_xlfn.CONCAT(HEX2DEC(MID(Table14[[#This Row],[Color Code]], 1, 2))," , ",HEX2DEC(MID(Table14[[#This Row],[Color Code]], 3, 2))," , ",HEX2DEC(MID(Table14[[#This Row],[Color Code]], 5, 2)))</f>
        <v>236 , 216 , 227</v>
      </c>
      <c r="D11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93.813645062965122</v>
      </c>
      <c r="E1130" t="str">
        <f>Table14[[#This Row],[Color Code]] &amp; " - " &amp;Table14[[#This Row],[Color Name]]</f>
        <v>ECD8E3 - 8171</v>
      </c>
    </row>
    <row r="1131" spans="1:5" x14ac:dyDescent="0.35">
      <c r="A1131" s="17" t="s">
        <v>2579</v>
      </c>
      <c r="B1131" t="s">
        <v>4773</v>
      </c>
      <c r="C1131" s="9" t="str">
        <f>_xlfn.CONCAT(HEX2DEC(MID(Table14[[#This Row],[Color Code]], 1, 2))," , ",HEX2DEC(MID(Table14[[#This Row],[Color Code]], 3, 2))," , ",HEX2DEC(MID(Table14[[#This Row],[Color Code]], 5, 2)))</f>
        <v>212 , 228 , 230</v>
      </c>
      <c r="D11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93.989361100073452</v>
      </c>
      <c r="E1131" t="str">
        <f>Table14[[#This Row],[Color Code]] &amp; " - " &amp;Table14[[#This Row],[Color Name]]</f>
        <v>D4E4E6 - 7347</v>
      </c>
    </row>
    <row r="1132" spans="1:5" x14ac:dyDescent="0.35">
      <c r="A1132" s="17" t="s">
        <v>2703</v>
      </c>
      <c r="B1132" t="s">
        <v>4911</v>
      </c>
      <c r="C1132" s="9" t="str">
        <f>_xlfn.CONCAT(HEX2DEC(MID(Table14[[#This Row],[Color Code]], 1, 2))," , ",HEX2DEC(MID(Table14[[#This Row],[Color Code]], 3, 2))," , ",HEX2DEC(MID(Table14[[#This Row],[Color Code]], 5, 2)))</f>
        <v>115 , 121 , 159</v>
      </c>
      <c r="D11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94.132884795909661</v>
      </c>
      <c r="E1132" t="str">
        <f>Table14[[#This Row],[Color Code]] &amp; " - " &amp;Table14[[#This Row],[Color Name]]</f>
        <v>73799F - 7198</v>
      </c>
    </row>
    <row r="1133" spans="1:5" x14ac:dyDescent="0.35">
      <c r="A1133" s="17" t="s">
        <v>3536</v>
      </c>
      <c r="B1133" t="s">
        <v>5805</v>
      </c>
      <c r="C1133" s="9" t="str">
        <f>_xlfn.CONCAT(HEX2DEC(MID(Table14[[#This Row],[Color Code]], 1, 2))," , ",HEX2DEC(MID(Table14[[#This Row],[Color Code]], 3, 2))," , ",HEX2DEC(MID(Table14[[#This Row],[Color Code]], 5, 2)))</f>
        <v>247 , 221 , 216</v>
      </c>
      <c r="D11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94.138196286098449</v>
      </c>
      <c r="E1133" t="str">
        <f>Table14[[#This Row],[Color Code]] &amp; " - " &amp;Table14[[#This Row],[Color Name]]</f>
        <v>F7DDD8 - 8059</v>
      </c>
    </row>
    <row r="1134" spans="1:5" x14ac:dyDescent="0.35">
      <c r="A1134" s="17" t="s">
        <v>3269</v>
      </c>
      <c r="B1134" t="s">
        <v>5528</v>
      </c>
      <c r="C1134" s="9" t="str">
        <f>_xlfn.CONCAT(HEX2DEC(MID(Table14[[#This Row],[Color Code]], 1, 2))," , ",HEX2DEC(MID(Table14[[#This Row],[Color Code]], 3, 2))," , ",HEX2DEC(MID(Table14[[#This Row],[Color Code]], 5, 2)))</f>
        <v>190 , 160 , 62</v>
      </c>
      <c r="D11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94.223139408533825</v>
      </c>
      <c r="E1134" t="str">
        <f>Table14[[#This Row],[Color Code]] &amp; " - " &amp;Table14[[#This Row],[Color Name]]</f>
        <v>BEA03E - 7853</v>
      </c>
    </row>
    <row r="1135" spans="1:5" x14ac:dyDescent="0.35">
      <c r="A1135" s="17" t="s">
        <v>3356</v>
      </c>
      <c r="B1135" t="s">
        <v>5615</v>
      </c>
      <c r="C1135" s="9" t="str">
        <f>_xlfn.CONCAT(HEX2DEC(MID(Table14[[#This Row],[Color Code]], 1, 2))," , ",HEX2DEC(MID(Table14[[#This Row],[Color Code]], 3, 2))," , ",HEX2DEC(MID(Table14[[#This Row],[Color Code]], 5, 2)))</f>
        <v>202 , 140 , 68</v>
      </c>
      <c r="D11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94.30800602281866</v>
      </c>
      <c r="E1135" t="str">
        <f>Table14[[#This Row],[Color Code]] &amp; " - " &amp;Table14[[#This Row],[Color Name]]</f>
        <v>CA8C44 - 7933</v>
      </c>
    </row>
    <row r="1136" spans="1:5" x14ac:dyDescent="0.35">
      <c r="A1136" s="17" t="s">
        <v>4223</v>
      </c>
      <c r="B1136" t="s">
        <v>6584</v>
      </c>
      <c r="C1136" s="9" t="str">
        <f>_xlfn.CONCAT(HEX2DEC(MID(Table14[[#This Row],[Color Code]], 1, 2))," , ",HEX2DEC(MID(Table14[[#This Row],[Color Code]], 3, 2))," , ",HEX2DEC(MID(Table14[[#This Row],[Color Code]], 5, 2)))</f>
        <v>133 , 116 , 111</v>
      </c>
      <c r="D11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94.329210746194633</v>
      </c>
      <c r="E1136" t="str">
        <f>Table14[[#This Row],[Color Code]] &amp; " - " &amp;Table14[[#This Row],[Color Name]]</f>
        <v>85746F - K277</v>
      </c>
    </row>
    <row r="1137" spans="1:5" x14ac:dyDescent="0.35">
      <c r="A1137" s="17" t="s">
        <v>3576</v>
      </c>
      <c r="B1137" t="s">
        <v>5845</v>
      </c>
      <c r="C1137" s="9" t="str">
        <f>_xlfn.CONCAT(HEX2DEC(MID(Table14[[#This Row],[Color Code]], 1, 2))," , ",HEX2DEC(MID(Table14[[#This Row],[Color Code]], 3, 2))," , ",HEX2DEC(MID(Table14[[#This Row],[Color Code]], 5, 2)))</f>
        <v>250 , 213 , 219</v>
      </c>
      <c r="D11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94.361008896683586</v>
      </c>
      <c r="E1137" t="str">
        <f>Table14[[#This Row],[Color Code]] &amp; " - " &amp;Table14[[#This Row],[Color Name]]</f>
        <v>FAD5DB - 8098</v>
      </c>
    </row>
    <row r="1138" spans="1:5" x14ac:dyDescent="0.35">
      <c r="A1138" s="17" t="s">
        <v>2415</v>
      </c>
      <c r="B1138" t="s">
        <v>4607</v>
      </c>
      <c r="C1138" s="9" t="str">
        <f>_xlfn.CONCAT(HEX2DEC(MID(Table14[[#This Row],[Color Code]], 1, 2))," , ",HEX2DEC(MID(Table14[[#This Row],[Color Code]], 3, 2))," , ",HEX2DEC(MID(Table14[[#This Row],[Color Code]], 5, 2)))</f>
        <v>243 , 227 , 215</v>
      </c>
      <c r="D11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94.36630754670864</v>
      </c>
      <c r="E1138" t="str">
        <f>Table14[[#This Row],[Color Code]] &amp; " - " &amp;Table14[[#This Row],[Color Name]]</f>
        <v>F3E3D7 - 8620</v>
      </c>
    </row>
    <row r="1139" spans="1:5" x14ac:dyDescent="0.35">
      <c r="A1139" s="17" t="s">
        <v>2583</v>
      </c>
      <c r="B1139" t="s">
        <v>4777</v>
      </c>
      <c r="C1139" s="9" t="str">
        <f>_xlfn.CONCAT(HEX2DEC(MID(Table14[[#This Row],[Color Code]], 1, 2))," , ",HEX2DEC(MID(Table14[[#This Row],[Color Code]], 3, 2))," , ",HEX2DEC(MID(Table14[[#This Row],[Color Code]], 5, 2)))</f>
        <v>230 , 227 , 224</v>
      </c>
      <c r="D11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94.387499172295051</v>
      </c>
      <c r="E1139" t="str">
        <f>Table14[[#This Row],[Color Code]] &amp; " - " &amp;Table14[[#This Row],[Color Name]]</f>
        <v>E6E3E0 - 7188</v>
      </c>
    </row>
    <row r="1140" spans="1:5" x14ac:dyDescent="0.35">
      <c r="A1140" s="17" t="s">
        <v>2540</v>
      </c>
      <c r="B1140" t="s">
        <v>4734</v>
      </c>
      <c r="C1140" s="9" t="str">
        <f>_xlfn.CONCAT(HEX2DEC(MID(Table14[[#This Row],[Color Code]], 1, 2))," , ",HEX2DEC(MID(Table14[[#This Row],[Color Code]], 3, 2))," , ",HEX2DEC(MID(Table14[[#This Row],[Color Code]], 5, 2)))</f>
        <v>224 , 231 , 224</v>
      </c>
      <c r="D11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94.451045520946991</v>
      </c>
      <c r="E1140" t="str">
        <f>Table14[[#This Row],[Color Code]] &amp; " - " &amp;Table14[[#This Row],[Color Name]]</f>
        <v>E0E7E0 - 1205</v>
      </c>
    </row>
    <row r="1141" spans="1:5" x14ac:dyDescent="0.35">
      <c r="A1141" s="17" t="s">
        <v>3093</v>
      </c>
      <c r="B1141" t="s">
        <v>5345</v>
      </c>
      <c r="C1141" s="9" t="str">
        <f>_xlfn.CONCAT(HEX2DEC(MID(Table14[[#This Row],[Color Code]], 1, 2))," , ",HEX2DEC(MID(Table14[[#This Row],[Color Code]], 3, 2))," , ",HEX2DEC(MID(Table14[[#This Row],[Color Code]], 5, 2)))</f>
        <v>235 , 235 , 214</v>
      </c>
      <c r="D11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94.498677239419607</v>
      </c>
      <c r="E1141" t="str">
        <f>Table14[[#This Row],[Color Code]] &amp; " - " &amp;Table14[[#This Row],[Color Name]]</f>
        <v>EBEBD6 - 7724</v>
      </c>
    </row>
    <row r="1142" spans="1:5" x14ac:dyDescent="0.35">
      <c r="A1142" s="17" t="s">
        <v>2534</v>
      </c>
      <c r="B1142" t="s">
        <v>4728</v>
      </c>
      <c r="C1142" s="9" t="str">
        <f>_xlfn.CONCAT(HEX2DEC(MID(Table14[[#This Row],[Color Code]], 1, 2))," , ",HEX2DEC(MID(Table14[[#This Row],[Color Code]], 3, 2))," , ",HEX2DEC(MID(Table14[[#This Row],[Color Code]], 5, 2)))</f>
        <v>227 , 234 , 220</v>
      </c>
      <c r="D11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94.503968170654076</v>
      </c>
      <c r="E1142" t="str">
        <f>Table14[[#This Row],[Color Code]] &amp; " - " &amp;Table14[[#This Row],[Color Name]]</f>
        <v>E3EADC - 0947</v>
      </c>
    </row>
    <row r="1143" spans="1:5" x14ac:dyDescent="0.35">
      <c r="A1143" s="17" t="s">
        <v>3717</v>
      </c>
      <c r="B1143" t="s">
        <v>6005</v>
      </c>
      <c r="C1143" s="9" t="str">
        <f>_xlfn.CONCAT(HEX2DEC(MID(Table14[[#This Row],[Color Code]], 1, 2))," , ",HEX2DEC(MID(Table14[[#This Row],[Color Code]], 3, 2))," , ",HEX2DEC(MID(Table14[[#This Row],[Color Code]], 5, 2)))</f>
        <v>231 , 228 , 223</v>
      </c>
      <c r="D11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94.62557793746889</v>
      </c>
      <c r="E1143" t="str">
        <f>Table14[[#This Row],[Color Code]] &amp; " - " &amp;Table14[[#This Row],[Color Name]]</f>
        <v>E7E4DF - 8236</v>
      </c>
    </row>
    <row r="1144" spans="1:5" x14ac:dyDescent="0.35">
      <c r="A1144" s="17" t="s">
        <v>3293</v>
      </c>
      <c r="B1144" t="s">
        <v>5552</v>
      </c>
      <c r="C1144" s="9" t="str">
        <f>_xlfn.CONCAT(HEX2DEC(MID(Table14[[#This Row],[Color Code]], 1, 2))," , ",HEX2DEC(MID(Table14[[#This Row],[Color Code]], 3, 2))," , ",HEX2DEC(MID(Table14[[#This Row],[Color Code]], 5, 2)))</f>
        <v>190 , 149 , 64</v>
      </c>
      <c r="D11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94.66255859631093</v>
      </c>
      <c r="E1144" t="str">
        <f>Table14[[#This Row],[Color Code]] &amp; " - " &amp;Table14[[#This Row],[Color Name]]</f>
        <v>BE9540 - 7877</v>
      </c>
    </row>
    <row r="1145" spans="1:5" x14ac:dyDescent="0.35">
      <c r="A1145" s="17" t="s">
        <v>3334</v>
      </c>
      <c r="B1145" t="s">
        <v>5593</v>
      </c>
      <c r="C1145" s="9" t="str">
        <f>_xlfn.CONCAT(HEX2DEC(MID(Table14[[#This Row],[Color Code]], 1, 2))," , ",HEX2DEC(MID(Table14[[#This Row],[Color Code]], 3, 2))," , ",HEX2DEC(MID(Table14[[#This Row],[Color Code]], 5, 2)))</f>
        <v>250 , 234 , 201</v>
      </c>
      <c r="D11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94.66255859631093</v>
      </c>
      <c r="E1145" t="str">
        <f>Table14[[#This Row],[Color Code]] &amp; " - " &amp;Table14[[#This Row],[Color Name]]</f>
        <v>FAEAC9 - 7923</v>
      </c>
    </row>
    <row r="1146" spans="1:5" x14ac:dyDescent="0.35">
      <c r="A1146" s="17" t="s">
        <v>4045</v>
      </c>
      <c r="B1146" t="s">
        <v>6387</v>
      </c>
      <c r="C1146" s="9" t="str">
        <f>_xlfn.CONCAT(HEX2DEC(MID(Table14[[#This Row],[Color Code]], 1, 2))," , ",HEX2DEC(MID(Table14[[#This Row],[Color Code]], 3, 2))," , ",HEX2DEC(MID(Table14[[#This Row],[Color Code]], 5, 2)))</f>
        <v>153 , 116 , 92</v>
      </c>
      <c r="D11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94.715363062176976</v>
      </c>
      <c r="E1146" t="str">
        <f>Table14[[#This Row],[Color Code]] &amp; " - " &amp;Table14[[#This Row],[Color Name]]</f>
        <v>99745C - 8574</v>
      </c>
    </row>
    <row r="1147" spans="1:5" x14ac:dyDescent="0.35">
      <c r="A1147" s="17" t="s">
        <v>2416</v>
      </c>
      <c r="B1147" t="s">
        <v>4608</v>
      </c>
      <c r="C1147" s="9" t="str">
        <f>_xlfn.CONCAT(HEX2DEC(MID(Table14[[#This Row],[Color Code]], 1, 2))," , ",HEX2DEC(MID(Table14[[#This Row],[Color Code]], 3, 2))," , ",HEX2DEC(MID(Table14[[#This Row],[Color Code]], 5, 2)))</f>
        <v>249 , 228 , 209</v>
      </c>
      <c r="D11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94.731198662320324</v>
      </c>
      <c r="E1147" t="str">
        <f>Table14[[#This Row],[Color Code]] &amp; " - " &amp;Table14[[#This Row],[Color Name]]</f>
        <v>F9E4D1 - 8012</v>
      </c>
    </row>
    <row r="1148" spans="1:5" x14ac:dyDescent="0.35">
      <c r="A1148" s="17" t="s">
        <v>3689</v>
      </c>
      <c r="B1148" t="s">
        <v>5967</v>
      </c>
      <c r="C1148" s="9" t="str">
        <f>_xlfn.CONCAT(HEX2DEC(MID(Table14[[#This Row],[Color Code]], 1, 2))," , ",HEX2DEC(MID(Table14[[#This Row],[Color Code]], 3, 2))," , ",HEX2DEC(MID(Table14[[#This Row],[Color Code]], 5, 2)))</f>
        <v>136 , 106 , 122</v>
      </c>
      <c r="D11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94.794514609232536</v>
      </c>
      <c r="E1148" t="str">
        <f>Table14[[#This Row],[Color Code]] &amp; " - " &amp;Table14[[#This Row],[Color Name]]</f>
        <v>886A7A - K062</v>
      </c>
    </row>
    <row r="1149" spans="1:5" x14ac:dyDescent="0.35">
      <c r="A1149" s="17" t="s">
        <v>4524</v>
      </c>
      <c r="B1149" t="s">
        <v>6169</v>
      </c>
      <c r="C1149" s="9" t="str">
        <f>_xlfn.CONCAT(HEX2DEC(MID(Table14[[#This Row],[Color Code]], 1, 2))," , ",HEX2DEC(MID(Table14[[#This Row],[Color Code]], 3, 2))," , ",HEX2DEC(MID(Table14[[#This Row],[Color Code]], 5, 2)))</f>
        <v>120 , 128 , 115</v>
      </c>
      <c r="D11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94.831429389206193</v>
      </c>
      <c r="E1149" t="str">
        <f>Table14[[#This Row],[Color Code]] &amp; " - " &amp;Table14[[#This Row],[Color Name]]</f>
        <v>788073 - K145</v>
      </c>
    </row>
    <row r="1150" spans="1:5" x14ac:dyDescent="0.35">
      <c r="A1150" s="17" t="s">
        <v>3568</v>
      </c>
      <c r="B1150" t="s">
        <v>5837</v>
      </c>
      <c r="C1150" s="9" t="str">
        <f>_xlfn.CONCAT(HEX2DEC(MID(Table14[[#This Row],[Color Code]], 1, 2))," , ",HEX2DEC(MID(Table14[[#This Row],[Color Code]], 3, 2))," , ",HEX2DEC(MID(Table14[[#This Row],[Color Code]], 5, 2)))</f>
        <v>248 , 217 , 219</v>
      </c>
      <c r="D11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94.847245611035007</v>
      </c>
      <c r="E1150" t="str">
        <f>Table14[[#This Row],[Color Code]] &amp; " - " &amp;Table14[[#This Row],[Color Name]]</f>
        <v>F8D9DB - 8091</v>
      </c>
    </row>
    <row r="1151" spans="1:5" x14ac:dyDescent="0.35">
      <c r="A1151" s="17" t="s">
        <v>2569</v>
      </c>
      <c r="B1151" t="s">
        <v>4763</v>
      </c>
      <c r="C1151" s="9" t="str">
        <f>_xlfn.CONCAT(HEX2DEC(MID(Table14[[#This Row],[Color Code]], 1, 2))," , ",HEX2DEC(MID(Table14[[#This Row],[Color Code]], 3, 2))," , ",HEX2DEC(MID(Table14[[#This Row],[Color Code]], 5, 2)))</f>
        <v>222 , 229 , 227</v>
      </c>
      <c r="D11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94.868329805051374</v>
      </c>
      <c r="E1151" t="str">
        <f>Table14[[#This Row],[Color Code]] &amp; " - " &amp;Table14[[#This Row],[Color Name]]</f>
        <v>DEE5E3 - 7308</v>
      </c>
    </row>
    <row r="1152" spans="1:5" x14ac:dyDescent="0.35">
      <c r="A1152" s="17" t="s">
        <v>3319</v>
      </c>
      <c r="B1152" t="s">
        <v>5578</v>
      </c>
      <c r="C1152" s="9" t="str">
        <f>_xlfn.CONCAT(HEX2DEC(MID(Table14[[#This Row],[Color Code]], 1, 2))," , ",HEX2DEC(MID(Table14[[#This Row],[Color Code]], 3, 2))," , ",HEX2DEC(MID(Table14[[#This Row],[Color Code]], 5, 2)))</f>
        <v>246 , 235 , 205</v>
      </c>
      <c r="D11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94.952619763753759</v>
      </c>
      <c r="E1152" t="str">
        <f>Table14[[#This Row],[Color Code]] &amp; " - " &amp;Table14[[#This Row],[Color Name]]</f>
        <v>F6EBCD - 7907</v>
      </c>
    </row>
    <row r="1153" spans="1:5" x14ac:dyDescent="0.35">
      <c r="A1153" s="17" t="s">
        <v>2561</v>
      </c>
      <c r="B1153" t="s">
        <v>4755</v>
      </c>
      <c r="C1153" s="9" t="str">
        <f>_xlfn.CONCAT(HEX2DEC(MID(Table14[[#This Row],[Color Code]], 1, 2))," , ",HEX2DEC(MID(Table14[[#This Row],[Color Code]], 3, 2))," , ",HEX2DEC(MID(Table14[[#This Row],[Color Code]], 5, 2)))</f>
        <v>224 , 228 , 227</v>
      </c>
      <c r="D11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94.957885401898039</v>
      </c>
      <c r="E1153" t="str">
        <f>Table14[[#This Row],[Color Code]] &amp; " - " &amp;Table14[[#This Row],[Color Name]]</f>
        <v>E0E4E3 - 7276</v>
      </c>
    </row>
    <row r="1154" spans="1:5" x14ac:dyDescent="0.35">
      <c r="A1154" s="17" t="s">
        <v>2862</v>
      </c>
      <c r="B1154" t="s">
        <v>5081</v>
      </c>
      <c r="C1154" s="9" t="str">
        <f>_xlfn.CONCAT(HEX2DEC(MID(Table14[[#This Row],[Color Code]], 1, 2))," , ",HEX2DEC(MID(Table14[[#This Row],[Color Code]], 3, 2))," , ",HEX2DEC(MID(Table14[[#This Row],[Color Code]], 5, 2)))</f>
        <v>192 , 232 , 231</v>
      </c>
      <c r="D11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</v>
      </c>
      <c r="E1154" t="str">
        <f>Table14[[#This Row],[Color Code]] &amp; " - " &amp;Table14[[#This Row],[Color Name]]</f>
        <v>C0E8E7 - 9688</v>
      </c>
    </row>
    <row r="1155" spans="1:5" x14ac:dyDescent="0.35">
      <c r="A1155" s="17" t="s">
        <v>3272</v>
      </c>
      <c r="B1155" t="s">
        <v>5531</v>
      </c>
      <c r="C1155" s="9" t="str">
        <f>_xlfn.CONCAT(HEX2DEC(MID(Table14[[#This Row],[Color Code]], 1, 2))," , ",HEX2DEC(MID(Table14[[#This Row],[Color Code]], 3, 2))," , ",HEX2DEC(MID(Table14[[#This Row],[Color Code]], 5, 2)))</f>
        <v>249 , 239 , 196</v>
      </c>
      <c r="D11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95.005263012108969</v>
      </c>
      <c r="E1155" t="str">
        <f>Table14[[#This Row],[Color Code]] &amp; " - " &amp;Table14[[#This Row],[Color Name]]</f>
        <v>F9EFC4 - 7866</v>
      </c>
    </row>
    <row r="1156" spans="1:5" x14ac:dyDescent="0.35">
      <c r="A1156" s="17" t="s">
        <v>2557</v>
      </c>
      <c r="B1156" t="s">
        <v>4751</v>
      </c>
      <c r="C1156" s="9" t="str">
        <f>_xlfn.CONCAT(HEX2DEC(MID(Table14[[#This Row],[Color Code]], 1, 2))," , ",HEX2DEC(MID(Table14[[#This Row],[Color Code]], 3, 2))," , ",HEX2DEC(MID(Table14[[#This Row],[Color Code]], 5, 2)))</f>
        <v>221 , 236 , 222</v>
      </c>
      <c r="D11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95.136743690332395</v>
      </c>
      <c r="E1156" t="str">
        <f>Table14[[#This Row],[Color Code]] &amp; " - " &amp;Table14[[#This Row],[Color Name]]</f>
        <v>DDECDE - 7588</v>
      </c>
    </row>
    <row r="1157" spans="1:5" x14ac:dyDescent="0.35">
      <c r="A1157" s="17" t="s">
        <v>3358</v>
      </c>
      <c r="B1157" t="s">
        <v>5617</v>
      </c>
      <c r="C1157" s="9" t="str">
        <f>_xlfn.CONCAT(HEX2DEC(MID(Table14[[#This Row],[Color Code]], 1, 2))," , ",HEX2DEC(MID(Table14[[#This Row],[Color Code]], 3, 2))," , ",HEX2DEC(MID(Table14[[#This Row],[Color Code]], 5, 2)))</f>
        <v>250 , 235 , 201</v>
      </c>
      <c r="D11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95.289033996572769</v>
      </c>
      <c r="E1157" t="str">
        <f>Table14[[#This Row],[Color Code]] &amp; " - " &amp;Table14[[#This Row],[Color Name]]</f>
        <v>FAEBC9 - 7947</v>
      </c>
    </row>
    <row r="1158" spans="1:5" x14ac:dyDescent="0.35">
      <c r="A1158" s="17" t="s">
        <v>3544</v>
      </c>
      <c r="B1158" t="s">
        <v>5813</v>
      </c>
      <c r="C1158" s="9" t="str">
        <f>_xlfn.CONCAT(HEX2DEC(MID(Table14[[#This Row],[Color Code]], 1, 2))," , ",HEX2DEC(MID(Table14[[#This Row],[Color Code]], 3, 2))," , ",HEX2DEC(MID(Table14[[#This Row],[Color Code]], 5, 2)))</f>
        <v>249 , 221 , 216</v>
      </c>
      <c r="D11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95.320511958339793</v>
      </c>
      <c r="E1158" t="str">
        <f>Table14[[#This Row],[Color Code]] &amp; " - " &amp;Table14[[#This Row],[Color Name]]</f>
        <v>F9DDD8 - 8067</v>
      </c>
    </row>
    <row r="1159" spans="1:5" x14ac:dyDescent="0.35">
      <c r="A1159" s="17" t="s">
        <v>3036</v>
      </c>
      <c r="B1159" t="s">
        <v>5281</v>
      </c>
      <c r="C1159" s="9" t="str">
        <f>_xlfn.CONCAT(HEX2DEC(MID(Table14[[#This Row],[Color Code]], 1, 2))," , ",HEX2DEC(MID(Table14[[#This Row],[Color Code]], 3, 2))," , ",HEX2DEC(MID(Table14[[#This Row],[Color Code]], 5, 2)))</f>
        <v>234 , 237 , 214</v>
      </c>
      <c r="D11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95.336247041720711</v>
      </c>
      <c r="E1159" t="str">
        <f>Table14[[#This Row],[Color Code]] &amp; " - " &amp;Table14[[#This Row],[Color Name]]</f>
        <v>EAEDD6 - 7667</v>
      </c>
    </row>
    <row r="1160" spans="1:5" x14ac:dyDescent="0.35">
      <c r="A1160" s="17" t="s">
        <v>3317</v>
      </c>
      <c r="B1160" t="s">
        <v>5576</v>
      </c>
      <c r="C1160" s="9" t="str">
        <f>_xlfn.CONCAT(HEX2DEC(MID(Table14[[#This Row],[Color Code]], 1, 2))," , ",HEX2DEC(MID(Table14[[#This Row],[Color Code]], 3, 2))," , ",HEX2DEC(MID(Table14[[#This Row],[Color Code]], 5, 2)))</f>
        <v>204 , 153 , 63</v>
      </c>
      <c r="D11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95.351979528481735</v>
      </c>
      <c r="E1160" t="str">
        <f>Table14[[#This Row],[Color Code]] &amp; " - " &amp;Table14[[#This Row],[Color Name]]</f>
        <v>CC993F - K288</v>
      </c>
    </row>
    <row r="1161" spans="1:5" x14ac:dyDescent="0.35">
      <c r="A1161" s="17" t="s">
        <v>2591</v>
      </c>
      <c r="B1161" t="s">
        <v>4786</v>
      </c>
      <c r="C1161" s="9" t="str">
        <f>_xlfn.CONCAT(HEX2DEC(MID(Table14[[#This Row],[Color Code]], 1, 2))," , ",HEX2DEC(MID(Table14[[#This Row],[Color Code]], 3, 2))," , ",HEX2DEC(MID(Table14[[#This Row],[Color Code]], 5, 2)))</f>
        <v>234 , 227 , 223</v>
      </c>
      <c r="D11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95.351979528481735</v>
      </c>
      <c r="E1161" t="str">
        <f>Table14[[#This Row],[Color Code]] &amp; " - " &amp;Table14[[#This Row],[Color Name]]</f>
        <v>EAE3DF - 8212</v>
      </c>
    </row>
    <row r="1162" spans="1:5" x14ac:dyDescent="0.35">
      <c r="A1162" s="17" t="s">
        <v>2864</v>
      </c>
      <c r="B1162" t="s">
        <v>5083</v>
      </c>
      <c r="C1162" s="9" t="str">
        <f>_xlfn.CONCAT(HEX2DEC(MID(Table14[[#This Row],[Color Code]], 1, 2))," , ",HEX2DEC(MID(Table14[[#This Row],[Color Code]], 3, 2))," , ",HEX2DEC(MID(Table14[[#This Row],[Color Code]], 5, 2)))</f>
        <v>128 , 209 , 217</v>
      </c>
      <c r="D11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95.372952140530913</v>
      </c>
      <c r="E1162" t="str">
        <f>Table14[[#This Row],[Color Code]] &amp; " - " &amp;Table14[[#This Row],[Color Name]]</f>
        <v>80D1D9 - 7441</v>
      </c>
    </row>
    <row r="1163" spans="1:5" x14ac:dyDescent="0.35">
      <c r="A1163" s="17" t="s">
        <v>3951</v>
      </c>
      <c r="B1163" t="s">
        <v>6282</v>
      </c>
      <c r="C1163" s="9" t="str">
        <f>_xlfn.CONCAT(HEX2DEC(MID(Table14[[#This Row],[Color Code]], 1, 2))," , ",HEX2DEC(MID(Table14[[#This Row],[Color Code]], 3, 2))," , ",HEX2DEC(MID(Table14[[#This Row],[Color Code]], 5, 2)))</f>
        <v>134 , 124 , 99</v>
      </c>
      <c r="D11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95.399161421890909</v>
      </c>
      <c r="E1163" t="str">
        <f>Table14[[#This Row],[Color Code]] &amp; " - " &amp;Table14[[#This Row],[Color Name]]</f>
        <v>867C63 - 8478</v>
      </c>
    </row>
    <row r="1164" spans="1:5" x14ac:dyDescent="0.35">
      <c r="A1164" s="17" t="s">
        <v>2516</v>
      </c>
      <c r="B1164" t="s">
        <v>4710</v>
      </c>
      <c r="C1164" s="9" t="str">
        <f>_xlfn.CONCAT(HEX2DEC(MID(Table14[[#This Row],[Color Code]], 1, 2))," , ",HEX2DEC(MID(Table14[[#This Row],[Color Code]], 3, 2))," , ",HEX2DEC(MID(Table14[[#This Row],[Color Code]], 5, 2)))</f>
        <v>231 , 231 , 222</v>
      </c>
      <c r="D11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95.634721728041853</v>
      </c>
      <c r="E1164" t="str">
        <f>Table14[[#This Row],[Color Code]] &amp; " - " &amp;Table14[[#This Row],[Color Name]]</f>
        <v>E7E7DE - 8348</v>
      </c>
    </row>
    <row r="1165" spans="1:5" x14ac:dyDescent="0.35">
      <c r="A1165" s="17" t="s">
        <v>3532</v>
      </c>
      <c r="B1165" t="s">
        <v>5800</v>
      </c>
      <c r="C1165" s="9" t="str">
        <f>_xlfn.CONCAT(HEX2DEC(MID(Table14[[#This Row],[Color Code]], 1, 2))," , ",HEX2DEC(MID(Table14[[#This Row],[Color Code]], 3, 2))," , ",HEX2DEC(MID(Table14[[#This Row],[Color Code]], 5, 2)))</f>
        <v>208 , 97 , 102</v>
      </c>
      <c r="D11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95.650405121985756</v>
      </c>
      <c r="E1165" t="str">
        <f>Table14[[#This Row],[Color Code]] &amp; " - " &amp;Table14[[#This Row],[Color Name]]</f>
        <v>D06166 - 9993</v>
      </c>
    </row>
    <row r="1166" spans="1:5" x14ac:dyDescent="0.35">
      <c r="A1166" s="17" t="s">
        <v>2526</v>
      </c>
      <c r="B1166" t="s">
        <v>4720</v>
      </c>
      <c r="C1166" s="9" t="str">
        <f>_xlfn.CONCAT(HEX2DEC(MID(Table14[[#This Row],[Color Code]], 1, 2))," , ",HEX2DEC(MID(Table14[[#This Row],[Color Code]], 3, 2))," , ",HEX2DEC(MID(Table14[[#This Row],[Color Code]], 5, 2)))</f>
        <v>232 , 236 , 217</v>
      </c>
      <c r="D11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95.73400649716902</v>
      </c>
      <c r="E1166" t="str">
        <f>Table14[[#This Row],[Color Code]] &amp; " - " &amp;Table14[[#This Row],[Color Name]]</f>
        <v>E8ECD9 - 7684</v>
      </c>
    </row>
    <row r="1167" spans="1:5" x14ac:dyDescent="0.35">
      <c r="A1167" s="17" t="s">
        <v>2997</v>
      </c>
      <c r="B1167" t="s">
        <v>5241</v>
      </c>
      <c r="C1167" s="9" t="str">
        <f>_xlfn.CONCAT(HEX2DEC(MID(Table14[[#This Row],[Color Code]], 1, 2))," , ",HEX2DEC(MID(Table14[[#This Row],[Color Code]], 3, 2))," , ",HEX2DEC(MID(Table14[[#This Row],[Color Code]], 5, 2)))</f>
        <v>219 , 238 , 222</v>
      </c>
      <c r="D11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95.848839325262574</v>
      </c>
      <c r="E1167" t="str">
        <f>Table14[[#This Row],[Color Code]] &amp; " - " &amp;Table14[[#This Row],[Color Name]]</f>
        <v>DBEEDE - 9308</v>
      </c>
    </row>
    <row r="1168" spans="1:5" x14ac:dyDescent="0.35">
      <c r="A1168" s="17" t="s">
        <v>2806</v>
      </c>
      <c r="B1168" t="s">
        <v>5021</v>
      </c>
      <c r="C1168" s="9" t="str">
        <f>_xlfn.CONCAT(HEX2DEC(MID(Table14[[#This Row],[Color Code]], 1, 2))," , ",HEX2DEC(MID(Table14[[#This Row],[Color Code]], 3, 2))," , ",HEX2DEC(MID(Table14[[#This Row],[Color Code]], 5, 2)))</f>
        <v>102 , 143 , 163</v>
      </c>
      <c r="D11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95.854055730574075</v>
      </c>
      <c r="E1168" t="str">
        <f>Table14[[#This Row],[Color Code]] &amp; " - " &amp;Table14[[#This Row],[Color Name]]</f>
        <v>668FA3 - 7367</v>
      </c>
    </row>
    <row r="1169" spans="1:5" x14ac:dyDescent="0.35">
      <c r="A1169" s="17" t="s">
        <v>3225</v>
      </c>
      <c r="B1169" t="s">
        <v>5483</v>
      </c>
      <c r="C1169" s="9" t="str">
        <f>_xlfn.CONCAT(HEX2DEC(MID(Table14[[#This Row],[Color Code]], 1, 2))," , ",HEX2DEC(MID(Table14[[#This Row],[Color Code]], 3, 2))," , ",HEX2DEC(MID(Table14[[#This Row],[Color Code]], 5, 2)))</f>
        <v>170 , 147 , 66</v>
      </c>
      <c r="D11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95.859271852022744</v>
      </c>
      <c r="E1169" t="str">
        <f>Table14[[#This Row],[Color Code]] &amp; " - " &amp;Table14[[#This Row],[Color Name]]</f>
        <v>AA9342 - 9858</v>
      </c>
    </row>
    <row r="1170" spans="1:5" x14ac:dyDescent="0.35">
      <c r="A1170" s="17" t="s">
        <v>4558</v>
      </c>
      <c r="B1170" t="s">
        <v>6516</v>
      </c>
      <c r="C1170" s="9" t="str">
        <f>_xlfn.CONCAT(HEX2DEC(MID(Table14[[#This Row],[Color Code]], 1, 2))," , ",HEX2DEC(MID(Table14[[#This Row],[Color Code]], 3, 2))," , ",HEX2DEC(MID(Table14[[#This Row],[Color Code]], 5, 2)))</f>
        <v>149 , 110 , 99</v>
      </c>
      <c r="D11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95.968744912080624</v>
      </c>
      <c r="E1170" t="str">
        <f>Table14[[#This Row],[Color Code]] &amp; " - " &amp;Table14[[#This Row],[Color Name]]</f>
        <v>956E63 - K238</v>
      </c>
    </row>
    <row r="1171" spans="1:5" x14ac:dyDescent="0.35">
      <c r="A1171" s="17" t="s">
        <v>3395</v>
      </c>
      <c r="B1171" t="s">
        <v>5654</v>
      </c>
      <c r="C1171" s="9" t="str">
        <f>_xlfn.CONCAT(HEX2DEC(MID(Table14[[#This Row],[Color Code]], 1, 2))," , ",HEX2DEC(MID(Table14[[#This Row],[Color Code]], 3, 2))," , ",HEX2DEC(MID(Table14[[#This Row],[Color Code]], 5, 2)))</f>
        <v>250 , 232 , 206</v>
      </c>
      <c r="D11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95.989582768131669</v>
      </c>
      <c r="E1171" t="str">
        <f>Table14[[#This Row],[Color Code]] &amp; " - " &amp;Table14[[#This Row],[Color Name]]</f>
        <v>FAE8CE - 7979</v>
      </c>
    </row>
    <row r="1172" spans="1:5" x14ac:dyDescent="0.35">
      <c r="A1172" s="17" t="s">
        <v>3005</v>
      </c>
      <c r="B1172" t="s">
        <v>5249</v>
      </c>
      <c r="C1172" s="9" t="str">
        <f>_xlfn.CONCAT(HEX2DEC(MID(Table14[[#This Row],[Color Code]], 1, 2))," , ",HEX2DEC(MID(Table14[[#This Row],[Color Code]], 3, 2))," , ",HEX2DEC(MID(Table14[[#This Row],[Color Code]], 5, 2)))</f>
        <v>222 , 240 , 219</v>
      </c>
      <c r="D11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96.026038135497402</v>
      </c>
      <c r="E1172" t="str">
        <f>Table14[[#This Row],[Color Code]] &amp; " - " &amp;Table14[[#This Row],[Color Name]]</f>
        <v>DEF0DB - 9758</v>
      </c>
    </row>
    <row r="1173" spans="1:5" x14ac:dyDescent="0.35">
      <c r="A1173" s="17" t="s">
        <v>2469</v>
      </c>
      <c r="B1173" t="s">
        <v>4661</v>
      </c>
      <c r="C1173" s="9" t="str">
        <f>_xlfn.CONCAT(HEX2DEC(MID(Table14[[#This Row],[Color Code]], 1, 2))," , ",HEX2DEC(MID(Table14[[#This Row],[Color Code]], 3, 2))," , ",HEX2DEC(MID(Table14[[#This Row],[Color Code]], 5, 2)))</f>
        <v>238 , 231 , 218</v>
      </c>
      <c r="D11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96.026038135497402</v>
      </c>
      <c r="E1173" t="str">
        <f>Table14[[#This Row],[Color Code]] &amp; " - " &amp;Table14[[#This Row],[Color Name]]</f>
        <v>EEE7DA - 8500</v>
      </c>
    </row>
    <row r="1174" spans="1:5" x14ac:dyDescent="0.35">
      <c r="A1174" s="17" t="s">
        <v>3853</v>
      </c>
      <c r="B1174" t="s">
        <v>6173</v>
      </c>
      <c r="C1174" s="9" t="str">
        <f>_xlfn.CONCAT(HEX2DEC(MID(Table14[[#This Row],[Color Code]], 1, 2))," , ",HEX2DEC(MID(Table14[[#This Row],[Color Code]], 3, 2))," , ",HEX2DEC(MID(Table14[[#This Row],[Color Code]], 5, 2)))</f>
        <v>226 , 237 , 220</v>
      </c>
      <c r="D11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96.046863561492728</v>
      </c>
      <c r="E1174" t="str">
        <f>Table14[[#This Row],[Color Code]] &amp; " - " &amp;Table14[[#This Row],[Color Name]]</f>
        <v>E2EDDC - 9332</v>
      </c>
    </row>
    <row r="1175" spans="1:5" x14ac:dyDescent="0.35">
      <c r="A1175" s="17" t="s">
        <v>4051</v>
      </c>
      <c r="B1175" t="s">
        <v>6394</v>
      </c>
      <c r="C1175" s="9" t="str">
        <f>_xlfn.CONCAT(HEX2DEC(MID(Table14[[#This Row],[Color Code]], 1, 2))," , ",HEX2DEC(MID(Table14[[#This Row],[Color Code]], 3, 2))," , ",HEX2DEC(MID(Table14[[#This Row],[Color Code]], 5, 2)))</f>
        <v>151 , 115 , 92</v>
      </c>
      <c r="D11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96.176920308356728</v>
      </c>
      <c r="E1175" t="str">
        <f>Table14[[#This Row],[Color Code]] &amp; " - " &amp;Table14[[#This Row],[Color Name]]</f>
        <v>97735C - 8582</v>
      </c>
    </row>
    <row r="1176" spans="1:5" x14ac:dyDescent="0.35">
      <c r="A1176" s="17" t="s">
        <v>3299</v>
      </c>
      <c r="B1176" t="s">
        <v>5558</v>
      </c>
      <c r="C1176" s="9" t="str">
        <f>_xlfn.CONCAT(HEX2DEC(MID(Table14[[#This Row],[Color Code]], 1, 2))," , ",HEX2DEC(MID(Table14[[#This Row],[Color Code]], 3, 2))," , ",HEX2DEC(MID(Table14[[#This Row],[Color Code]], 5, 2)))</f>
        <v>168 , 129 , 74</v>
      </c>
      <c r="D11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96.19251530134764</v>
      </c>
      <c r="E1176" t="str">
        <f>Table14[[#This Row],[Color Code]] &amp; " - " &amp;Table14[[#This Row],[Color Name]]</f>
        <v>A8814A - 9882</v>
      </c>
    </row>
    <row r="1177" spans="1:5" x14ac:dyDescent="0.35">
      <c r="A1177" s="17" t="s">
        <v>2471</v>
      </c>
      <c r="B1177" t="s">
        <v>4663</v>
      </c>
      <c r="C1177" s="9" t="str">
        <f>_xlfn.CONCAT(HEX2DEC(MID(Table14[[#This Row],[Color Code]], 1, 2))," , ",HEX2DEC(MID(Table14[[#This Row],[Color Code]], 3, 2))," , ",HEX2DEC(MID(Table14[[#This Row],[Color Code]], 5, 2)))</f>
        <v>237 , 231 , 219</v>
      </c>
      <c r="D11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96.213304693269947</v>
      </c>
      <c r="E1177" t="str">
        <f>Table14[[#This Row],[Color Code]] &amp; " - " &amp;Table14[[#This Row],[Color Name]]</f>
        <v>EDE7DB - L157</v>
      </c>
    </row>
    <row r="1178" spans="1:5" x14ac:dyDescent="0.35">
      <c r="A1178" s="17" t="s">
        <v>4297</v>
      </c>
      <c r="B1178" t="s">
        <v>6668</v>
      </c>
      <c r="C1178" s="9" t="str">
        <f>_xlfn.CONCAT(HEX2DEC(MID(Table14[[#This Row],[Color Code]], 1, 2))," , ",HEX2DEC(MID(Table14[[#This Row],[Color Code]], 3, 2))," , ",HEX2DEC(MID(Table14[[#This Row],[Color Code]], 5, 2)))</f>
        <v>191 , 136 , 67</v>
      </c>
      <c r="D11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96.260064408871031</v>
      </c>
      <c r="E1178" t="str">
        <f>Table14[[#This Row],[Color Code]] &amp; " - " &amp;Table14[[#This Row],[Color Name]]</f>
        <v>BF8843 - 3176</v>
      </c>
    </row>
    <row r="1179" spans="1:5" x14ac:dyDescent="0.35">
      <c r="A1179" s="17" t="s">
        <v>3183</v>
      </c>
      <c r="B1179" t="s">
        <v>5441</v>
      </c>
      <c r="C1179" s="9" t="str">
        <f>_xlfn.CONCAT(HEX2DEC(MID(Table14[[#This Row],[Color Code]], 1, 2))," , ",HEX2DEC(MID(Table14[[#This Row],[Color Code]], 3, 2))," , ",HEX2DEC(MID(Table14[[#This Row],[Color Code]], 5, 2)))</f>
        <v>241 , 237 , 210</v>
      </c>
      <c r="D11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96.280839215287273</v>
      </c>
      <c r="E1179" t="str">
        <f>Table14[[#This Row],[Color Code]] &amp; " - " &amp;Table14[[#This Row],[Color Name]]</f>
        <v>F1EDD2 - 7780</v>
      </c>
    </row>
    <row r="1180" spans="1:5" x14ac:dyDescent="0.35">
      <c r="A1180" s="17" t="s">
        <v>2549</v>
      </c>
      <c r="B1180" t="s">
        <v>4743</v>
      </c>
      <c r="C1180" s="9" t="str">
        <f>_xlfn.CONCAT(HEX2DEC(MID(Table14[[#This Row],[Color Code]], 1, 2))," , ",HEX2DEC(MID(Table14[[#This Row],[Color Code]], 3, 2))," , ",HEX2DEC(MID(Table14[[#This Row],[Color Code]], 5, 2)))</f>
        <v>225 , 237 , 221</v>
      </c>
      <c r="D11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96.379458392335863</v>
      </c>
      <c r="E1180" t="str">
        <f>Table14[[#This Row],[Color Code]] &amp; " - " &amp;Table14[[#This Row],[Color Name]]</f>
        <v>E1EDDD - 7612</v>
      </c>
    </row>
    <row r="1181" spans="1:5" x14ac:dyDescent="0.35">
      <c r="A1181" s="17" t="s">
        <v>3214</v>
      </c>
      <c r="B1181" t="s">
        <v>5472</v>
      </c>
      <c r="C1181" s="9" t="str">
        <f>_xlfn.CONCAT(HEX2DEC(MID(Table14[[#This Row],[Color Code]], 1, 2))," , ",HEX2DEC(MID(Table14[[#This Row],[Color Code]], 3, 2))," , ",HEX2DEC(MID(Table14[[#This Row],[Color Code]], 5, 2)))</f>
        <v>154 , 139 , 74</v>
      </c>
      <c r="D11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96.441692229035468</v>
      </c>
      <c r="E1181" t="str">
        <f>Table14[[#This Row],[Color Code]] &amp; " - " &amp;Table14[[#This Row],[Color Name]]</f>
        <v>9A8B4A - 7805</v>
      </c>
    </row>
    <row r="1182" spans="1:5" x14ac:dyDescent="0.35">
      <c r="A1182" s="17" t="s">
        <v>4566</v>
      </c>
      <c r="B1182" t="s">
        <v>6585</v>
      </c>
      <c r="C1182" s="9" t="str">
        <f>_xlfn.CONCAT(HEX2DEC(MID(Table14[[#This Row],[Color Code]], 1, 2))," , ",HEX2DEC(MID(Table14[[#This Row],[Color Code]], 3, 2))," , ",HEX2DEC(MID(Table14[[#This Row],[Color Code]], 5, 2)))</f>
        <v>128 , 117 , 112</v>
      </c>
      <c r="D11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96.483159152258281</v>
      </c>
      <c r="E1182" t="str">
        <f>Table14[[#This Row],[Color Code]] &amp; " - " &amp;Table14[[#This Row],[Color Name]]</f>
        <v>807570 - K278</v>
      </c>
    </row>
    <row r="1183" spans="1:5" x14ac:dyDescent="0.35">
      <c r="A1183" s="17" t="s">
        <v>3350</v>
      </c>
      <c r="B1183" t="s">
        <v>5609</v>
      </c>
      <c r="C1183" s="9" t="str">
        <f>_xlfn.CONCAT(HEX2DEC(MID(Table14[[#This Row],[Color Code]], 1, 2))," , ",HEX2DEC(MID(Table14[[#This Row],[Color Code]], 3, 2))," , ",HEX2DEC(MID(Table14[[#This Row],[Color Code]], 5, 2)))</f>
        <v>245 , 233 , 211</v>
      </c>
      <c r="D11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96.483159152258281</v>
      </c>
      <c r="E1183" t="str">
        <f>Table14[[#This Row],[Color Code]] &amp; " - " &amp;Table14[[#This Row],[Color Name]]</f>
        <v>F5E9D3 - 7939</v>
      </c>
    </row>
    <row r="1184" spans="1:5" x14ac:dyDescent="0.35">
      <c r="A1184" s="17" t="s">
        <v>3561</v>
      </c>
      <c r="B1184" t="s">
        <v>5830</v>
      </c>
      <c r="C1184" s="9" t="str">
        <f>_xlfn.CONCAT(HEX2DEC(MID(Table14[[#This Row],[Color Code]], 1, 2))," , ",HEX2DEC(MID(Table14[[#This Row],[Color Code]], 3, 2))," , ",HEX2DEC(MID(Table14[[#This Row],[Color Code]], 5, 2)))</f>
        <v>247 , 222 , 219</v>
      </c>
      <c r="D11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96.591925128346006</v>
      </c>
      <c r="E1184" t="str">
        <f>Table14[[#This Row],[Color Code]] &amp; " - " &amp;Table14[[#This Row],[Color Name]]</f>
        <v>F7DEDB - 9411</v>
      </c>
    </row>
    <row r="1185" spans="1:5" x14ac:dyDescent="0.35">
      <c r="A1185" s="17" t="s">
        <v>2515</v>
      </c>
      <c r="B1185" t="s">
        <v>4709</v>
      </c>
      <c r="C1185" s="9" t="str">
        <f>_xlfn.CONCAT(HEX2DEC(MID(Table14[[#This Row],[Color Code]], 1, 2))," , ",HEX2DEC(MID(Table14[[#This Row],[Color Code]], 3, 2))," , ",HEX2DEC(MID(Table14[[#This Row],[Color Code]], 5, 2)))</f>
        <v>232 , 232 , 222</v>
      </c>
      <c r="D11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96.633327584224276</v>
      </c>
      <c r="E1185" t="str">
        <f>Table14[[#This Row],[Color Code]] &amp; " - " &amp;Table14[[#This Row],[Color Name]]</f>
        <v>E8E8DE - 8372</v>
      </c>
    </row>
    <row r="1186" spans="1:5" x14ac:dyDescent="0.35">
      <c r="A1186" s="17" t="s">
        <v>3262</v>
      </c>
      <c r="B1186" t="s">
        <v>5521</v>
      </c>
      <c r="C1186" s="9" t="str">
        <f>_xlfn.CONCAT(HEX2DEC(MID(Table14[[#This Row],[Color Code]], 1, 2))," , ",HEX2DEC(MID(Table14[[#This Row],[Color Code]], 3, 2))," , ",HEX2DEC(MID(Table14[[#This Row],[Color Code]], 5, 2)))</f>
        <v>245 , 236 , 208</v>
      </c>
      <c r="D11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96.638501644013502</v>
      </c>
      <c r="E1186" t="str">
        <f>Table14[[#This Row],[Color Code]] &amp; " - " &amp;Table14[[#This Row],[Color Name]]</f>
        <v>F5ECD0 - 7859</v>
      </c>
    </row>
    <row r="1187" spans="1:5" x14ac:dyDescent="0.35">
      <c r="A1187" s="17" t="s">
        <v>2914</v>
      </c>
      <c r="B1187" t="s">
        <v>5141</v>
      </c>
      <c r="C1187" s="9" t="str">
        <f>_xlfn.CONCAT(HEX2DEC(MID(Table14[[#This Row],[Color Code]], 1, 2))," , ",HEX2DEC(MID(Table14[[#This Row],[Color Code]], 3, 2))," , ",HEX2DEC(MID(Table14[[#This Row],[Color Code]], 5, 2)))</f>
        <v>114 , 206 , 203</v>
      </c>
      <c r="D11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96.690227013902501</v>
      </c>
      <c r="E1187" t="str">
        <f>Table14[[#This Row],[Color Code]] &amp; " - " &amp;Table14[[#This Row],[Color Name]]</f>
        <v>72CECB - 7504</v>
      </c>
    </row>
    <row r="1188" spans="1:5" x14ac:dyDescent="0.35">
      <c r="A1188" s="17" t="s">
        <v>3862</v>
      </c>
      <c r="B1188" t="s">
        <v>6183</v>
      </c>
      <c r="C1188" s="9" t="str">
        <f>_xlfn.CONCAT(HEX2DEC(MID(Table14[[#This Row],[Color Code]], 1, 2))," , ",HEX2DEC(MID(Table14[[#This Row],[Color Code]], 3, 2))," , ",HEX2DEC(MID(Table14[[#This Row],[Color Code]], 5, 2)))</f>
        <v>114 , 141 , 109</v>
      </c>
      <c r="D11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96.726418314749978</v>
      </c>
      <c r="E1188" t="str">
        <f>Table14[[#This Row],[Color Code]] &amp; " - " &amp;Table14[[#This Row],[Color Name]]</f>
        <v>728D6D - K151</v>
      </c>
    </row>
    <row r="1189" spans="1:5" x14ac:dyDescent="0.35">
      <c r="A1189" s="17" t="s">
        <v>3247</v>
      </c>
      <c r="B1189" t="s">
        <v>5505</v>
      </c>
      <c r="C1189" s="9" t="str">
        <f>_xlfn.CONCAT(HEX2DEC(MID(Table14[[#This Row],[Color Code]], 1, 2))," , ",HEX2DEC(MID(Table14[[#This Row],[Color Code]], 3, 2))," , ",HEX2DEC(MID(Table14[[#This Row],[Color Code]], 5, 2)))</f>
        <v>241 , 234 , 214</v>
      </c>
      <c r="D11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96.76259607927021</v>
      </c>
      <c r="E1189" t="str">
        <f>Table14[[#This Row],[Color Code]] &amp; " - " &amp;Table14[[#This Row],[Color Name]]</f>
        <v>F1EAD6 - 0943</v>
      </c>
    </row>
    <row r="1190" spans="1:5" x14ac:dyDescent="0.35">
      <c r="A1190" s="17" t="s">
        <v>3232</v>
      </c>
      <c r="B1190" t="s">
        <v>5490</v>
      </c>
      <c r="C1190" s="9" t="str">
        <f>_xlfn.CONCAT(HEX2DEC(MID(Table14[[#This Row],[Color Code]], 1, 2))," , ",HEX2DEC(MID(Table14[[#This Row],[Color Code]], 3, 2))," , ",HEX2DEC(MID(Table14[[#This Row],[Color Code]], 5, 2)))</f>
        <v>249 , 239 , 200</v>
      </c>
      <c r="D11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96.79876032264049</v>
      </c>
      <c r="E1190" t="str">
        <f>Table14[[#This Row],[Color Code]] &amp; " - " &amp;Table14[[#This Row],[Color Name]]</f>
        <v>F9EFC8 - 7834</v>
      </c>
    </row>
    <row r="1191" spans="1:5" x14ac:dyDescent="0.35">
      <c r="A1191" s="17" t="s">
        <v>2463</v>
      </c>
      <c r="B1191" t="s">
        <v>4655</v>
      </c>
      <c r="C1191" s="9" t="str">
        <f>_xlfn.CONCAT(HEX2DEC(MID(Table14[[#This Row],[Color Code]], 1, 2))," , ",HEX2DEC(MID(Table14[[#This Row],[Color Code]], 3, 2))," , ",HEX2DEC(MID(Table14[[#This Row],[Color Code]], 5, 2)))</f>
        <v>241 , 232 , 216</v>
      </c>
      <c r="D11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96.803925540238296</v>
      </c>
      <c r="E1191" t="str">
        <f>Table14[[#This Row],[Color Code]] &amp; " - " &amp;Table14[[#This Row],[Color Name]]</f>
        <v>F1E8D8 - L136</v>
      </c>
    </row>
    <row r="1192" spans="1:5" x14ac:dyDescent="0.35">
      <c r="A1192" s="17" t="s">
        <v>2910</v>
      </c>
      <c r="B1192" t="s">
        <v>5137</v>
      </c>
      <c r="C1192" s="9" t="str">
        <f>_xlfn.CONCAT(HEX2DEC(MID(Table14[[#This Row],[Color Code]], 1, 2))," , ",HEX2DEC(MID(Table14[[#This Row],[Color Code]], 3, 2))," , ",HEX2DEC(MID(Table14[[#This Row],[Color Code]], 5, 2)))</f>
        <v>210 , 236 , 228</v>
      </c>
      <c r="D11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96.819419539677057</v>
      </c>
      <c r="E1192" t="str">
        <f>Table14[[#This Row],[Color Code]] &amp; " - " &amp;Table14[[#This Row],[Color Name]]</f>
        <v>D2ECE4 - 7508</v>
      </c>
    </row>
    <row r="1193" spans="1:5" x14ac:dyDescent="0.35">
      <c r="A1193" s="17" t="s">
        <v>3833</v>
      </c>
      <c r="B1193" t="s">
        <v>6146</v>
      </c>
      <c r="C1193" s="9" t="str">
        <f>_xlfn.CONCAT(HEX2DEC(MID(Table14[[#This Row],[Color Code]], 1, 2))," , ",HEX2DEC(MID(Table14[[#This Row],[Color Code]], 3, 2))," , ",HEX2DEC(MID(Table14[[#This Row],[Color Code]], 5, 2)))</f>
        <v>114 , 126 , 125</v>
      </c>
      <c r="D11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96.876209669866839</v>
      </c>
      <c r="E1193" t="str">
        <f>Table14[[#This Row],[Color Code]] &amp; " - " &amp;Table14[[#This Row],[Color Name]]</f>
        <v>727E7D - 8335</v>
      </c>
    </row>
    <row r="1194" spans="1:5" x14ac:dyDescent="0.35">
      <c r="A1194" s="17" t="s">
        <v>2833</v>
      </c>
      <c r="B1194" t="s">
        <v>5049</v>
      </c>
      <c r="C1194" s="9" t="str">
        <f>_xlfn.CONCAT(HEX2DEC(MID(Table14[[#This Row],[Color Code]], 1, 2))," , ",HEX2DEC(MID(Table14[[#This Row],[Color Code]], 3, 2))," , ",HEX2DEC(MID(Table14[[#This Row],[Color Code]], 5, 2)))</f>
        <v>188 , 228 , 236</v>
      </c>
      <c r="D11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96.881370758262918</v>
      </c>
      <c r="E1194" t="str">
        <f>Table14[[#This Row],[Color Code]] &amp; " - " &amp;Table14[[#This Row],[Color Name]]</f>
        <v>BCE4EC - 9670</v>
      </c>
    </row>
    <row r="1195" spans="1:5" x14ac:dyDescent="0.35">
      <c r="A1195" s="17" t="s">
        <v>2577</v>
      </c>
      <c r="B1195" t="s">
        <v>4771</v>
      </c>
      <c r="C1195" s="9" t="str">
        <f>_xlfn.CONCAT(HEX2DEC(MID(Table14[[#This Row],[Color Code]], 1, 2))," , ",HEX2DEC(MID(Table14[[#This Row],[Color Code]], 3, 2))," , ",HEX2DEC(MID(Table14[[#This Row],[Color Code]], 5, 2)))</f>
        <v>217 , 231 , 230</v>
      </c>
      <c r="D11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96.881370758262918</v>
      </c>
      <c r="E1195" t="str">
        <f>Table14[[#This Row],[Color Code]] &amp; " - " &amp;Table14[[#This Row],[Color Name]]</f>
        <v>D9E7E6 - 7364</v>
      </c>
    </row>
    <row r="1196" spans="1:5" x14ac:dyDescent="0.35">
      <c r="A1196" s="17" t="s">
        <v>2472</v>
      </c>
      <c r="B1196" t="s">
        <v>4664</v>
      </c>
      <c r="C1196" s="9" t="str">
        <f>_xlfn.CONCAT(HEX2DEC(MID(Table14[[#This Row],[Color Code]], 1, 2))," , ",HEX2DEC(MID(Table14[[#This Row],[Color Code]], 3, 2))," , ",HEX2DEC(MID(Table14[[#This Row],[Color Code]], 5, 2)))</f>
        <v>237 , 231 , 220</v>
      </c>
      <c r="D11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96.881370758262918</v>
      </c>
      <c r="E1196" t="str">
        <f>Table14[[#This Row],[Color Code]] &amp; " - " &amp;Table14[[#This Row],[Color Name]]</f>
        <v>EDE7DC - L158</v>
      </c>
    </row>
    <row r="1197" spans="1:5" x14ac:dyDescent="0.35">
      <c r="A1197" s="17" t="s">
        <v>4106</v>
      </c>
      <c r="B1197" t="s">
        <v>6453</v>
      </c>
      <c r="C1197" s="9" t="str">
        <f>_xlfn.CONCAT(HEX2DEC(MID(Table14[[#This Row],[Color Code]], 1, 2))," , ",HEX2DEC(MID(Table14[[#This Row],[Color Code]], 3, 2))," , ",HEX2DEC(MID(Table14[[#This Row],[Color Code]], 5, 2)))</f>
        <v>156 , 107 , 96</v>
      </c>
      <c r="D11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96.958754117408091</v>
      </c>
      <c r="E1197" t="str">
        <f>Table14[[#This Row],[Color Code]] &amp; " - " &amp;Table14[[#This Row],[Color Name]]</f>
        <v>9C6B60 - K212</v>
      </c>
    </row>
    <row r="1198" spans="1:5" x14ac:dyDescent="0.35">
      <c r="A1198" s="17" t="s">
        <v>3342</v>
      </c>
      <c r="B1198" t="s">
        <v>5601</v>
      </c>
      <c r="C1198" s="9" t="str">
        <f>_xlfn.CONCAT(HEX2DEC(MID(Table14[[#This Row],[Color Code]], 1, 2))," , ",HEX2DEC(MID(Table14[[#This Row],[Color Code]], 3, 2))," , ",HEX2DEC(MID(Table14[[#This Row],[Color Code]], 5, 2)))</f>
        <v>246 , 234 , 210</v>
      </c>
      <c r="D11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97.066987178958016</v>
      </c>
      <c r="E1198" t="str">
        <f>Table14[[#This Row],[Color Code]] &amp; " - " &amp;Table14[[#This Row],[Color Name]]</f>
        <v>F6EAD2 - 7931</v>
      </c>
    </row>
    <row r="1199" spans="1:5" x14ac:dyDescent="0.35">
      <c r="A1199" s="17" t="s">
        <v>2493</v>
      </c>
      <c r="B1199" t="s">
        <v>4687</v>
      </c>
      <c r="C1199" s="9" t="str">
        <f>_xlfn.CONCAT(HEX2DEC(MID(Table14[[#This Row],[Color Code]], 1, 2))," , ",HEX2DEC(MID(Table14[[#This Row],[Color Code]], 3, 2))," , ",HEX2DEC(MID(Table14[[#This Row],[Color Code]], 5, 2)))</f>
        <v>239 , 232 , 218</v>
      </c>
      <c r="D11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97.092739172401565</v>
      </c>
      <c r="E1199" t="str">
        <f>Table14[[#This Row],[Color Code]] &amp; " - " &amp;Table14[[#This Row],[Color Name]]</f>
        <v>EFE8DA - L175</v>
      </c>
    </row>
    <row r="1200" spans="1:5" x14ac:dyDescent="0.35">
      <c r="A1200" s="17" t="s">
        <v>2588</v>
      </c>
      <c r="B1200" t="s">
        <v>4782</v>
      </c>
      <c r="C1200" s="9" t="str">
        <f>_xlfn.CONCAT(HEX2DEC(MID(Table14[[#This Row],[Color Code]], 1, 2))," , ",HEX2DEC(MID(Table14[[#This Row],[Color Code]], 3, 2))," , ",HEX2DEC(MID(Table14[[#This Row],[Color Code]], 5, 2)))</f>
        <v>232 , 225 , 228</v>
      </c>
      <c r="D12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97.103038057519086</v>
      </c>
      <c r="E1200" t="str">
        <f>Table14[[#This Row],[Color Code]] &amp; " - " &amp;Table14[[#This Row],[Color Name]]</f>
        <v>E8E1E4 - 7155</v>
      </c>
    </row>
    <row r="1201" spans="1:5" x14ac:dyDescent="0.35">
      <c r="A1201" s="17" t="s">
        <v>4483</v>
      </c>
      <c r="B1201" t="s">
        <v>5968</v>
      </c>
      <c r="C1201" s="9" t="str">
        <f>_xlfn.CONCAT(HEX2DEC(MID(Table14[[#This Row],[Color Code]], 1, 2))," , ",HEX2DEC(MID(Table14[[#This Row],[Color Code]], 3, 2))," , ",HEX2DEC(MID(Table14[[#This Row],[Color Code]], 5, 2)))</f>
        <v>137 , 103 , 120</v>
      </c>
      <c r="D12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97.128780492704635</v>
      </c>
      <c r="E1201" t="str">
        <f>Table14[[#This Row],[Color Code]] &amp; " - " &amp;Table14[[#This Row],[Color Name]]</f>
        <v>896778 - K063</v>
      </c>
    </row>
    <row r="1202" spans="1:5" x14ac:dyDescent="0.35">
      <c r="A1202" s="17" t="s">
        <v>4313</v>
      </c>
      <c r="B1202" t="s">
        <v>6684</v>
      </c>
      <c r="C1202" s="9" t="str">
        <f>_xlfn.CONCAT(HEX2DEC(MID(Table14[[#This Row],[Color Code]], 1, 2))," , ",HEX2DEC(MID(Table14[[#This Row],[Color Code]], 3, 2))," , ",HEX2DEC(MID(Table14[[#This Row],[Color Code]], 5, 2)))</f>
        <v>190 , 141 , 64</v>
      </c>
      <c r="D12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97.164808444209882</v>
      </c>
      <c r="E1202" t="str">
        <f>Table14[[#This Row],[Color Code]] &amp; " - " &amp;Table14[[#This Row],[Color Name]]</f>
        <v>BE8D40 - X106</v>
      </c>
    </row>
    <row r="1203" spans="1:5" x14ac:dyDescent="0.35">
      <c r="A1203" s="17" t="s">
        <v>2553</v>
      </c>
      <c r="B1203" t="s">
        <v>4747</v>
      </c>
      <c r="C1203" s="9" t="str">
        <f>_xlfn.CONCAT(HEX2DEC(MID(Table14[[#This Row],[Color Code]], 1, 2))," , ",HEX2DEC(MID(Table14[[#This Row],[Color Code]], 3, 2))," , ",HEX2DEC(MID(Table14[[#This Row],[Color Code]], 5, 2)))</f>
        <v>228 , 232 , 225</v>
      </c>
      <c r="D12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97.185389848474657</v>
      </c>
      <c r="E1203" t="str">
        <f>Table14[[#This Row],[Color Code]] &amp; " - " &amp;Table14[[#This Row],[Color Name]]</f>
        <v>E4E8E1 - L111</v>
      </c>
    </row>
    <row r="1204" spans="1:5" x14ac:dyDescent="0.35">
      <c r="A1204" s="17" t="s">
        <v>3715</v>
      </c>
      <c r="B1204" t="s">
        <v>6003</v>
      </c>
      <c r="C1204" s="9" t="str">
        <f>_xlfn.CONCAT(HEX2DEC(MID(Table14[[#This Row],[Color Code]], 1, 2))," , ",HEX2DEC(MID(Table14[[#This Row],[Color Code]], 3, 2))," , ",HEX2DEC(MID(Table14[[#This Row],[Color Code]], 5, 2)))</f>
        <v>125 , 115 , 118</v>
      </c>
      <c r="D12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97.252249331313664</v>
      </c>
      <c r="E1204" t="str">
        <f>Table14[[#This Row],[Color Code]] &amp; " - " &amp;Table14[[#This Row],[Color Name]]</f>
        <v>7D7376 - 8214</v>
      </c>
    </row>
    <row r="1205" spans="1:5" x14ac:dyDescent="0.35">
      <c r="A1205" s="17" t="s">
        <v>2576</v>
      </c>
      <c r="B1205" t="s">
        <v>4770</v>
      </c>
      <c r="C1205" s="9" t="str">
        <f>_xlfn.CONCAT(HEX2DEC(MID(Table14[[#This Row],[Color Code]], 1, 2))," , ",HEX2DEC(MID(Table14[[#This Row],[Color Code]], 3, 2))," , ",HEX2DEC(MID(Table14[[#This Row],[Color Code]], 5, 2)))</f>
        <v>219 , 228 , 232</v>
      </c>
      <c r="D12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97.298509752205348</v>
      </c>
      <c r="E1205" t="str">
        <f>Table14[[#This Row],[Color Code]] &amp; " - " &amp;Table14[[#This Row],[Color Name]]</f>
        <v>DBE4E8 - 7251</v>
      </c>
    </row>
    <row r="1206" spans="1:5" x14ac:dyDescent="0.35">
      <c r="A1206" s="17" t="s">
        <v>2957</v>
      </c>
      <c r="B1206" t="s">
        <v>5193</v>
      </c>
      <c r="C1206" s="9" t="str">
        <f>_xlfn.CONCAT(HEX2DEC(MID(Table14[[#This Row],[Color Code]], 1, 2))," , ",HEX2DEC(MID(Table14[[#This Row],[Color Code]], 3, 2))," , ",HEX2DEC(MID(Table14[[#This Row],[Color Code]], 5, 2)))</f>
        <v>99 , 159 , 131</v>
      </c>
      <c r="D12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97.37042672187485</v>
      </c>
      <c r="E1206" t="str">
        <f>Table14[[#This Row],[Color Code]] &amp; " - " &amp;Table14[[#This Row],[Color Name]]</f>
        <v>639F83 - 9734</v>
      </c>
    </row>
    <row r="1207" spans="1:5" x14ac:dyDescent="0.35">
      <c r="A1207" s="17" t="s">
        <v>3792</v>
      </c>
      <c r="B1207" t="s">
        <v>6090</v>
      </c>
      <c r="C1207" s="9" t="str">
        <f>_xlfn.CONCAT(HEX2DEC(MID(Table14[[#This Row],[Color Code]], 1, 2))," , ",HEX2DEC(MID(Table14[[#This Row],[Color Code]], 3, 2))," , ",HEX2DEC(MID(Table14[[#This Row],[Color Code]], 5, 2)))</f>
        <v>115 , 122 , 127</v>
      </c>
      <c r="D12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97.580735803743565</v>
      </c>
      <c r="E1207" t="str">
        <f>Table14[[#This Row],[Color Code]] &amp; " - " &amp;Table14[[#This Row],[Color Name]]</f>
        <v>737A7F - K295</v>
      </c>
    </row>
    <row r="1208" spans="1:5" x14ac:dyDescent="0.35">
      <c r="A1208" s="17" t="s">
        <v>2404</v>
      </c>
      <c r="B1208" t="s">
        <v>4596</v>
      </c>
      <c r="C1208" s="9" t="str">
        <f>_xlfn.CONCAT(HEX2DEC(MID(Table14[[#This Row],[Color Code]], 1, 2))," , ",HEX2DEC(MID(Table14[[#This Row],[Color Code]], 3, 2))," , ",HEX2DEC(MID(Table14[[#This Row],[Color Code]], 5, 2)))</f>
        <v>239 , 227 , 223</v>
      </c>
      <c r="D12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97.657564991146486</v>
      </c>
      <c r="E1208" t="str">
        <f>Table14[[#This Row],[Color Code]] &amp; " - " &amp;Table14[[#This Row],[Color Name]]</f>
        <v>EFE3DF - 8716</v>
      </c>
    </row>
    <row r="1209" spans="1:5" x14ac:dyDescent="0.35">
      <c r="A1209" s="17" t="s">
        <v>2575</v>
      </c>
      <c r="B1209" t="s">
        <v>4769</v>
      </c>
      <c r="C1209" s="9" t="str">
        <f>_xlfn.CONCAT(HEX2DEC(MID(Table14[[#This Row],[Color Code]], 1, 2))," , ",HEX2DEC(MID(Table14[[#This Row],[Color Code]], 3, 2))," , ",HEX2DEC(MID(Table14[[#This Row],[Color Code]], 5, 2)))</f>
        <v>228 , 229 , 228</v>
      </c>
      <c r="D12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97.678042568429888</v>
      </c>
      <c r="E1209" t="str">
        <f>Table14[[#This Row],[Color Code]] &amp; " - " &amp;Table14[[#This Row],[Color Name]]</f>
        <v>E4E5E4 - 7228</v>
      </c>
    </row>
    <row r="1210" spans="1:5" x14ac:dyDescent="0.35">
      <c r="A1210" s="17" t="s">
        <v>2705</v>
      </c>
      <c r="B1210" t="s">
        <v>4913</v>
      </c>
      <c r="C1210" s="9" t="str">
        <f>_xlfn.CONCAT(HEX2DEC(MID(Table14[[#This Row],[Color Code]], 1, 2))," , ",HEX2DEC(MID(Table14[[#This Row],[Color Code]], 3, 2))," , ",HEX2DEC(MID(Table14[[#This Row],[Color Code]], 5, 2)))</f>
        <v>227 , 227 , 230</v>
      </c>
      <c r="D12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97.744565066299216</v>
      </c>
      <c r="E1210" t="str">
        <f>Table14[[#This Row],[Color Code]] &amp; " - " &amp;Table14[[#This Row],[Color Name]]</f>
        <v>E3E3E6 - 7212</v>
      </c>
    </row>
    <row r="1211" spans="1:5" x14ac:dyDescent="0.35">
      <c r="A1211" s="17" t="s">
        <v>4311</v>
      </c>
      <c r="B1211" t="s">
        <v>6682</v>
      </c>
      <c r="C1211" s="9" t="str">
        <f>_xlfn.CONCAT(HEX2DEC(MID(Table14[[#This Row],[Color Code]], 1, 2))," , ",HEX2DEC(MID(Table14[[#This Row],[Color Code]], 3, 2))," , ",HEX2DEC(MID(Table14[[#This Row],[Color Code]], 5, 2)))</f>
        <v>218 , 168 , 61</v>
      </c>
      <c r="D12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97.780366127357084</v>
      </c>
      <c r="E1211" t="str">
        <f>Table14[[#This Row],[Color Code]] &amp; " - " &amp;Table14[[#This Row],[Color Name]]</f>
        <v>DAA83D - X214</v>
      </c>
    </row>
    <row r="1212" spans="1:5" x14ac:dyDescent="0.35">
      <c r="A1212" s="17" t="s">
        <v>2597</v>
      </c>
      <c r="B1212" t="s">
        <v>4792</v>
      </c>
      <c r="C1212" s="9" t="str">
        <f>_xlfn.CONCAT(HEX2DEC(MID(Table14[[#This Row],[Color Code]], 1, 2))," , ",HEX2DEC(MID(Table14[[#This Row],[Color Code]], 3, 2))," , ",HEX2DEC(MID(Table14[[#This Row],[Color Code]], 5, 2)))</f>
        <v>237 , 222 , 228</v>
      </c>
      <c r="D12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97.790592594584481</v>
      </c>
      <c r="E1212" t="str">
        <f>Table14[[#This Row],[Color Code]] &amp; " - " &amp;Table14[[#This Row],[Color Name]]</f>
        <v>EDDEE4 - 7115</v>
      </c>
    </row>
    <row r="1213" spans="1:5" x14ac:dyDescent="0.35">
      <c r="A1213" s="17" t="s">
        <v>3498</v>
      </c>
      <c r="B1213" t="s">
        <v>5765</v>
      </c>
      <c r="C1213" s="9" t="str">
        <f>_xlfn.CONCAT(HEX2DEC(MID(Table14[[#This Row],[Color Code]], 1, 2))," , ",HEX2DEC(MID(Table14[[#This Row],[Color Code]], 3, 2))," , ",HEX2DEC(MID(Table14[[#This Row],[Color Code]], 5, 2)))</f>
        <v>251 , 226 , 214</v>
      </c>
      <c r="D12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97.790592594584481</v>
      </c>
      <c r="E1213" t="str">
        <f>Table14[[#This Row],[Color Code]] &amp; " - " &amp;Table14[[#This Row],[Color Name]]</f>
        <v>FBE2D6 - 8035</v>
      </c>
    </row>
    <row r="1214" spans="1:5" x14ac:dyDescent="0.35">
      <c r="A1214" s="17" t="s">
        <v>2713</v>
      </c>
      <c r="B1214" t="s">
        <v>4921</v>
      </c>
      <c r="C1214" s="9" t="str">
        <f>_xlfn.CONCAT(HEX2DEC(MID(Table14[[#This Row],[Color Code]], 1, 2))," , ",HEX2DEC(MID(Table14[[#This Row],[Color Code]], 3, 2))," , ",HEX2DEC(MID(Table14[[#This Row],[Color Code]], 5, 2)))</f>
        <v>225 , 227 , 231</v>
      </c>
      <c r="D12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97.821265581671966</v>
      </c>
      <c r="E1214" t="str">
        <f>Table14[[#This Row],[Color Code]] &amp; " - " &amp;Table14[[#This Row],[Color Name]]</f>
        <v>E1E3E7 - 7219</v>
      </c>
    </row>
    <row r="1215" spans="1:5" x14ac:dyDescent="0.35">
      <c r="A1215" s="17" t="s">
        <v>3761</v>
      </c>
      <c r="B1215" t="s">
        <v>6054</v>
      </c>
      <c r="C1215" s="9" t="str">
        <f>_xlfn.CONCAT(HEX2DEC(MID(Table14[[#This Row],[Color Code]], 1, 2))," , ",HEX2DEC(MID(Table14[[#This Row],[Color Code]], 3, 2))," , ",HEX2DEC(MID(Table14[[#This Row],[Color Code]], 5, 2)))</f>
        <v>230 , 233 , 224</v>
      </c>
      <c r="D12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97.821265581671966</v>
      </c>
      <c r="E1215" t="str">
        <f>Table14[[#This Row],[Color Code]] &amp; " - " &amp;Table14[[#This Row],[Color Name]]</f>
        <v>E6E9E0 - 9476</v>
      </c>
    </row>
    <row r="1216" spans="1:5" x14ac:dyDescent="0.35">
      <c r="A1216" s="17" t="s">
        <v>3621</v>
      </c>
      <c r="B1216" t="s">
        <v>5891</v>
      </c>
      <c r="C1216" s="9" t="str">
        <f>_xlfn.CONCAT(HEX2DEC(MID(Table14[[#This Row],[Color Code]], 1, 2))," , ",HEX2DEC(MID(Table14[[#This Row],[Color Code]], 3, 2))," , ",HEX2DEC(MID(Table14[[#This Row],[Color Code]], 5, 2)))</f>
        <v>177 , 86 , 117</v>
      </c>
      <c r="D12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97.928545378760731</v>
      </c>
      <c r="E1216" t="str">
        <f>Table14[[#This Row],[Color Code]] &amp; " - " &amp;Table14[[#This Row],[Color Name]]</f>
        <v>B15675 - K020</v>
      </c>
    </row>
    <row r="1217" spans="1:5" x14ac:dyDescent="0.35">
      <c r="A1217" s="17" t="s">
        <v>3521</v>
      </c>
      <c r="B1217" t="s">
        <v>5789</v>
      </c>
      <c r="C1217" s="9" t="str">
        <f>_xlfn.CONCAT(HEX2DEC(MID(Table14[[#This Row],[Color Code]], 1, 2))," , ",HEX2DEC(MID(Table14[[#This Row],[Color Code]], 3, 2))," , ",HEX2DEC(MID(Table14[[#This Row],[Color Code]], 5, 2)))</f>
        <v>249 , 225 , 217</v>
      </c>
      <c r="D12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97.943861471763512</v>
      </c>
      <c r="E1217" t="str">
        <f>Table14[[#This Row],[Color Code]] &amp; " - " &amp;Table14[[#This Row],[Color Name]]</f>
        <v>F9E1D9 - 8051</v>
      </c>
    </row>
    <row r="1218" spans="1:5" x14ac:dyDescent="0.35">
      <c r="A1218" s="17" t="s">
        <v>3311</v>
      </c>
      <c r="B1218" t="s">
        <v>5570</v>
      </c>
      <c r="C1218" s="9" t="str">
        <f>_xlfn.CONCAT(HEX2DEC(MID(Table14[[#This Row],[Color Code]], 1, 2))," , ",HEX2DEC(MID(Table14[[#This Row],[Color Code]], 3, 2))," , ",HEX2DEC(MID(Table14[[#This Row],[Color Code]], 5, 2)))</f>
        <v>249 , 238 , 204</v>
      </c>
      <c r="D12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98.076500753238534</v>
      </c>
      <c r="E1218" t="str">
        <f>Table14[[#This Row],[Color Code]] &amp; " - " &amp;Table14[[#This Row],[Color Name]]</f>
        <v>F9EECC - 7899</v>
      </c>
    </row>
    <row r="1219" spans="1:5" x14ac:dyDescent="0.35">
      <c r="A1219" s="17" t="s">
        <v>2548</v>
      </c>
      <c r="B1219" t="s">
        <v>4742</v>
      </c>
      <c r="C1219" s="9" t="str">
        <f>_xlfn.CONCAT(HEX2DEC(MID(Table14[[#This Row],[Color Code]], 1, 2))," , ",HEX2DEC(MID(Table14[[#This Row],[Color Code]], 3, 2))," , ",HEX2DEC(MID(Table14[[#This Row],[Color Code]], 5, 2)))</f>
        <v>226 , 237 , 223</v>
      </c>
      <c r="D12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98.101987747445776</v>
      </c>
      <c r="E1219" t="str">
        <f>Table14[[#This Row],[Color Code]] &amp; " - " &amp;Table14[[#This Row],[Color Name]]</f>
        <v>E2EDDF - 7556</v>
      </c>
    </row>
    <row r="1220" spans="1:5" x14ac:dyDescent="0.35">
      <c r="A1220" s="17" t="s">
        <v>4308</v>
      </c>
      <c r="B1220" t="s">
        <v>6679</v>
      </c>
      <c r="C1220" s="9" t="str">
        <f>_xlfn.CONCAT(HEX2DEC(MID(Table14[[#This Row],[Color Code]], 1, 2))," , ",HEX2DEC(MID(Table14[[#This Row],[Color Code]], 3, 2))," , ",HEX2DEC(MID(Table14[[#This Row],[Color Code]], 5, 2)))</f>
        <v>241 , 188 , 71</v>
      </c>
      <c r="D12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98.112180691288273</v>
      </c>
      <c r="E1220" t="str">
        <f>Table14[[#This Row],[Color Code]] &amp; " - " &amp;Table14[[#This Row],[Color Name]]</f>
        <v>F1BC47 - X166</v>
      </c>
    </row>
    <row r="1221" spans="1:5" x14ac:dyDescent="0.35">
      <c r="A1221" s="17" t="s">
        <v>3624</v>
      </c>
      <c r="B1221" t="s">
        <v>5894</v>
      </c>
      <c r="C1221" s="9" t="str">
        <f>_xlfn.CONCAT(HEX2DEC(MID(Table14[[#This Row],[Color Code]], 1, 2))," , ",HEX2DEC(MID(Table14[[#This Row],[Color Code]], 3, 2))," , ",HEX2DEC(MID(Table14[[#This Row],[Color Code]], 5, 2)))</f>
        <v>244 , 220 , 225</v>
      </c>
      <c r="D12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98.127468121826112</v>
      </c>
      <c r="E1221" t="str">
        <f>Table14[[#This Row],[Color Code]] &amp; " - " &amp;Table14[[#This Row],[Color Name]]</f>
        <v>F4DCE1 - 8139</v>
      </c>
    </row>
    <row r="1222" spans="1:5" x14ac:dyDescent="0.35">
      <c r="A1222" s="17" t="s">
        <v>2485</v>
      </c>
      <c r="B1222" t="s">
        <v>4678</v>
      </c>
      <c r="C1222" s="9" t="str">
        <f>_xlfn.CONCAT(HEX2DEC(MID(Table14[[#This Row],[Color Code]], 1, 2))," , ",HEX2DEC(MID(Table14[[#This Row],[Color Code]], 3, 2))," , ",HEX2DEC(MID(Table14[[#This Row],[Color Code]], 5, 2)))</f>
        <v>240 , 233 , 218</v>
      </c>
      <c r="D12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98.168222964460341</v>
      </c>
      <c r="E1222" t="str">
        <f>Table14[[#This Row],[Color Code]] &amp; " - " &amp;Table14[[#This Row],[Color Name]]</f>
        <v>F0E9DA - L174</v>
      </c>
    </row>
    <row r="1223" spans="1:5" x14ac:dyDescent="0.35">
      <c r="A1223" s="17" t="s">
        <v>2508</v>
      </c>
      <c r="B1223" t="s">
        <v>4702</v>
      </c>
      <c r="C1223" s="9" t="str">
        <f>_xlfn.CONCAT(HEX2DEC(MID(Table14[[#This Row],[Color Code]], 1, 2))," , ",HEX2DEC(MID(Table14[[#This Row],[Color Code]], 3, 2))," , ",HEX2DEC(MID(Table14[[#This Row],[Color Code]], 5, 2)))</f>
        <v>236 , 234 , 220</v>
      </c>
      <c r="D12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98.193686151401806</v>
      </c>
      <c r="E1223" t="str">
        <f>Table14[[#This Row],[Color Code]] &amp; " - " &amp;Table14[[#This Row],[Color Name]]</f>
        <v>ECEADC - 8412</v>
      </c>
    </row>
    <row r="1224" spans="1:5" x14ac:dyDescent="0.35">
      <c r="A1224" s="17" t="s">
        <v>3164</v>
      </c>
      <c r="B1224" t="s">
        <v>5420</v>
      </c>
      <c r="C1224" s="9" t="str">
        <f>_xlfn.CONCAT(HEX2DEC(MID(Table14[[#This Row],[Color Code]], 1, 2))," , ",HEX2DEC(MID(Table14[[#This Row],[Color Code]], 3, 2))," , ",HEX2DEC(MID(Table14[[#This Row],[Color Code]], 5, 2)))</f>
        <v>172 , 160 , 60</v>
      </c>
      <c r="D12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98.2344135219425</v>
      </c>
      <c r="E1224" t="str">
        <f>Table14[[#This Row],[Color Code]] &amp; " - " &amp;Table14[[#This Row],[Color Name]]</f>
        <v>ACA03C - 9843</v>
      </c>
    </row>
    <row r="1225" spans="1:5" x14ac:dyDescent="0.35">
      <c r="A1225" s="17" t="s">
        <v>2525</v>
      </c>
      <c r="B1225" t="s">
        <v>4719</v>
      </c>
      <c r="C1225" s="9" t="str">
        <f>_xlfn.CONCAT(HEX2DEC(MID(Table14[[#This Row],[Color Code]], 1, 2))," , ",HEX2DEC(MID(Table14[[#This Row],[Color Code]], 3, 2))," , ",HEX2DEC(MID(Table14[[#This Row],[Color Code]], 5, 2)))</f>
        <v>232 , 238 , 219</v>
      </c>
      <c r="D12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98.310731865854805</v>
      </c>
      <c r="E1225" t="str">
        <f>Table14[[#This Row],[Color Code]] &amp; " - " &amp;Table14[[#This Row],[Color Name]]</f>
        <v>E8EEDB - 7660</v>
      </c>
    </row>
    <row r="1226" spans="1:5" x14ac:dyDescent="0.35">
      <c r="A1226" s="17" t="s">
        <v>3379</v>
      </c>
      <c r="B1226" t="s">
        <v>5638</v>
      </c>
      <c r="C1226" s="9" t="str">
        <f>_xlfn.CONCAT(HEX2DEC(MID(Table14[[#This Row],[Color Code]], 1, 2))," , ",HEX2DEC(MID(Table14[[#This Row],[Color Code]], 3, 2))," , ",HEX2DEC(MID(Table14[[#This Row],[Color Code]], 5, 2)))</f>
        <v>251 , 235 , 206</v>
      </c>
      <c r="D12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98.397154430400064</v>
      </c>
      <c r="E1226" t="str">
        <f>Table14[[#This Row],[Color Code]] &amp; " - " &amp;Table14[[#This Row],[Color Name]]</f>
        <v>FBEBCE - 7963</v>
      </c>
    </row>
    <row r="1227" spans="1:5" x14ac:dyDescent="0.35">
      <c r="A1227" s="17" t="s">
        <v>4212</v>
      </c>
      <c r="B1227" t="s">
        <v>6570</v>
      </c>
      <c r="C1227" s="9" t="str">
        <f>_xlfn.CONCAT(HEX2DEC(MID(Table14[[#This Row],[Color Code]], 1, 2))," , ",HEX2DEC(MID(Table14[[#This Row],[Color Code]], 3, 2))," , ",HEX2DEC(MID(Table14[[#This Row],[Color Code]], 5, 2)))</f>
        <v>144 , 103 , 108</v>
      </c>
      <c r="D12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98.473346647709704</v>
      </c>
      <c r="E1227" t="str">
        <f>Table14[[#This Row],[Color Code]] &amp; " - " &amp;Table14[[#This Row],[Color Name]]</f>
        <v>90676C - 8710</v>
      </c>
    </row>
    <row r="1228" spans="1:5" x14ac:dyDescent="0.35">
      <c r="A1228" s="17" t="s">
        <v>2596</v>
      </c>
      <c r="B1228" t="s">
        <v>4791</v>
      </c>
      <c r="C1228" s="9" t="str">
        <f>_xlfn.CONCAT(HEX2DEC(MID(Table14[[#This Row],[Color Code]], 1, 2))," , ",HEX2DEC(MID(Table14[[#This Row],[Color Code]], 3, 2))," , ",HEX2DEC(MID(Table14[[#This Row],[Color Code]], 5, 2)))</f>
        <v>238 , 224 , 227</v>
      </c>
      <c r="D12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98.493654617949886</v>
      </c>
      <c r="E1228" t="str">
        <f>Table14[[#This Row],[Color Code]] &amp; " - " &amp;Table14[[#This Row],[Color Name]]</f>
        <v>EEE0E3 - 8172</v>
      </c>
    </row>
    <row r="1229" spans="1:5" x14ac:dyDescent="0.35">
      <c r="A1229" s="17" t="s">
        <v>3439</v>
      </c>
      <c r="B1229" t="s">
        <v>5701</v>
      </c>
      <c r="C1229" s="9" t="str">
        <f>_xlfn.CONCAT(HEX2DEC(MID(Table14[[#This Row],[Color Code]], 1, 2))," , ",HEX2DEC(MID(Table14[[#This Row],[Color Code]], 3, 2))," , ",HEX2DEC(MID(Table14[[#This Row],[Color Code]], 5, 2)))</f>
        <v>200 , 121 , 73</v>
      </c>
      <c r="D12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98.508882848198013</v>
      </c>
      <c r="E1229" t="str">
        <f>Table14[[#This Row],[Color Code]] &amp; " - " &amp;Table14[[#This Row],[Color Name]]</f>
        <v>C87949 - 9941</v>
      </c>
    </row>
    <row r="1230" spans="1:5" x14ac:dyDescent="0.35">
      <c r="A1230" s="17" t="s">
        <v>3631</v>
      </c>
      <c r="B1230" t="s">
        <v>5901</v>
      </c>
      <c r="C1230" s="9" t="str">
        <f>_xlfn.CONCAT(HEX2DEC(MID(Table14[[#This Row],[Color Code]], 1, 2))," , ",HEX2DEC(MID(Table14[[#This Row],[Color Code]], 3, 2))," , ",HEX2DEC(MID(Table14[[#This Row],[Color Code]], 5, 2)))</f>
        <v>242 , 223 , 225</v>
      </c>
      <c r="D12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98.508882848198013</v>
      </c>
      <c r="E1230" t="str">
        <f>Table14[[#This Row],[Color Code]] &amp; " - " &amp;Table14[[#This Row],[Color Name]]</f>
        <v>F2DFE1 - K023</v>
      </c>
    </row>
    <row r="1231" spans="1:5" x14ac:dyDescent="0.35">
      <c r="A1231" s="17" t="s">
        <v>2564</v>
      </c>
      <c r="B1231" t="s">
        <v>4758</v>
      </c>
      <c r="C1231" s="9" t="str">
        <f>_xlfn.CONCAT(HEX2DEC(MID(Table14[[#This Row],[Color Code]], 1, 2))," , ",HEX2DEC(MID(Table14[[#This Row],[Color Code]], 3, 2))," , ",HEX2DEC(MID(Table14[[#This Row],[Color Code]], 5, 2)))</f>
        <v>222 , 234 , 228</v>
      </c>
      <c r="D12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98.539332248600104</v>
      </c>
      <c r="E1231" t="str">
        <f>Table14[[#This Row],[Color Code]] &amp; " - " &amp;Table14[[#This Row],[Color Name]]</f>
        <v>DEEAE4 - 7476</v>
      </c>
    </row>
    <row r="1232" spans="1:5" x14ac:dyDescent="0.35">
      <c r="A1232" s="17" t="s">
        <v>3477</v>
      </c>
      <c r="B1232" t="s">
        <v>5742</v>
      </c>
      <c r="C1232" s="9" t="str">
        <f>_xlfn.CONCAT(HEX2DEC(MID(Table14[[#This Row],[Color Code]], 1, 2))," , ",HEX2DEC(MID(Table14[[#This Row],[Color Code]], 3, 2))," , ",HEX2DEC(MID(Table14[[#This Row],[Color Code]], 5, 2)))</f>
        <v>161 , 104 , 94</v>
      </c>
      <c r="D12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98.605273692637752</v>
      </c>
      <c r="E1232" t="str">
        <f>Table14[[#This Row],[Color Code]] &amp; " - " &amp;Table14[[#This Row],[Color Name]]</f>
        <v>A1685E - 9955</v>
      </c>
    </row>
    <row r="1233" spans="1:5" x14ac:dyDescent="0.35">
      <c r="A1233" s="17" t="s">
        <v>2995</v>
      </c>
      <c r="B1233" t="s">
        <v>5239</v>
      </c>
      <c r="C1233" s="9" t="str">
        <f>_xlfn.CONCAT(HEX2DEC(MID(Table14[[#This Row],[Color Code]], 1, 2))," , ",HEX2DEC(MID(Table14[[#This Row],[Color Code]], 3, 2))," , ",HEX2DEC(MID(Table14[[#This Row],[Color Code]], 5, 2)))</f>
        <v>95 , 193 , 155</v>
      </c>
      <c r="D12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98.655967888415148</v>
      </c>
      <c r="E1233" t="str">
        <f>Table14[[#This Row],[Color Code]] &amp; " - " &amp;Table14[[#This Row],[Color Name]]</f>
        <v>5FC19B - 2357</v>
      </c>
    </row>
    <row r="1234" spans="1:5" x14ac:dyDescent="0.35">
      <c r="A1234" s="17" t="s">
        <v>2825</v>
      </c>
      <c r="B1234" t="s">
        <v>5041</v>
      </c>
      <c r="C1234" s="9" t="str">
        <f>_xlfn.CONCAT(HEX2DEC(MID(Table14[[#This Row],[Color Code]], 1, 2))," , ",HEX2DEC(MID(Table14[[#This Row],[Color Code]], 3, 2))," , ",HEX2DEC(MID(Table14[[#This Row],[Color Code]], 5, 2)))</f>
        <v>212 , 232 , 233</v>
      </c>
      <c r="D12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98.655967888415148</v>
      </c>
      <c r="E1234" t="str">
        <f>Table14[[#This Row],[Color Code]] &amp; " - " &amp;Table14[[#This Row],[Color Name]]</f>
        <v>D4E8E9 - 9211</v>
      </c>
    </row>
    <row r="1235" spans="1:5" x14ac:dyDescent="0.35">
      <c r="A1235" s="17" t="s">
        <v>3157</v>
      </c>
      <c r="B1235" t="s">
        <v>5413</v>
      </c>
      <c r="C1235" s="9" t="str">
        <f>_xlfn.CONCAT(HEX2DEC(MID(Table14[[#This Row],[Color Code]], 1, 2))," , ",HEX2DEC(MID(Table14[[#This Row],[Color Code]], 3, 2))," , ",HEX2DEC(MID(Table14[[#This Row],[Color Code]], 5, 2)))</f>
        <v>183 , 182 , 57</v>
      </c>
      <c r="D12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98.661035875364703</v>
      </c>
      <c r="E1235" t="str">
        <f>Table14[[#This Row],[Color Code]] &amp; " - " &amp;Table14[[#This Row],[Color Name]]</f>
        <v>B7B639 - 9837</v>
      </c>
    </row>
    <row r="1236" spans="1:5" x14ac:dyDescent="0.35">
      <c r="A1236" s="17" t="s">
        <v>4330</v>
      </c>
      <c r="B1236" t="s">
        <v>6702</v>
      </c>
      <c r="C1236" s="9" t="str">
        <f>_xlfn.CONCAT(HEX2DEC(MID(Table14[[#This Row],[Color Code]], 1, 2))," , ",HEX2DEC(MID(Table14[[#This Row],[Color Code]], 3, 2))," , ",HEX2DEC(MID(Table14[[#This Row],[Color Code]], 5, 2)))</f>
        <v>223 , 201 , 65</v>
      </c>
      <c r="D12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98.676238274470109</v>
      </c>
      <c r="E1236" t="str">
        <f>Table14[[#This Row],[Color Code]] &amp; " - " &amp;Table14[[#This Row],[Color Name]]</f>
        <v>DFC941 - X209</v>
      </c>
    </row>
    <row r="1237" spans="1:5" x14ac:dyDescent="0.35">
      <c r="A1237" s="17" t="s">
        <v>3011</v>
      </c>
      <c r="B1237" t="s">
        <v>5255</v>
      </c>
      <c r="C1237" s="9" t="str">
        <f>_xlfn.CONCAT(HEX2DEC(MID(Table14[[#This Row],[Color Code]], 1, 2))," , ",HEX2DEC(MID(Table14[[#This Row],[Color Code]], 3, 2))," , ",HEX2DEC(MID(Table14[[#This Row],[Color Code]], 5, 2)))</f>
        <v>111 , 141 , 110</v>
      </c>
      <c r="D12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98.701570402906967</v>
      </c>
      <c r="E1237" t="str">
        <f>Table14[[#This Row],[Color Code]] &amp; " - " &amp;Table14[[#This Row],[Color Name]]</f>
        <v>6F8D6E - 7622</v>
      </c>
    </row>
    <row r="1238" spans="1:5" x14ac:dyDescent="0.35">
      <c r="A1238" s="17" t="s">
        <v>2524</v>
      </c>
      <c r="B1238" t="s">
        <v>4718</v>
      </c>
      <c r="C1238" s="9" t="str">
        <f>_xlfn.CONCAT(HEX2DEC(MID(Table14[[#This Row],[Color Code]], 1, 2))," , ",HEX2DEC(MID(Table14[[#This Row],[Color Code]], 3, 2))," , ",HEX2DEC(MID(Table14[[#This Row],[Color Code]], 5, 2)))</f>
        <v>233 , 238 , 219</v>
      </c>
      <c r="D12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98.721831425475486</v>
      </c>
      <c r="E1238" t="str">
        <f>Table14[[#This Row],[Color Code]] &amp; " - " &amp;Table14[[#This Row],[Color Name]]</f>
        <v>E9EEDB - 7676</v>
      </c>
    </row>
    <row r="1239" spans="1:5" x14ac:dyDescent="0.35">
      <c r="A1239" s="17" t="s">
        <v>2470</v>
      </c>
      <c r="B1239" t="s">
        <v>4662</v>
      </c>
      <c r="C1239" s="9" t="str">
        <f>_xlfn.CONCAT(HEX2DEC(MID(Table14[[#This Row],[Color Code]], 1, 2))," , ",HEX2DEC(MID(Table14[[#This Row],[Color Code]], 3, 2))," , ",HEX2DEC(MID(Table14[[#This Row],[Color Code]], 5, 2)))</f>
        <v>240 , 234 , 218</v>
      </c>
      <c r="D12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98.762341001011109</v>
      </c>
      <c r="E1239" t="str">
        <f>Table14[[#This Row],[Color Code]] &amp; " - " &amp;Table14[[#This Row],[Color Name]]</f>
        <v>F0EADA - L134</v>
      </c>
    </row>
    <row r="1240" spans="1:5" x14ac:dyDescent="0.35">
      <c r="A1240" s="17" t="s">
        <v>2556</v>
      </c>
      <c r="B1240" t="s">
        <v>4750</v>
      </c>
      <c r="C1240" s="9" t="str">
        <f>_xlfn.CONCAT(HEX2DEC(MID(Table14[[#This Row],[Color Code]], 1, 2))," , ",HEX2DEC(MID(Table14[[#This Row],[Color Code]], 3, 2))," , ",HEX2DEC(MID(Table14[[#This Row],[Color Code]], 5, 2)))</f>
        <v>226 , 236 , 225</v>
      </c>
      <c r="D12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98.87871358386495</v>
      </c>
      <c r="E1240" t="str">
        <f>Table14[[#This Row],[Color Code]] &amp; " - " &amp;Table14[[#This Row],[Color Name]]</f>
        <v>E2ECE1 - L115</v>
      </c>
    </row>
    <row r="1241" spans="1:5" x14ac:dyDescent="0.35">
      <c r="A1241" s="17" t="s">
        <v>2425</v>
      </c>
      <c r="B1241" t="s">
        <v>4617</v>
      </c>
      <c r="C1241" s="9" t="str">
        <f>_xlfn.CONCAT(HEX2DEC(MID(Table14[[#This Row],[Color Code]], 1, 2))," , ",HEX2DEC(MID(Table14[[#This Row],[Color Code]], 3, 2))," , ",HEX2DEC(MID(Table14[[#This Row],[Color Code]], 5, 2)))</f>
        <v>234 , 231 , 225</v>
      </c>
      <c r="D12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98.994949366116657</v>
      </c>
      <c r="E1241" t="str">
        <f>Table14[[#This Row],[Color Code]] &amp; " - " &amp;Table14[[#This Row],[Color Name]]</f>
        <v>EAE7E1 - L164</v>
      </c>
    </row>
    <row r="1242" spans="1:5" x14ac:dyDescent="0.35">
      <c r="A1242" s="17" t="s">
        <v>2477</v>
      </c>
      <c r="B1242" t="s">
        <v>4670</v>
      </c>
      <c r="C1242" s="9" t="str">
        <f>_xlfn.CONCAT(HEX2DEC(MID(Table14[[#This Row],[Color Code]], 1, 2))," , ",HEX2DEC(MID(Table14[[#This Row],[Color Code]], 3, 2))," , ",HEX2DEC(MID(Table14[[#This Row],[Color Code]], 5, 2)))</f>
        <v>239 , 232 , 221</v>
      </c>
      <c r="D12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99.065634808444045</v>
      </c>
      <c r="E1242" t="str">
        <f>Table14[[#This Row],[Color Code]] &amp; " - " &amp;Table14[[#This Row],[Color Name]]</f>
        <v>EFE8DD - L179</v>
      </c>
    </row>
    <row r="1243" spans="1:5" x14ac:dyDescent="0.35">
      <c r="A1243" s="17" t="s">
        <v>3287</v>
      </c>
      <c r="B1243" t="s">
        <v>5546</v>
      </c>
      <c r="C1243" s="9" t="str">
        <f>_xlfn.CONCAT(HEX2DEC(MID(Table14[[#This Row],[Color Code]], 1, 2))," , ",HEX2DEC(MID(Table14[[#This Row],[Color Code]], 3, 2))," , ",HEX2DEC(MID(Table14[[#This Row],[Color Code]], 5, 2)))</f>
        <v>249 , 238 , 206</v>
      </c>
      <c r="D12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99.090867389482469</v>
      </c>
      <c r="E1243" t="str">
        <f>Table14[[#This Row],[Color Code]] &amp; " - " &amp;Table14[[#This Row],[Color Name]]</f>
        <v>F9EECE - 7883</v>
      </c>
    </row>
    <row r="1244" spans="1:5" x14ac:dyDescent="0.35">
      <c r="A1244" s="17" t="s">
        <v>3308</v>
      </c>
      <c r="B1244" t="s">
        <v>5567</v>
      </c>
      <c r="C1244" s="9" t="str">
        <f>_xlfn.CONCAT(HEX2DEC(MID(Table14[[#This Row],[Color Code]], 1, 2))," , ",HEX2DEC(MID(Table14[[#This Row],[Color Code]], 3, 2))," , ",HEX2DEC(MID(Table14[[#This Row],[Color Code]], 5, 2)))</f>
        <v>169 , 131 , 69</v>
      </c>
      <c r="D12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99.302567942626737</v>
      </c>
      <c r="E1244" t="str">
        <f>Table14[[#This Row],[Color Code]] &amp; " - " &amp;Table14[[#This Row],[Color Name]]</f>
        <v>A98345 - 7885</v>
      </c>
    </row>
    <row r="1245" spans="1:5" x14ac:dyDescent="0.35">
      <c r="A1245" s="17" t="s">
        <v>3341</v>
      </c>
      <c r="B1245" t="s">
        <v>5600</v>
      </c>
      <c r="C1245" s="9" t="str">
        <f>_xlfn.CONCAT(HEX2DEC(MID(Table14[[#This Row],[Color Code]], 1, 2))," , ",HEX2DEC(MID(Table14[[#This Row],[Color Code]], 3, 2))," , ",HEX2DEC(MID(Table14[[#This Row],[Color Code]], 5, 2)))</f>
        <v>211 , 153 , 60</v>
      </c>
      <c r="D12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99.347873656158342</v>
      </c>
      <c r="E1245" t="str">
        <f>Table14[[#This Row],[Color Code]] &amp; " - " &amp;Table14[[#This Row],[Color Name]]</f>
        <v>D3993C - 9890</v>
      </c>
    </row>
    <row r="1246" spans="1:5" x14ac:dyDescent="0.35">
      <c r="A1246" s="17" t="s">
        <v>3175</v>
      </c>
      <c r="B1246" t="s">
        <v>5433</v>
      </c>
      <c r="C1246" s="9" t="str">
        <f>_xlfn.CONCAT(HEX2DEC(MID(Table14[[#This Row],[Color Code]], 1, 2))," , ",HEX2DEC(MID(Table14[[#This Row],[Color Code]], 3, 2))," , ",HEX2DEC(MID(Table14[[#This Row],[Color Code]], 5, 2)))</f>
        <v>241 , 240 , 212</v>
      </c>
      <c r="D12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99.37303457175895</v>
      </c>
      <c r="E1246" t="str">
        <f>Table14[[#This Row],[Color Code]] &amp; " - " &amp;Table14[[#This Row],[Color Name]]</f>
        <v>F1F0D4 - 9364</v>
      </c>
    </row>
    <row r="1247" spans="1:5" x14ac:dyDescent="0.35">
      <c r="A1247" s="17" t="s">
        <v>2840</v>
      </c>
      <c r="B1247" t="s">
        <v>5057</v>
      </c>
      <c r="C1247" s="9" t="str">
        <f>_xlfn.CONCAT(HEX2DEC(MID(Table14[[#This Row],[Color Code]], 1, 2))," , ",HEX2DEC(MID(Table14[[#This Row],[Color Code]], 3, 2))," , ",HEX2DEC(MID(Table14[[#This Row],[Color Code]], 5, 2)))</f>
        <v>142 , 211 , 233</v>
      </c>
      <c r="D12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99.398189118313425</v>
      </c>
      <c r="E1247" t="str">
        <f>Table14[[#This Row],[Color Code]] &amp; " - " &amp;Table14[[#This Row],[Color Name]]</f>
        <v>8ED3E9 - 9678</v>
      </c>
    </row>
    <row r="1248" spans="1:5" x14ac:dyDescent="0.35">
      <c r="A1248" s="17" t="s">
        <v>2568</v>
      </c>
      <c r="B1248" t="s">
        <v>4762</v>
      </c>
      <c r="C1248" s="9" t="str">
        <f>_xlfn.CONCAT(HEX2DEC(MID(Table14[[#This Row],[Color Code]], 1, 2))," , ",HEX2DEC(MID(Table14[[#This Row],[Color Code]], 3, 2))," , ",HEX2DEC(MID(Table14[[#This Row],[Color Code]], 5, 2)))</f>
        <v>226 , 232 , 229</v>
      </c>
      <c r="D12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99.403219263764285</v>
      </c>
      <c r="E1248" t="str">
        <f>Table14[[#This Row],[Color Code]] &amp; " - " &amp;Table14[[#This Row],[Color Name]]</f>
        <v>E2E8E5 - 7300</v>
      </c>
    </row>
    <row r="1249" spans="1:5" x14ac:dyDescent="0.35">
      <c r="A1249" s="17" t="s">
        <v>3326</v>
      </c>
      <c r="B1249" t="s">
        <v>5585</v>
      </c>
      <c r="C1249" s="9" t="str">
        <f>_xlfn.CONCAT(HEX2DEC(MID(Table14[[#This Row],[Color Code]], 1, 2))," , ",HEX2DEC(MID(Table14[[#This Row],[Color Code]], 3, 2))," , ",HEX2DEC(MID(Table14[[#This Row],[Color Code]], 5, 2)))</f>
        <v>247 , 236 , 211</v>
      </c>
      <c r="D12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99.40824915468535</v>
      </c>
      <c r="E1249" t="str">
        <f>Table14[[#This Row],[Color Code]] &amp; " - " &amp;Table14[[#This Row],[Color Name]]</f>
        <v>F7ECD3 - 7924</v>
      </c>
    </row>
    <row r="1250" spans="1:5" x14ac:dyDescent="0.35">
      <c r="A1250" s="17" t="s">
        <v>2544</v>
      </c>
      <c r="B1250" t="s">
        <v>4738</v>
      </c>
      <c r="C1250" s="9" t="str">
        <f>_xlfn.CONCAT(HEX2DEC(MID(Table14[[#This Row],[Color Code]], 1, 2))," , ",HEX2DEC(MID(Table14[[#This Row],[Color Code]], 3, 2))," , ",HEX2DEC(MID(Table14[[#This Row],[Color Code]], 5, 2)))</f>
        <v>232 , 232 , 226</v>
      </c>
      <c r="D12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99.448479123614561</v>
      </c>
      <c r="E1250" t="str">
        <f>Table14[[#This Row],[Color Code]] &amp; " - " &amp;Table14[[#This Row],[Color Name]]</f>
        <v>E8E8E2 - L186</v>
      </c>
    </row>
    <row r="1251" spans="1:5" x14ac:dyDescent="0.35">
      <c r="A1251" s="17" t="s">
        <v>2828</v>
      </c>
      <c r="B1251" t="s">
        <v>5044</v>
      </c>
      <c r="C1251" s="9" t="str">
        <f>_xlfn.CONCAT(HEX2DEC(MID(Table14[[#This Row],[Color Code]], 1, 2))," , ",HEX2DEC(MID(Table14[[#This Row],[Color Code]], 3, 2))," , ",HEX2DEC(MID(Table14[[#This Row],[Color Code]], 5, 2)))</f>
        <v>123 , 203 , 221</v>
      </c>
      <c r="D12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99.503768772845987</v>
      </c>
      <c r="E1251" t="str">
        <f>Table14[[#This Row],[Color Code]] &amp; " - " &amp;Table14[[#This Row],[Color Name]]</f>
        <v>7BCBDD - 7409</v>
      </c>
    </row>
    <row r="1252" spans="1:5" x14ac:dyDescent="0.35">
      <c r="A1252" s="17" t="s">
        <v>2431</v>
      </c>
      <c r="B1252" t="s">
        <v>4623</v>
      </c>
      <c r="C1252" s="9" t="str">
        <f>_xlfn.CONCAT(HEX2DEC(MID(Table14[[#This Row],[Color Code]], 1, 2))," , ",HEX2DEC(MID(Table14[[#This Row],[Color Code]], 3, 2))," , ",HEX2DEC(MID(Table14[[#This Row],[Color Code]], 5, 2)))</f>
        <v>245 , 232 , 217</v>
      </c>
      <c r="D12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99.508793581270993</v>
      </c>
      <c r="E1252" t="str">
        <f>Table14[[#This Row],[Color Code]] &amp; " - " &amp;Table14[[#This Row],[Color Name]]</f>
        <v>F5E8D9 - 8020</v>
      </c>
    </row>
    <row r="1253" spans="1:5" x14ac:dyDescent="0.35">
      <c r="A1253" s="17" t="s">
        <v>4179</v>
      </c>
      <c r="B1253" t="s">
        <v>6534</v>
      </c>
      <c r="C1253" s="9" t="str">
        <f>_xlfn.CONCAT(HEX2DEC(MID(Table14[[#This Row],[Color Code]], 1, 2))," , ",HEX2DEC(MID(Table14[[#This Row],[Color Code]], 3, 2))," , ",HEX2DEC(MID(Table14[[#This Row],[Color Code]], 5, 2)))</f>
        <v>246 , 229 , 219</v>
      </c>
      <c r="D12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99.639349656649202</v>
      </c>
      <c r="E1253" t="str">
        <f>Table14[[#This Row],[Color Code]] &amp; " - " &amp;Table14[[#This Row],[Color Name]]</f>
        <v>F6E5DB - K256</v>
      </c>
    </row>
    <row r="1254" spans="1:5" x14ac:dyDescent="0.35">
      <c r="A1254" s="17" t="s">
        <v>2402</v>
      </c>
      <c r="B1254" t="s">
        <v>4594</v>
      </c>
      <c r="C1254" s="9" t="str">
        <f>_xlfn.CONCAT(HEX2DEC(MID(Table14[[#This Row],[Color Code]], 1, 2))," , ",HEX2DEC(MID(Table14[[#This Row],[Color Code]], 3, 2))," , ",HEX2DEC(MID(Table14[[#This Row],[Color Code]], 5, 2)))</f>
        <v>242 , 228 , 223</v>
      </c>
      <c r="D12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99.664436987322617</v>
      </c>
      <c r="E1254" t="str">
        <f>Table14[[#This Row],[Color Code]] &amp; " - " &amp;Table14[[#This Row],[Color Name]]</f>
        <v>F2E4DF - 8108</v>
      </c>
    </row>
    <row r="1255" spans="1:5" x14ac:dyDescent="0.35">
      <c r="A1255" s="17" t="s">
        <v>3239</v>
      </c>
      <c r="B1255" t="s">
        <v>5497</v>
      </c>
      <c r="C1255" s="9" t="str">
        <f>_xlfn.CONCAT(HEX2DEC(MID(Table14[[#This Row],[Color Code]], 1, 2))," , ",HEX2DEC(MID(Table14[[#This Row],[Color Code]], 3, 2))," , ",HEX2DEC(MID(Table14[[#This Row],[Color Code]], 5, 2)))</f>
        <v>242 , 237 , 215</v>
      </c>
      <c r="D12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99.719606898543276</v>
      </c>
      <c r="E1255" t="str">
        <f>Table14[[#This Row],[Color Code]] &amp; " - " &amp;Table14[[#This Row],[Color Name]]</f>
        <v>F2EDD7 - 7844</v>
      </c>
    </row>
    <row r="1256" spans="1:5" x14ac:dyDescent="0.35">
      <c r="A1256" s="17" t="s">
        <v>2514</v>
      </c>
      <c r="B1256" t="s">
        <v>4708</v>
      </c>
      <c r="C1256" s="9" t="str">
        <f>_xlfn.CONCAT(HEX2DEC(MID(Table14[[#This Row],[Color Code]], 1, 2))," , ",HEX2DEC(MID(Table14[[#This Row],[Color Code]], 3, 2))," , ",HEX2DEC(MID(Table14[[#This Row],[Color Code]], 5, 2)))</f>
        <v>238 , 234 , 221</v>
      </c>
      <c r="D12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99.76472322419383</v>
      </c>
      <c r="E1256" t="str">
        <f>Table14[[#This Row],[Color Code]] &amp; " - " &amp;Table14[[#This Row],[Color Name]]</f>
        <v>EEEADD - L177</v>
      </c>
    </row>
    <row r="1257" spans="1:5" x14ac:dyDescent="0.35">
      <c r="A1257" s="17" t="s">
        <v>3325</v>
      </c>
      <c r="B1257" t="s">
        <v>5584</v>
      </c>
      <c r="C1257" s="9" t="str">
        <f>_xlfn.CONCAT(HEX2DEC(MID(Table14[[#This Row],[Color Code]], 1, 2))," , ",HEX2DEC(MID(Table14[[#This Row],[Color Code]], 3, 2))," , ",HEX2DEC(MID(Table14[[#This Row],[Color Code]], 5, 2)))</f>
        <v>196 , 148 , 59</v>
      </c>
      <c r="D12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99.804809503350086</v>
      </c>
      <c r="E1257" t="str">
        <f>Table14[[#This Row],[Color Code]] &amp; " - " &amp;Table14[[#This Row],[Color Name]]</f>
        <v>C4943B - 9886</v>
      </c>
    </row>
    <row r="1258" spans="1:5" x14ac:dyDescent="0.35">
      <c r="A1258" s="17" t="s">
        <v>3115</v>
      </c>
      <c r="B1258" t="s">
        <v>5369</v>
      </c>
      <c r="C1258" s="9" t="str">
        <f>_xlfn.CONCAT(HEX2DEC(MID(Table14[[#This Row],[Color Code]], 1, 2))," , ",HEX2DEC(MID(Table14[[#This Row],[Color Code]], 3, 2))," , ",HEX2DEC(MID(Table14[[#This Row],[Color Code]], 5, 2)))</f>
        <v>237 , 241 , 215</v>
      </c>
      <c r="D12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99.904954832080278</v>
      </c>
      <c r="E1258" t="str">
        <f>Table14[[#This Row],[Color Code]] &amp; " - " &amp;Table14[[#This Row],[Color Name]]</f>
        <v>EDF1D7 - 9801</v>
      </c>
    </row>
    <row r="1259" spans="1:5" x14ac:dyDescent="0.35">
      <c r="A1259" s="17" t="s">
        <v>3505</v>
      </c>
      <c r="B1259" t="s">
        <v>5772</v>
      </c>
      <c r="C1259" s="9" t="str">
        <f>_xlfn.CONCAT(HEX2DEC(MID(Table14[[#This Row],[Color Code]], 1, 2))," , ",HEX2DEC(MID(Table14[[#This Row],[Color Code]], 3, 2))," , ",HEX2DEC(MID(Table14[[#This Row],[Color Code]], 5, 2)))</f>
        <v>171 , 102 , 90</v>
      </c>
      <c r="D12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99.974996874218505</v>
      </c>
      <c r="E1259" t="str">
        <f>Table14[[#This Row],[Color Code]] &amp; " - " &amp;Table14[[#This Row],[Color Name]]</f>
        <v>AB665A - 9972</v>
      </c>
    </row>
    <row r="1260" spans="1:5" x14ac:dyDescent="0.35">
      <c r="A1260" s="17" t="s">
        <v>3691</v>
      </c>
      <c r="B1260" t="s">
        <v>5971</v>
      </c>
      <c r="C1260" s="9" t="str">
        <f>_xlfn.CONCAT(HEX2DEC(MID(Table14[[#This Row],[Color Code]], 1, 2))," , ",HEX2DEC(MID(Table14[[#This Row],[Color Code]], 3, 2))," , ",HEX2DEC(MID(Table14[[#This Row],[Color Code]], 5, 2)))</f>
        <v>150 , 98 , 107</v>
      </c>
      <c r="D12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99.98499887483122</v>
      </c>
      <c r="E1260" t="str">
        <f>Table14[[#This Row],[Color Code]] &amp; " - " &amp;Table14[[#This Row],[Color Name]]</f>
        <v>96626B - K066</v>
      </c>
    </row>
    <row r="1261" spans="1:5" x14ac:dyDescent="0.35">
      <c r="A1261" s="17" t="s">
        <v>2484</v>
      </c>
      <c r="B1261" t="s">
        <v>4677</v>
      </c>
      <c r="C1261" s="9" t="str">
        <f>_xlfn.CONCAT(HEX2DEC(MID(Table14[[#This Row],[Color Code]], 1, 2))," , ",HEX2DEC(MID(Table14[[#This Row],[Color Code]], 3, 2))," , ",HEX2DEC(MID(Table14[[#This Row],[Color Code]], 5, 2)))</f>
        <v>240 , 234 , 220</v>
      </c>
      <c r="D12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100.0499875062461</v>
      </c>
      <c r="E1261" t="str">
        <f>Table14[[#This Row],[Color Code]] &amp; " - " &amp;Table14[[#This Row],[Color Name]]</f>
        <v>F0EADC - L149</v>
      </c>
    </row>
    <row r="1262" spans="1:5" x14ac:dyDescent="0.35">
      <c r="A1262" s="17" t="s">
        <v>4283</v>
      </c>
      <c r="B1262" t="s">
        <v>6654</v>
      </c>
      <c r="C1262" s="9" t="str">
        <f>_xlfn.CONCAT(HEX2DEC(MID(Table14[[#This Row],[Color Code]], 1, 2))," , ",HEX2DEC(MID(Table14[[#This Row],[Color Code]], 3, 2))," , ",HEX2DEC(MID(Table14[[#This Row],[Color Code]], 5, 2)))</f>
        <v>254 , 155 , 79</v>
      </c>
      <c r="D12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100.09995004993759</v>
      </c>
      <c r="E1262" t="str">
        <f>Table14[[#This Row],[Color Code]] &amp; " - " &amp;Table14[[#This Row],[Color Name]]</f>
        <v>FE9B4F - 7974</v>
      </c>
    </row>
    <row r="1263" spans="1:5" x14ac:dyDescent="0.35">
      <c r="A1263" s="17" t="s">
        <v>3349</v>
      </c>
      <c r="B1263" t="s">
        <v>5608</v>
      </c>
      <c r="C1263" s="9" t="str">
        <f>_xlfn.CONCAT(HEX2DEC(MID(Table14[[#This Row],[Color Code]], 1, 2))," , ",HEX2DEC(MID(Table14[[#This Row],[Color Code]], 3, 2))," , ",HEX2DEC(MID(Table14[[#This Row],[Color Code]], 5, 2)))</f>
        <v>210 , 149 , 60</v>
      </c>
      <c r="D12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100.12492197250393</v>
      </c>
      <c r="E1263" t="str">
        <f>Table14[[#This Row],[Color Code]] &amp; " - " &amp;Table14[[#This Row],[Color Name]]</f>
        <v>D2953C - 7925</v>
      </c>
    </row>
    <row r="1264" spans="1:5" x14ac:dyDescent="0.35">
      <c r="A1264" s="17" t="s">
        <v>3246</v>
      </c>
      <c r="B1264" t="s">
        <v>5504</v>
      </c>
      <c r="C1264" s="9" t="str">
        <f>_xlfn.CONCAT(HEX2DEC(MID(Table14[[#This Row],[Color Code]], 1, 2))," , ",HEX2DEC(MID(Table14[[#This Row],[Color Code]], 3, 2))," , ",HEX2DEC(MID(Table14[[#This Row],[Color Code]], 5, 2)))</f>
        <v>163 , 142 , 65</v>
      </c>
      <c r="D12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100.14988766843426</v>
      </c>
      <c r="E1264" t="str">
        <f>Table14[[#This Row],[Color Code]] &amp; " - " &amp;Table14[[#This Row],[Color Name]]</f>
        <v>A38E41 - 7837</v>
      </c>
    </row>
    <row r="1265" spans="1:5" x14ac:dyDescent="0.35">
      <c r="A1265" s="17" t="s">
        <v>2587</v>
      </c>
      <c r="B1265" t="s">
        <v>4781</v>
      </c>
      <c r="C1265" s="9" t="str">
        <f>_xlfn.CONCAT(HEX2DEC(MID(Table14[[#This Row],[Color Code]], 1, 2))," , ",HEX2DEC(MID(Table14[[#This Row],[Color Code]], 3, 2))," , ",HEX2DEC(MID(Table14[[#This Row],[Color Code]], 5, 2)))</f>
        <v>232 , 228 , 230</v>
      </c>
      <c r="D12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100.16985574512923</v>
      </c>
      <c r="E1265" t="str">
        <f>Table14[[#This Row],[Color Code]] &amp; " - " &amp;Table14[[#This Row],[Color Name]]</f>
        <v>E8E4E6 - 7164</v>
      </c>
    </row>
    <row r="1266" spans="1:5" x14ac:dyDescent="0.35">
      <c r="A1266" s="17" t="s">
        <v>2428</v>
      </c>
      <c r="B1266" t="s">
        <v>4620</v>
      </c>
      <c r="C1266" s="9" t="str">
        <f>_xlfn.CONCAT(HEX2DEC(MID(Table14[[#This Row],[Color Code]], 1, 2))," , ",HEX2DEC(MID(Table14[[#This Row],[Color Code]], 3, 2))," , ",HEX2DEC(MID(Table14[[#This Row],[Color Code]], 5, 2)))</f>
        <v>244 , 233 , 218</v>
      </c>
      <c r="D12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100.18482919085105</v>
      </c>
      <c r="E1266" t="str">
        <f>Table14[[#This Row],[Color Code]] &amp; " - " &amp;Table14[[#This Row],[Color Name]]</f>
        <v>F4E9DA - L138</v>
      </c>
    </row>
    <row r="1267" spans="1:5" x14ac:dyDescent="0.35">
      <c r="A1267" s="17" t="s">
        <v>2555</v>
      </c>
      <c r="B1267" t="s">
        <v>4749</v>
      </c>
      <c r="C1267" s="9" t="str">
        <f>_xlfn.CONCAT(HEX2DEC(MID(Table14[[#This Row],[Color Code]], 1, 2))," , ",HEX2DEC(MID(Table14[[#This Row],[Color Code]], 3, 2))," , ",HEX2DEC(MID(Table14[[#This Row],[Color Code]], 5, 2)))</f>
        <v>228 , 237 , 225</v>
      </c>
      <c r="D12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100.1998003990028</v>
      </c>
      <c r="E1267" t="str">
        <f>Table14[[#This Row],[Color Code]] &amp; " - " &amp;Table14[[#This Row],[Color Name]]</f>
        <v>E4EDE1 - 7572</v>
      </c>
    </row>
    <row r="1268" spans="1:5" x14ac:dyDescent="0.35">
      <c r="A1268" s="17" t="s">
        <v>3902</v>
      </c>
      <c r="B1268" t="s">
        <v>6227</v>
      </c>
      <c r="C1268" s="9" t="str">
        <f>_xlfn.CONCAT(HEX2DEC(MID(Table14[[#This Row],[Color Code]], 1, 2))," , ",HEX2DEC(MID(Table14[[#This Row],[Color Code]], 3, 2))," , ",HEX2DEC(MID(Table14[[#This Row],[Color Code]], 5, 2)))</f>
        <v>122 , 129 , 100</v>
      </c>
      <c r="D12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100.20479030465559</v>
      </c>
      <c r="E1268" t="str">
        <f>Table14[[#This Row],[Color Code]] &amp; " - " &amp;Table14[[#This Row],[Color Name]]</f>
        <v>7A8164 - 8414</v>
      </c>
    </row>
    <row r="1269" spans="1:5" x14ac:dyDescent="0.35">
      <c r="A1269" s="17" t="s">
        <v>2865</v>
      </c>
      <c r="B1269" t="s">
        <v>5084</v>
      </c>
      <c r="C1269" s="9" t="str">
        <f>_xlfn.CONCAT(HEX2DEC(MID(Table14[[#This Row],[Color Code]], 1, 2))," , ",HEX2DEC(MID(Table14[[#This Row],[Color Code]], 3, 2))," , ",HEX2DEC(MID(Table14[[#This Row],[Color Code]], 5, 2)))</f>
        <v>110 , 198 , 208</v>
      </c>
      <c r="D12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100.30952098380293</v>
      </c>
      <c r="E1269" t="str">
        <f>Table14[[#This Row],[Color Code]] &amp; " - " &amp;Table14[[#This Row],[Color Name]]</f>
        <v>6EC6D0 - 7440</v>
      </c>
    </row>
    <row r="1270" spans="1:5" x14ac:dyDescent="0.35">
      <c r="A1270" s="17" t="s">
        <v>3271</v>
      </c>
      <c r="B1270" t="s">
        <v>5530</v>
      </c>
      <c r="C1270" s="9" t="str">
        <f>_xlfn.CONCAT(HEX2DEC(MID(Table14[[#This Row],[Color Code]], 1, 2))," , ",HEX2DEC(MID(Table14[[#This Row],[Color Code]], 3, 2))," , ",HEX2DEC(MID(Table14[[#This Row],[Color Code]], 5, 2)))</f>
        <v>248 , 240 , 207</v>
      </c>
      <c r="D12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100.32447358446493</v>
      </c>
      <c r="E1270" t="str">
        <f>Table14[[#This Row],[Color Code]] &amp; " - " &amp;Table14[[#This Row],[Color Name]]</f>
        <v>F8F0CF - 7867</v>
      </c>
    </row>
    <row r="1271" spans="1:5" x14ac:dyDescent="0.35">
      <c r="A1271" s="17" t="s">
        <v>3613</v>
      </c>
      <c r="B1271" t="s">
        <v>5883</v>
      </c>
      <c r="C1271" s="9" t="str">
        <f>_xlfn.CONCAT(HEX2DEC(MID(Table14[[#This Row],[Color Code]], 1, 2))," , ",HEX2DEC(MID(Table14[[#This Row],[Color Code]], 3, 2))," , ",HEX2DEC(MID(Table14[[#This Row],[Color Code]], 5, 2)))</f>
        <v>159 , 90 , 113</v>
      </c>
      <c r="D12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100.38924245156949</v>
      </c>
      <c r="E1271" t="str">
        <f>Table14[[#This Row],[Color Code]] &amp; " - " &amp;Table14[[#This Row],[Color Name]]</f>
        <v>9F5A71 - K018</v>
      </c>
    </row>
    <row r="1272" spans="1:5" x14ac:dyDescent="0.35">
      <c r="A1272" s="17" t="s">
        <v>3130</v>
      </c>
      <c r="B1272" t="s">
        <v>5385</v>
      </c>
      <c r="C1272" s="9" t="str">
        <f>_xlfn.CONCAT(HEX2DEC(MID(Table14[[#This Row],[Color Code]], 1, 2))," , ",HEX2DEC(MID(Table14[[#This Row],[Color Code]], 3, 2))," , ",HEX2DEC(MID(Table14[[#This Row],[Color Code]], 5, 2)))</f>
        <v>239 , 243 , 212</v>
      </c>
      <c r="D12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100.40916292848975</v>
      </c>
      <c r="E1272" t="str">
        <f>Table14[[#This Row],[Color Code]] &amp; " - " &amp;Table14[[#This Row],[Color Name]]</f>
        <v>EFF3D4 - 9817</v>
      </c>
    </row>
    <row r="1273" spans="1:5" x14ac:dyDescent="0.35">
      <c r="A1273" s="17" t="s">
        <v>2414</v>
      </c>
      <c r="B1273" t="s">
        <v>4606</v>
      </c>
      <c r="C1273" s="9" t="str">
        <f>_xlfn.CONCAT(HEX2DEC(MID(Table14[[#This Row],[Color Code]], 1, 2))," , ",HEX2DEC(MID(Table14[[#This Row],[Color Code]], 3, 2))," , ",HEX2DEC(MID(Table14[[#This Row],[Color Code]], 5, 2)))</f>
        <v>244 , 230 , 221</v>
      </c>
      <c r="D12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100.42410069301094</v>
      </c>
      <c r="E1273" t="str">
        <f>Table14[[#This Row],[Color Code]] &amp; " - " &amp;Table14[[#This Row],[Color Name]]</f>
        <v>F4E6DD - 8676</v>
      </c>
    </row>
    <row r="1274" spans="1:5" x14ac:dyDescent="0.35">
      <c r="A1274" s="17" t="s">
        <v>4180</v>
      </c>
      <c r="B1274" t="s">
        <v>6535</v>
      </c>
      <c r="C1274" s="9" t="str">
        <f>_xlfn.CONCAT(HEX2DEC(MID(Table14[[#This Row],[Color Code]], 1, 2))," , ",HEX2DEC(MID(Table14[[#This Row],[Color Code]], 3, 2))," , ",HEX2DEC(MID(Table14[[#This Row],[Color Code]], 5, 2)))</f>
        <v>247 , 227 , 221</v>
      </c>
      <c r="D12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100.42410069301094</v>
      </c>
      <c r="E1274" t="str">
        <f>Table14[[#This Row],[Color Code]] &amp; " - " &amp;Table14[[#This Row],[Color Name]]</f>
        <v>F7E3DD - K257</v>
      </c>
    </row>
    <row r="1275" spans="1:5" x14ac:dyDescent="0.35">
      <c r="A1275" s="17" t="s">
        <v>2499</v>
      </c>
      <c r="B1275" t="s">
        <v>4693</v>
      </c>
      <c r="C1275" s="9" t="str">
        <f>_xlfn.CONCAT(HEX2DEC(MID(Table14[[#This Row],[Color Code]], 1, 2))," , ",HEX2DEC(MID(Table14[[#This Row],[Color Code]], 3, 2))," , ",HEX2DEC(MID(Table14[[#This Row],[Color Code]], 5, 2)))</f>
        <v>238 , 234 , 222</v>
      </c>
      <c r="D12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100.42907945411031</v>
      </c>
      <c r="E1275" t="str">
        <f>Table14[[#This Row],[Color Code]] &amp; " - " &amp;Table14[[#This Row],[Color Name]]</f>
        <v>EEEADE - 8484</v>
      </c>
    </row>
    <row r="1276" spans="1:5" x14ac:dyDescent="0.35">
      <c r="A1276" s="17" t="s">
        <v>4310</v>
      </c>
      <c r="B1276" t="s">
        <v>6681</v>
      </c>
      <c r="C1276" s="9" t="str">
        <f>_xlfn.CONCAT(HEX2DEC(MID(Table14[[#This Row],[Color Code]], 1, 2))," , ",HEX2DEC(MID(Table14[[#This Row],[Color Code]], 3, 2))," , ",HEX2DEC(MID(Table14[[#This Row],[Color Code]], 5, 2)))</f>
        <v>230 , 173 , 62</v>
      </c>
      <c r="D12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100.48382954485761</v>
      </c>
      <c r="E1276" t="str">
        <f>Table14[[#This Row],[Color Code]] &amp; " - " &amp;Table14[[#This Row],[Color Name]]</f>
        <v>E6AD3E - X217</v>
      </c>
    </row>
    <row r="1277" spans="1:5" x14ac:dyDescent="0.35">
      <c r="A1277" s="17" t="s">
        <v>3615</v>
      </c>
      <c r="B1277" t="s">
        <v>5885</v>
      </c>
      <c r="C1277" s="9" t="str">
        <f>_xlfn.CONCAT(HEX2DEC(MID(Table14[[#This Row],[Color Code]], 1, 2))," , ",HEX2DEC(MID(Table14[[#This Row],[Color Code]], 3, 2))," , ",HEX2DEC(MID(Table14[[#This Row],[Color Code]], 5, 2)))</f>
        <v>244 , 222 , 227</v>
      </c>
      <c r="D12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100.48382954485761</v>
      </c>
      <c r="E1277" t="str">
        <f>Table14[[#This Row],[Color Code]] &amp; " - " &amp;Table14[[#This Row],[Color Name]]</f>
        <v>F4DEE3 - 8131</v>
      </c>
    </row>
    <row r="1278" spans="1:5" x14ac:dyDescent="0.35">
      <c r="A1278" s="17" t="s">
        <v>3145</v>
      </c>
      <c r="B1278" t="s">
        <v>5401</v>
      </c>
      <c r="C1278" s="9" t="str">
        <f>_xlfn.CONCAT(HEX2DEC(MID(Table14[[#This Row],[Color Code]], 1, 2))," , ",HEX2DEC(MID(Table14[[#This Row],[Color Code]], 3, 2))," , ",HEX2DEC(MID(Table14[[#This Row],[Color Code]], 5, 2)))</f>
        <v>241 , 239 , 215</v>
      </c>
      <c r="D12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100.48382954485761</v>
      </c>
      <c r="E1278" t="str">
        <f>Table14[[#This Row],[Color Code]] &amp; " - " &amp;Table14[[#This Row],[Color Name]]</f>
        <v>F1EFD7 - 7748</v>
      </c>
    </row>
    <row r="1279" spans="1:5" x14ac:dyDescent="0.35">
      <c r="A1279" s="17" t="s">
        <v>2570</v>
      </c>
      <c r="B1279" t="s">
        <v>4764</v>
      </c>
      <c r="C1279" s="9" t="str">
        <f>_xlfn.CONCAT(HEX2DEC(MID(Table14[[#This Row],[Color Code]], 1, 2))," , ",HEX2DEC(MID(Table14[[#This Row],[Color Code]], 3, 2))," , ",HEX2DEC(MID(Table14[[#This Row],[Color Code]], 5, 2)))</f>
        <v>224 , 234 , 230</v>
      </c>
      <c r="D12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100.64790112068906</v>
      </c>
      <c r="E1279" t="str">
        <f>Table14[[#This Row],[Color Code]] &amp; " - " &amp;Table14[[#This Row],[Color Name]]</f>
        <v>E0EAE6 - 7348</v>
      </c>
    </row>
    <row r="1280" spans="1:5" x14ac:dyDescent="0.35">
      <c r="A1280" s="17" t="s">
        <v>2631</v>
      </c>
      <c r="B1280" t="s">
        <v>4831</v>
      </c>
      <c r="C1280" s="9" t="str">
        <f>_xlfn.CONCAT(HEX2DEC(MID(Table14[[#This Row],[Color Code]], 1, 2))," , ",HEX2DEC(MID(Table14[[#This Row],[Color Code]], 3, 2))," , ",HEX2DEC(MID(Table14[[#This Row],[Color Code]], 5, 2)))</f>
        <v>143 , 88 , 142</v>
      </c>
      <c r="D12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100.69260151570224</v>
      </c>
      <c r="E1280" t="str">
        <f>Table14[[#This Row],[Color Code]] &amp; " - " &amp;Table14[[#This Row],[Color Name]]</f>
        <v>8F588E - 9601</v>
      </c>
    </row>
    <row r="1281" spans="1:5" x14ac:dyDescent="0.35">
      <c r="A1281" s="17" t="s">
        <v>4191</v>
      </c>
      <c r="B1281" t="s">
        <v>6546</v>
      </c>
      <c r="C1281" s="9" t="str">
        <f>_xlfn.CONCAT(HEX2DEC(MID(Table14[[#This Row],[Color Code]], 1, 2))," , ",HEX2DEC(MID(Table14[[#This Row],[Color Code]], 3, 2))," , ",HEX2DEC(MID(Table14[[#This Row],[Color Code]], 5, 2)))</f>
        <v>140 , 104 , 106</v>
      </c>
      <c r="D12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100.72735477515529</v>
      </c>
      <c r="E1281" t="str">
        <f>Table14[[#This Row],[Color Code]] &amp; " - " &amp;Table14[[#This Row],[Color Name]]</f>
        <v>8C686A - 8694</v>
      </c>
    </row>
    <row r="1282" spans="1:5" x14ac:dyDescent="0.35">
      <c r="A1282" s="17" t="s">
        <v>2429</v>
      </c>
      <c r="B1282" t="s">
        <v>4621</v>
      </c>
      <c r="C1282" s="9" t="str">
        <f>_xlfn.CONCAT(HEX2DEC(MID(Table14[[#This Row],[Color Code]], 1, 2))," , ",HEX2DEC(MID(Table14[[#This Row],[Color Code]], 3, 2))," , ",HEX2DEC(MID(Table14[[#This Row],[Color Code]], 5, 2)))</f>
        <v>243 , 234 , 219</v>
      </c>
      <c r="D12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100.88607436113271</v>
      </c>
      <c r="E1282" t="str">
        <f>Table14[[#This Row],[Color Code]] &amp; " - " &amp;Table14[[#This Row],[Color Name]]</f>
        <v>F3EADB - L147</v>
      </c>
    </row>
    <row r="1283" spans="1:5" x14ac:dyDescent="0.35">
      <c r="A1283" s="17" t="s">
        <v>3155</v>
      </c>
      <c r="B1283" t="s">
        <v>5411</v>
      </c>
      <c r="C1283" s="9" t="str">
        <f>_xlfn.CONCAT(HEX2DEC(MID(Table14[[#This Row],[Color Code]], 1, 2))," , ",HEX2DEC(MID(Table14[[#This Row],[Color Code]], 3, 2))," , ",HEX2DEC(MID(Table14[[#This Row],[Color Code]], 5, 2)))</f>
        <v>200 , 205 , 59</v>
      </c>
      <c r="D12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100.89598604503551</v>
      </c>
      <c r="E1283" t="str">
        <f>Table14[[#This Row],[Color Code]] &amp; " - " &amp;Table14[[#This Row],[Color Name]]</f>
        <v>C8CD3B - 9835</v>
      </c>
    </row>
    <row r="1284" spans="1:5" x14ac:dyDescent="0.35">
      <c r="A1284" s="17" t="s">
        <v>2572</v>
      </c>
      <c r="B1284" t="s">
        <v>4766</v>
      </c>
      <c r="C1284" s="9" t="str">
        <f>_xlfn.CONCAT(HEX2DEC(MID(Table14[[#This Row],[Color Code]], 1, 2))," , ",HEX2DEC(MID(Table14[[#This Row],[Color Code]], 3, 2))," , ",HEX2DEC(MID(Table14[[#This Row],[Color Code]], 5, 2)))</f>
        <v>223 , 235 , 230</v>
      </c>
      <c r="D12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100.92571525632107</v>
      </c>
      <c r="E1284" t="str">
        <f>Table14[[#This Row],[Color Code]] &amp; " - " &amp;Table14[[#This Row],[Color Name]]</f>
        <v>DFEBE6 - 7412</v>
      </c>
    </row>
    <row r="1285" spans="1:5" x14ac:dyDescent="0.35">
      <c r="A1285" s="17" t="s">
        <v>3261</v>
      </c>
      <c r="B1285" t="s">
        <v>5520</v>
      </c>
      <c r="C1285" s="9" t="str">
        <f>_xlfn.CONCAT(HEX2DEC(MID(Table14[[#This Row],[Color Code]], 1, 2))," , ",HEX2DEC(MID(Table14[[#This Row],[Color Code]], 3, 2))," , ",HEX2DEC(MID(Table14[[#This Row],[Color Code]], 5, 2)))</f>
        <v>159 , 128 , 72</v>
      </c>
      <c r="D12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100.93066927351666</v>
      </c>
      <c r="E1285" t="str">
        <f>Table14[[#This Row],[Color Code]] &amp; " - " &amp;Table14[[#This Row],[Color Name]]</f>
        <v>9F8048 - 9872</v>
      </c>
    </row>
    <row r="1286" spans="1:5" x14ac:dyDescent="0.35">
      <c r="A1286" s="17" t="s">
        <v>3527</v>
      </c>
      <c r="B1286" t="s">
        <v>5795</v>
      </c>
      <c r="C1286" s="9" t="str">
        <f>_xlfn.CONCAT(HEX2DEC(MID(Table14[[#This Row],[Color Code]], 1, 2))," , ",HEX2DEC(MID(Table14[[#This Row],[Color Code]], 3, 2))," , ",HEX2DEC(MID(Table14[[#This Row],[Color Code]], 5, 2)))</f>
        <v>203 , 103 , 85</v>
      </c>
      <c r="D12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101.01980003939822</v>
      </c>
      <c r="E1286" t="str">
        <f>Table14[[#This Row],[Color Code]] &amp; " - " &amp;Table14[[#This Row],[Color Name]]</f>
        <v>CB6755 - 9988</v>
      </c>
    </row>
    <row r="1287" spans="1:5" x14ac:dyDescent="0.35">
      <c r="A1287" s="17" t="s">
        <v>2589</v>
      </c>
      <c r="B1287" t="s">
        <v>4783</v>
      </c>
      <c r="C1287" s="9" t="str">
        <f>_xlfn.CONCAT(HEX2DEC(MID(Table14[[#This Row],[Color Code]], 1, 2))," , ",HEX2DEC(MID(Table14[[#This Row],[Color Code]], 3, 2))," , ",HEX2DEC(MID(Table14[[#This Row],[Color Code]], 5, 2)))</f>
        <v>231 , 226 , 233</v>
      </c>
      <c r="D12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101.02474944289642</v>
      </c>
      <c r="E1287" t="str">
        <f>Table14[[#This Row],[Color Code]] &amp; " - " &amp;Table14[[#This Row],[Color Name]]</f>
        <v>E7E2E9 - L187</v>
      </c>
    </row>
    <row r="1288" spans="1:5" x14ac:dyDescent="0.35">
      <c r="A1288" s="17" t="s">
        <v>3894</v>
      </c>
      <c r="B1288" t="s">
        <v>6219</v>
      </c>
      <c r="C1288" s="9" t="str">
        <f>_xlfn.CONCAT(HEX2DEC(MID(Table14[[#This Row],[Color Code]], 1, 2))," , ",HEX2DEC(MID(Table14[[#This Row],[Color Code]], 3, 2))," , ",HEX2DEC(MID(Table14[[#This Row],[Color Code]], 5, 2)))</f>
        <v>122 , 125 , 102</v>
      </c>
      <c r="D12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101.03959619871806</v>
      </c>
      <c r="E1288" t="str">
        <f>Table14[[#This Row],[Color Code]] &amp; " - " &amp;Table14[[#This Row],[Color Name]]</f>
        <v>7A7D66 - 8406</v>
      </c>
    </row>
    <row r="1289" spans="1:5" x14ac:dyDescent="0.35">
      <c r="A1289" s="17" t="s">
        <v>3445</v>
      </c>
      <c r="B1289" t="s">
        <v>5709</v>
      </c>
      <c r="C1289" s="9" t="str">
        <f>_xlfn.CONCAT(HEX2DEC(MID(Table14[[#This Row],[Color Code]], 1, 2))," , ",HEX2DEC(MID(Table14[[#This Row],[Color Code]], 3, 2))," , ",HEX2DEC(MID(Table14[[#This Row],[Color Code]], 5, 2)))</f>
        <v>252 , 233 , 212</v>
      </c>
      <c r="D12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101.05938848023968</v>
      </c>
      <c r="E1289" t="str">
        <f>Table14[[#This Row],[Color Code]] &amp; " - " &amp;Table14[[#This Row],[Color Name]]</f>
        <v>FCE9D4 - 7995</v>
      </c>
    </row>
    <row r="1290" spans="1:5" x14ac:dyDescent="0.35">
      <c r="A1290" s="17" t="s">
        <v>3490</v>
      </c>
      <c r="B1290" t="s">
        <v>5757</v>
      </c>
      <c r="C1290" s="9" t="str">
        <f>_xlfn.CONCAT(HEX2DEC(MID(Table14[[#This Row],[Color Code]], 1, 2))," , ",HEX2DEC(MID(Table14[[#This Row],[Color Code]], 3, 2))," , ",HEX2DEC(MID(Table14[[#This Row],[Color Code]], 5, 2)))</f>
        <v>251 , 231 , 215</v>
      </c>
      <c r="D12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101.07917688624102</v>
      </c>
      <c r="E1290" t="str">
        <f>Table14[[#This Row],[Color Code]] &amp; " - " &amp;Table14[[#This Row],[Color Name]]</f>
        <v>FBE7D7 - 8027</v>
      </c>
    </row>
    <row r="1291" spans="1:5" x14ac:dyDescent="0.35">
      <c r="A1291" s="17" t="s">
        <v>3394</v>
      </c>
      <c r="B1291" t="s">
        <v>5653</v>
      </c>
      <c r="C1291" s="9" t="str">
        <f>_xlfn.CONCAT(HEX2DEC(MID(Table14[[#This Row],[Color Code]], 1, 2))," , ",HEX2DEC(MID(Table14[[#This Row],[Color Code]], 3, 2))," , ",HEX2DEC(MID(Table14[[#This Row],[Color Code]], 5, 2)))</f>
        <v>247 , 235 , 215</v>
      </c>
      <c r="D12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101.11874208078342</v>
      </c>
      <c r="E1291" t="str">
        <f>Table14[[#This Row],[Color Code]] &amp; " - " &amp;Table14[[#This Row],[Color Name]]</f>
        <v>F7EBD7 - 7980</v>
      </c>
    </row>
    <row r="1292" spans="1:5" x14ac:dyDescent="0.35">
      <c r="A1292" s="17" t="s">
        <v>4331</v>
      </c>
      <c r="B1292" t="s">
        <v>6703</v>
      </c>
      <c r="C1292" s="9" t="str">
        <f>_xlfn.CONCAT(HEX2DEC(MID(Table14[[#This Row],[Color Code]], 1, 2))," , ",HEX2DEC(MID(Table14[[#This Row],[Color Code]], 3, 2))," , ",HEX2DEC(MID(Table14[[#This Row],[Color Code]], 5, 2)))</f>
        <v>204 , 192 , 56</v>
      </c>
      <c r="D12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101.1632344283238</v>
      </c>
      <c r="E1292" t="str">
        <f>Table14[[#This Row],[Color Code]] &amp; " - " &amp;Table14[[#This Row],[Color Name]]</f>
        <v>CCC038 - X223</v>
      </c>
    </row>
    <row r="1293" spans="1:5" x14ac:dyDescent="0.35">
      <c r="A1293" s="17" t="s">
        <v>4492</v>
      </c>
      <c r="B1293" t="s">
        <v>5994</v>
      </c>
      <c r="C1293" s="9" t="str">
        <f>_xlfn.CONCAT(HEX2DEC(MID(Table14[[#This Row],[Color Code]], 1, 2))," , ",HEX2DEC(MID(Table14[[#This Row],[Color Code]], 3, 2))," , ",HEX2DEC(MID(Table14[[#This Row],[Color Code]], 5, 2)))</f>
        <v>118 , 116 , 119</v>
      </c>
      <c r="D12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101.25709851659784</v>
      </c>
      <c r="E1293" t="str">
        <f>Table14[[#This Row],[Color Code]] &amp; " - " &amp;Table14[[#This Row],[Color Name]]</f>
        <v>767477 - K080</v>
      </c>
    </row>
    <row r="1294" spans="1:5" x14ac:dyDescent="0.35">
      <c r="A1294" s="17" t="s">
        <v>2554</v>
      </c>
      <c r="B1294" t="s">
        <v>4748</v>
      </c>
      <c r="C1294" s="9" t="str">
        <f>_xlfn.CONCAT(HEX2DEC(MID(Table14[[#This Row],[Color Code]], 1, 2))," , ",HEX2DEC(MID(Table14[[#This Row],[Color Code]], 3, 2))," , ",HEX2DEC(MID(Table14[[#This Row],[Color Code]], 5, 2)))</f>
        <v>227 , 236 , 228</v>
      </c>
      <c r="D12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101.36567466356647</v>
      </c>
      <c r="E1294" t="str">
        <f>Table14[[#This Row],[Color Code]] &amp; " - " &amp;Table14[[#This Row],[Color Name]]</f>
        <v>E3ECE4 - 7492</v>
      </c>
    </row>
    <row r="1295" spans="1:5" x14ac:dyDescent="0.35">
      <c r="A1295" s="17" t="s">
        <v>3221</v>
      </c>
      <c r="B1295" t="s">
        <v>5479</v>
      </c>
      <c r="C1295" s="9" t="str">
        <f>_xlfn.CONCAT(HEX2DEC(MID(Table14[[#This Row],[Color Code]], 1, 2))," , ",HEX2DEC(MID(Table14[[#This Row],[Color Code]], 3, 2))," , ",HEX2DEC(MID(Table14[[#This Row],[Color Code]], 5, 2)))</f>
        <v>161 , 149 , 62</v>
      </c>
      <c r="D12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101.41991914806479</v>
      </c>
      <c r="E1295" t="str">
        <f>Table14[[#This Row],[Color Code]] &amp; " - " &amp;Table14[[#This Row],[Color Name]]</f>
        <v>A1953E - 7821</v>
      </c>
    </row>
    <row r="1296" spans="1:5" x14ac:dyDescent="0.35">
      <c r="A1296" s="17" t="s">
        <v>2585</v>
      </c>
      <c r="B1296" t="s">
        <v>4779</v>
      </c>
      <c r="C1296" s="9" t="str">
        <f>_xlfn.CONCAT(HEX2DEC(MID(Table14[[#This Row],[Color Code]], 1, 2))," , ",HEX2DEC(MID(Table14[[#This Row],[Color Code]], 3, 2))," , ",HEX2DEC(MID(Table14[[#This Row],[Color Code]], 5, 2)))</f>
        <v>236 , 230 , 228</v>
      </c>
      <c r="D12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101.43963722332607</v>
      </c>
      <c r="E1296" t="str">
        <f>Table14[[#This Row],[Color Code]] &amp; " - " &amp;Table14[[#This Row],[Color Name]]</f>
        <v>ECE6E4 - 7156</v>
      </c>
    </row>
    <row r="1297" spans="1:5" x14ac:dyDescent="0.35">
      <c r="A1297" s="17" t="s">
        <v>3916</v>
      </c>
      <c r="B1297" t="s">
        <v>6242</v>
      </c>
      <c r="C1297" s="9" t="str">
        <f>_xlfn.CONCAT(HEX2DEC(MID(Table14[[#This Row],[Color Code]], 1, 2))," , ",HEX2DEC(MID(Table14[[#This Row],[Color Code]], 3, 2))," , ",HEX2DEC(MID(Table14[[#This Row],[Color Code]], 5, 2)))</f>
        <v>123 , 118 , 107</v>
      </c>
      <c r="D12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101.55786527886454</v>
      </c>
      <c r="E1297" t="str">
        <f>Table14[[#This Row],[Color Code]] &amp; " - " &amp;Table14[[#This Row],[Color Name]]</f>
        <v>7B766B - 8431</v>
      </c>
    </row>
    <row r="1298" spans="1:5" x14ac:dyDescent="0.35">
      <c r="A1298" s="17" t="s">
        <v>4403</v>
      </c>
      <c r="B1298" t="s">
        <v>4822</v>
      </c>
      <c r="C1298" s="9" t="str">
        <f>_xlfn.CONCAT(HEX2DEC(MID(Table14[[#This Row],[Color Code]], 1, 2))," , ",HEX2DEC(MID(Table14[[#This Row],[Color Code]], 3, 2))," , ",HEX2DEC(MID(Table14[[#This Row],[Color Code]], 5, 2)))</f>
        <v>145 , 87 , 136</v>
      </c>
      <c r="D12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101.55786527886454</v>
      </c>
      <c r="E1298" t="str">
        <f>Table14[[#This Row],[Color Code]] &amp; " - " &amp;Table14[[#This Row],[Color Name]]</f>
        <v>915788 - 9598</v>
      </c>
    </row>
    <row r="1299" spans="1:5" x14ac:dyDescent="0.35">
      <c r="A1299" s="17" t="s">
        <v>2491</v>
      </c>
      <c r="B1299" t="s">
        <v>4684</v>
      </c>
      <c r="C1299" s="9" t="str">
        <f>_xlfn.CONCAT(HEX2DEC(MID(Table14[[#This Row],[Color Code]], 1, 2))," , ",HEX2DEC(MID(Table14[[#This Row],[Color Code]], 3, 2))," , ",HEX2DEC(MID(Table14[[#This Row],[Color Code]], 5, 2)))</f>
        <v>239 , 234 , 223</v>
      </c>
      <c r="D12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101.55786527886454</v>
      </c>
      <c r="E1299" t="str">
        <f>Table14[[#This Row],[Color Code]] &amp; " - " &amp;Table14[[#This Row],[Color Name]]</f>
        <v>EFEADF - 8444</v>
      </c>
    </row>
    <row r="1300" spans="1:5" x14ac:dyDescent="0.35">
      <c r="A1300" s="17" t="s">
        <v>2451</v>
      </c>
      <c r="B1300" t="s">
        <v>4643</v>
      </c>
      <c r="C1300" s="9" t="str">
        <f>_xlfn.CONCAT(HEX2DEC(MID(Table14[[#This Row],[Color Code]], 1, 2))," , ",HEX2DEC(MID(Table14[[#This Row],[Color Code]], 3, 2))," , ",HEX2DEC(MID(Table14[[#This Row],[Color Code]], 5, 2)))</f>
        <v>243 , 233 , 221</v>
      </c>
      <c r="D13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101.59232254457027</v>
      </c>
      <c r="E1300" t="str">
        <f>Table14[[#This Row],[Color Code]] &amp; " - " &amp;Table14[[#This Row],[Color Name]]</f>
        <v>F3E9DD - L141</v>
      </c>
    </row>
    <row r="1301" spans="1:5" x14ac:dyDescent="0.35">
      <c r="A1301" s="17" t="s">
        <v>3452</v>
      </c>
      <c r="B1301" t="s">
        <v>5717</v>
      </c>
      <c r="C1301" s="9" t="str">
        <f>_xlfn.CONCAT(HEX2DEC(MID(Table14[[#This Row],[Color Code]], 1, 2))," , ",HEX2DEC(MID(Table14[[#This Row],[Color Code]], 3, 2))," , ",HEX2DEC(MID(Table14[[#This Row],[Color Code]], 5, 2)))</f>
        <v>249 , 233 , 216</v>
      </c>
      <c r="D13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101.65628362280415</v>
      </c>
      <c r="E1301" t="str">
        <f>Table14[[#This Row],[Color Code]] &amp; " - " &amp;Table14[[#This Row],[Color Name]]</f>
        <v>F9E9D8 - 8003</v>
      </c>
    </row>
    <row r="1302" spans="1:5" x14ac:dyDescent="0.35">
      <c r="A1302" s="17" t="s">
        <v>3370</v>
      </c>
      <c r="B1302" t="s">
        <v>5629</v>
      </c>
      <c r="C1302" s="9" t="str">
        <f>_xlfn.CONCAT(HEX2DEC(MID(Table14[[#This Row],[Color Code]], 1, 2))," , ",HEX2DEC(MID(Table14[[#This Row],[Color Code]], 3, 2))," , ",HEX2DEC(MID(Table14[[#This Row],[Color Code]], 5, 2)))</f>
        <v>248 , 237 , 213</v>
      </c>
      <c r="D13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101.70545708072896</v>
      </c>
      <c r="E1302" t="str">
        <f>Table14[[#This Row],[Color Code]] &amp; " - " &amp;Table14[[#This Row],[Color Name]]</f>
        <v>F8EDD5 - 7956</v>
      </c>
    </row>
    <row r="1303" spans="1:5" x14ac:dyDescent="0.35">
      <c r="A1303" s="17" t="s">
        <v>3259</v>
      </c>
      <c r="B1303" t="s">
        <v>5518</v>
      </c>
      <c r="C1303" s="9" t="str">
        <f>_xlfn.CONCAT(HEX2DEC(MID(Table14[[#This Row],[Color Code]], 1, 2))," , ",HEX2DEC(MID(Table14[[#This Row],[Color Code]], 3, 2))," , ",HEX2DEC(MID(Table14[[#This Row],[Color Code]], 5, 2)))</f>
        <v>178 , 136 , 62</v>
      </c>
      <c r="D13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101.81355508968342</v>
      </c>
      <c r="E1303" t="str">
        <f>Table14[[#This Row],[Color Code]] &amp; " - " &amp;Table14[[#This Row],[Color Name]]</f>
        <v>B2883E - 9870</v>
      </c>
    </row>
    <row r="1304" spans="1:5" x14ac:dyDescent="0.35">
      <c r="A1304" s="17" t="s">
        <v>3085</v>
      </c>
      <c r="B1304" t="s">
        <v>5337</v>
      </c>
      <c r="C1304" s="9" t="str">
        <f>_xlfn.CONCAT(HEX2DEC(MID(Table14[[#This Row],[Color Code]], 1, 2))," , ",HEX2DEC(MID(Table14[[#This Row],[Color Code]], 3, 2))," , ",HEX2DEC(MID(Table14[[#This Row],[Color Code]], 5, 2)))</f>
        <v>240 , 239 , 218</v>
      </c>
      <c r="D13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101.82828683622247</v>
      </c>
      <c r="E1304" t="str">
        <f>Table14[[#This Row],[Color Code]] &amp; " - " &amp;Table14[[#This Row],[Color Name]]</f>
        <v>F0EFDA - 7716</v>
      </c>
    </row>
    <row r="1305" spans="1:5" x14ac:dyDescent="0.35">
      <c r="A1305" s="17" t="s">
        <v>4513</v>
      </c>
      <c r="B1305" t="s">
        <v>6112</v>
      </c>
      <c r="C1305" s="9" t="str">
        <f>_xlfn.CONCAT(HEX2DEC(MID(Table14[[#This Row],[Color Code]], 1, 2))," , ",HEX2DEC(MID(Table14[[#This Row],[Color Code]], 3, 2))," , ",HEX2DEC(MID(Table14[[#This Row],[Color Code]], 5, 2)))</f>
        <v>121 , 116 , 112</v>
      </c>
      <c r="D13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101.83810681665287</v>
      </c>
      <c r="E1305" t="str">
        <f>Table14[[#This Row],[Color Code]] &amp; " - " &amp;Table14[[#This Row],[Color Name]]</f>
        <v>797470 - K118</v>
      </c>
    </row>
    <row r="1306" spans="1:5" x14ac:dyDescent="0.35">
      <c r="A1306" s="17" t="s">
        <v>3318</v>
      </c>
      <c r="B1306" t="s">
        <v>5577</v>
      </c>
      <c r="C1306" s="9" t="str">
        <f>_xlfn.CONCAT(HEX2DEC(MID(Table14[[#This Row],[Color Code]], 1, 2))," , ",HEX2DEC(MID(Table14[[#This Row],[Color Code]], 3, 2))," , ",HEX2DEC(MID(Table14[[#This Row],[Color Code]], 5, 2)))</f>
        <v>245 , 238 , 215</v>
      </c>
      <c r="D13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101.87246929372037</v>
      </c>
      <c r="E1306" t="str">
        <f>Table14[[#This Row],[Color Code]] &amp; " - " &amp;Table14[[#This Row],[Color Name]]</f>
        <v>F5EED7 - 7908</v>
      </c>
    </row>
    <row r="1307" spans="1:5" x14ac:dyDescent="0.35">
      <c r="A1307" s="17" t="s">
        <v>3488</v>
      </c>
      <c r="B1307" t="s">
        <v>5755</v>
      </c>
      <c r="C1307" s="9" t="str">
        <f>_xlfn.CONCAT(HEX2DEC(MID(Table14[[#This Row],[Color Code]], 1, 2))," , ",HEX2DEC(MID(Table14[[#This Row],[Color Code]], 3, 2))," , ",HEX2DEC(MID(Table14[[#This Row],[Color Code]], 5, 2)))</f>
        <v>194 , 101 , 85</v>
      </c>
      <c r="D13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101.88228501560023</v>
      </c>
      <c r="E1307" t="str">
        <f>Table14[[#This Row],[Color Code]] &amp; " - " &amp;Table14[[#This Row],[Color Name]]</f>
        <v>C26555 - 9968</v>
      </c>
    </row>
    <row r="1308" spans="1:5" x14ac:dyDescent="0.35">
      <c r="A1308" s="17" t="s">
        <v>2406</v>
      </c>
      <c r="B1308" t="s">
        <v>4598</v>
      </c>
      <c r="C1308" s="9" t="str">
        <f>_xlfn.CONCAT(HEX2DEC(MID(Table14[[#This Row],[Color Code]], 1, 2))," , ",HEX2DEC(MID(Table14[[#This Row],[Color Code]], 3, 2))," , ",HEX2DEC(MID(Table14[[#This Row],[Color Code]], 5, 2)))</f>
        <v>247 , 226 , 224</v>
      </c>
      <c r="D13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101.9166325974323</v>
      </c>
      <c r="E1308" t="str">
        <f>Table14[[#This Row],[Color Code]] &amp; " - " &amp;Table14[[#This Row],[Color Name]]</f>
        <v>F7E2E0 - 8092</v>
      </c>
    </row>
    <row r="1309" spans="1:5" x14ac:dyDescent="0.35">
      <c r="A1309" s="17" t="s">
        <v>3407</v>
      </c>
      <c r="B1309" t="s">
        <v>5666</v>
      </c>
      <c r="C1309" s="9" t="str">
        <f>_xlfn.CONCAT(HEX2DEC(MID(Table14[[#This Row],[Color Code]], 1, 2))," , ",HEX2DEC(MID(Table14[[#This Row],[Color Code]], 3, 2))," , ",HEX2DEC(MID(Table14[[#This Row],[Color Code]], 5, 2)))</f>
        <v>215 , 129 , 67</v>
      </c>
      <c r="D13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101.92644406629714</v>
      </c>
      <c r="E1309" t="str">
        <f>Table14[[#This Row],[Color Code]] &amp; " - " &amp;Table14[[#This Row],[Color Name]]</f>
        <v>D78143 - 7981</v>
      </c>
    </row>
    <row r="1310" spans="1:5" x14ac:dyDescent="0.35">
      <c r="A1310" s="17" t="s">
        <v>2417</v>
      </c>
      <c r="B1310" t="s">
        <v>4609</v>
      </c>
      <c r="C1310" s="9" t="str">
        <f>_xlfn.CONCAT(HEX2DEC(MID(Table14[[#This Row],[Color Code]], 1, 2))," , ",HEX2DEC(MID(Table14[[#This Row],[Color Code]], 3, 2))," , ",HEX2DEC(MID(Table14[[#This Row],[Color Code]], 5, 2)))</f>
        <v>236 , 231 , 228</v>
      </c>
      <c r="D13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101.98529305738157</v>
      </c>
      <c r="E1310" t="str">
        <f>Table14[[#This Row],[Color Code]] &amp; " - " &amp;Table14[[#This Row],[Color Name]]</f>
        <v>ECE7E4 - 7148</v>
      </c>
    </row>
    <row r="1311" spans="1:5" x14ac:dyDescent="0.35">
      <c r="A1311" s="17" t="s">
        <v>3298</v>
      </c>
      <c r="B1311" t="s">
        <v>5557</v>
      </c>
      <c r="C1311" s="9" t="str">
        <f>_xlfn.CONCAT(HEX2DEC(MID(Table14[[#This Row],[Color Code]], 1, 2))," , ",HEX2DEC(MID(Table14[[#This Row],[Color Code]], 3, 2))," , ",HEX2DEC(MID(Table14[[#This Row],[Color Code]], 5, 2)))</f>
        <v>168 , 124 , 70</v>
      </c>
      <c r="D13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101.99019560722492</v>
      </c>
      <c r="E1311" t="str">
        <f>Table14[[#This Row],[Color Code]] &amp; " - " &amp;Table14[[#This Row],[Color Name]]</f>
        <v>A87C46 - 9881</v>
      </c>
    </row>
    <row r="1312" spans="1:5" x14ac:dyDescent="0.35">
      <c r="A1312" s="17" t="s">
        <v>4503</v>
      </c>
      <c r="B1312" t="s">
        <v>6091</v>
      </c>
      <c r="C1312" s="9" t="str">
        <f>_xlfn.CONCAT(HEX2DEC(MID(Table14[[#This Row],[Color Code]], 1, 2))," , ",HEX2DEC(MID(Table14[[#This Row],[Color Code]], 3, 2))," , ",HEX2DEC(MID(Table14[[#This Row],[Color Code]], 5, 2)))</f>
        <v>115 , 118 , 120</v>
      </c>
      <c r="D13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101.99509792141973</v>
      </c>
      <c r="E1312" t="str">
        <f>Table14[[#This Row],[Color Code]] &amp; " - " &amp;Table14[[#This Row],[Color Name]]</f>
        <v>737678 - K107</v>
      </c>
    </row>
    <row r="1313" spans="1:5" x14ac:dyDescent="0.35">
      <c r="A1313" s="17" t="s">
        <v>2562</v>
      </c>
      <c r="B1313" t="s">
        <v>4756</v>
      </c>
      <c r="C1313" s="9" t="str">
        <f>_xlfn.CONCAT(HEX2DEC(MID(Table14[[#This Row],[Color Code]], 1, 2))," , ",HEX2DEC(MID(Table14[[#This Row],[Color Code]], 3, 2))," , ",HEX2DEC(MID(Table14[[#This Row],[Color Code]], 5, 2)))</f>
        <v>226 , 234 , 231</v>
      </c>
      <c r="D13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102.04410811016969</v>
      </c>
      <c r="E1313" t="str">
        <f>Table14[[#This Row],[Color Code]] &amp; " - " &amp;Table14[[#This Row],[Color Name]]</f>
        <v>E2EAE7 - 7332</v>
      </c>
    </row>
    <row r="1314" spans="1:5" x14ac:dyDescent="0.35">
      <c r="A1314" s="17" t="s">
        <v>4096</v>
      </c>
      <c r="B1314" t="s">
        <v>6443</v>
      </c>
      <c r="C1314" s="9" t="str">
        <f>_xlfn.CONCAT(HEX2DEC(MID(Table14[[#This Row],[Color Code]], 1, 2))," , ",HEX2DEC(MID(Table14[[#This Row],[Color Code]], 3, 2))," , ",HEX2DEC(MID(Table14[[#This Row],[Color Code]], 5, 2)))</f>
        <v>167 , 105 , 85</v>
      </c>
      <c r="D13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102.10288928331069</v>
      </c>
      <c r="E1314" t="str">
        <f>Table14[[#This Row],[Color Code]] &amp; " - " &amp;Table14[[#This Row],[Color Name]]</f>
        <v>A76955 - 4234</v>
      </c>
    </row>
    <row r="1315" spans="1:5" x14ac:dyDescent="0.35">
      <c r="A1315" s="17" t="s">
        <v>3142</v>
      </c>
      <c r="B1315" t="s">
        <v>5398</v>
      </c>
      <c r="C1315" s="9" t="str">
        <f>_xlfn.CONCAT(HEX2DEC(MID(Table14[[#This Row],[Color Code]], 1, 2))," , ",HEX2DEC(MID(Table14[[#This Row],[Color Code]], 3, 2))," , ",HEX2DEC(MID(Table14[[#This Row],[Color Code]], 5, 2)))</f>
        <v>159 , 164 , 59</v>
      </c>
      <c r="D13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102.10778618695051</v>
      </c>
      <c r="E1315" t="str">
        <f>Table14[[#This Row],[Color Code]] &amp; " - " &amp;Table14[[#This Row],[Color Name]]</f>
        <v>9FA43B - 9829</v>
      </c>
    </row>
    <row r="1316" spans="1:5" x14ac:dyDescent="0.35">
      <c r="A1316" s="17" t="s">
        <v>2474</v>
      </c>
      <c r="B1316" t="s">
        <v>4666</v>
      </c>
      <c r="C1316" s="9" t="str">
        <f>_xlfn.CONCAT(HEX2DEC(MID(Table14[[#This Row],[Color Code]], 1, 2))," , ",HEX2DEC(MID(Table14[[#This Row],[Color Code]], 3, 2))," , ",HEX2DEC(MID(Table14[[#This Row],[Color Code]], 5, 2)))</f>
        <v>240 , 233 , 224</v>
      </c>
      <c r="D13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102.12247548899312</v>
      </c>
      <c r="E1316" t="str">
        <f>Table14[[#This Row],[Color Code]] &amp; " - " &amp;Table14[[#This Row],[Color Name]]</f>
        <v>F0E9E0 - L183</v>
      </c>
    </row>
    <row r="1317" spans="1:5" x14ac:dyDescent="0.35">
      <c r="A1317" s="17" t="s">
        <v>2573</v>
      </c>
      <c r="B1317" t="s">
        <v>4767</v>
      </c>
      <c r="C1317" s="9" t="str">
        <f>_xlfn.CONCAT(HEX2DEC(MID(Table14[[#This Row],[Color Code]], 1, 2))," , ",HEX2DEC(MID(Table14[[#This Row],[Color Code]], 3, 2))," , ",HEX2DEC(MID(Table14[[#This Row],[Color Code]], 5, 2)))</f>
        <v>223 , 237 , 230</v>
      </c>
      <c r="D13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102.12737145349429</v>
      </c>
      <c r="E1317" t="str">
        <f>Table14[[#This Row],[Color Code]] &amp; " - " &amp;Table14[[#This Row],[Color Name]]</f>
        <v>DFEDE6 - L114</v>
      </c>
    </row>
    <row r="1318" spans="1:5" x14ac:dyDescent="0.35">
      <c r="A1318" s="17" t="s">
        <v>4071</v>
      </c>
      <c r="B1318" t="s">
        <v>6416</v>
      </c>
      <c r="C1318" s="9" t="str">
        <f>_xlfn.CONCAT(HEX2DEC(MID(Table14[[#This Row],[Color Code]], 1, 2))," , ",HEX2DEC(MID(Table14[[#This Row],[Color Code]], 3, 2))," , ",HEX2DEC(MID(Table14[[#This Row],[Color Code]], 5, 2)))</f>
        <v>142 , 114 , 90</v>
      </c>
      <c r="D13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102.20567498920987</v>
      </c>
      <c r="E1318" t="str">
        <f>Table14[[#This Row],[Color Code]] &amp; " - " &amp;Table14[[#This Row],[Color Name]]</f>
        <v>8E725A - 9526</v>
      </c>
    </row>
    <row r="1319" spans="1:5" x14ac:dyDescent="0.35">
      <c r="A1319" s="17" t="s">
        <v>3386</v>
      </c>
      <c r="B1319" t="s">
        <v>5645</v>
      </c>
      <c r="C1319" s="9" t="str">
        <f>_xlfn.CONCAT(HEX2DEC(MID(Table14[[#This Row],[Color Code]], 1, 2))," , ",HEX2DEC(MID(Table14[[#This Row],[Color Code]], 3, 2))," , ",HEX2DEC(MID(Table14[[#This Row],[Color Code]], 5, 2)))</f>
        <v>250 , 236 , 213</v>
      </c>
      <c r="D13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102.22035022440492</v>
      </c>
      <c r="E1319" t="str">
        <f>Table14[[#This Row],[Color Code]] &amp; " - " &amp;Table14[[#This Row],[Color Name]]</f>
        <v>FAECD5 - 7971</v>
      </c>
    </row>
    <row r="1320" spans="1:5" x14ac:dyDescent="0.35">
      <c r="A1320" s="17" t="s">
        <v>2407</v>
      </c>
      <c r="B1320" t="s">
        <v>4599</v>
      </c>
      <c r="C1320" s="9" t="str">
        <f>_xlfn.CONCAT(HEX2DEC(MID(Table14[[#This Row],[Color Code]], 1, 2))," , ",HEX2DEC(MID(Table14[[#This Row],[Color Code]], 3, 2))," , ",HEX2DEC(MID(Table14[[#This Row],[Color Code]], 5, 2)))</f>
        <v>245 , 226 , 226</v>
      </c>
      <c r="D13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102.23013254417701</v>
      </c>
      <c r="E1320" t="str">
        <f>Table14[[#This Row],[Color Code]] &amp; " - " &amp;Table14[[#This Row],[Color Name]]</f>
        <v>F5E2E2 - 8124</v>
      </c>
    </row>
    <row r="1321" spans="1:5" x14ac:dyDescent="0.35">
      <c r="A1321" s="17" t="s">
        <v>2533</v>
      </c>
      <c r="B1321" t="s">
        <v>4727</v>
      </c>
      <c r="C1321" s="9" t="str">
        <f>_xlfn.CONCAT(HEX2DEC(MID(Table14[[#This Row],[Color Code]], 1, 2))," , ",HEX2DEC(MID(Table14[[#This Row],[Color Code]], 3, 2))," , ",HEX2DEC(MID(Table14[[#This Row],[Color Code]], 5, 2)))</f>
        <v>232 , 238 , 225</v>
      </c>
      <c r="D13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102.31813133555558</v>
      </c>
      <c r="E1321" t="str">
        <f>Table14[[#This Row],[Color Code]] &amp; " - " &amp;Table14[[#This Row],[Color Name]]</f>
        <v>E8EEE1 - L117</v>
      </c>
    </row>
    <row r="1322" spans="1:5" x14ac:dyDescent="0.35">
      <c r="A1322" s="17" t="s">
        <v>2719</v>
      </c>
      <c r="B1322" t="s">
        <v>4927</v>
      </c>
      <c r="C1322" s="9" t="str">
        <f>_xlfn.CONCAT(HEX2DEC(MID(Table14[[#This Row],[Color Code]], 1, 2))," , ",HEX2DEC(MID(Table14[[#This Row],[Color Code]], 3, 2))," , ",HEX2DEC(MID(Table14[[#This Row],[Color Code]], 5, 2)))</f>
        <v>106 , 127 , 183</v>
      </c>
      <c r="D13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102.39140588936164</v>
      </c>
      <c r="E1322" t="str">
        <f>Table14[[#This Row],[Color Code]] &amp; " - " &amp;Table14[[#This Row],[Color Name]]</f>
        <v>6A7FB7 - 7214</v>
      </c>
    </row>
    <row r="1323" spans="1:5" x14ac:dyDescent="0.35">
      <c r="A1323" s="17" t="s">
        <v>2790</v>
      </c>
      <c r="B1323" t="s">
        <v>5005</v>
      </c>
      <c r="C1323" s="9" t="str">
        <f>_xlfn.CONCAT(HEX2DEC(MID(Table14[[#This Row],[Color Code]], 1, 2))," , ",HEX2DEC(MID(Table14[[#This Row],[Color Code]], 3, 2))," , ",HEX2DEC(MID(Table14[[#This Row],[Color Code]], 5, 2)))</f>
        <v>97 , 159 , 190</v>
      </c>
      <c r="D13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102.49878048055011</v>
      </c>
      <c r="E1323" t="str">
        <f>Table14[[#This Row],[Color Code]] &amp; " - " &amp;Table14[[#This Row],[Color Name]]</f>
        <v>619FBE - 7343</v>
      </c>
    </row>
    <row r="1324" spans="1:5" x14ac:dyDescent="0.35">
      <c r="A1324" s="17" t="s">
        <v>2498</v>
      </c>
      <c r="B1324" t="s">
        <v>4692</v>
      </c>
      <c r="C1324" s="9" t="str">
        <f>_xlfn.CONCAT(HEX2DEC(MID(Table14[[#This Row],[Color Code]], 1, 2))," , ",HEX2DEC(MID(Table14[[#This Row],[Color Code]], 3, 2))," , ",HEX2DEC(MID(Table14[[#This Row],[Color Code]], 5, 2)))</f>
        <v>240 , 236 , 222</v>
      </c>
      <c r="D13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102.53779790886871</v>
      </c>
      <c r="E1324" t="str">
        <f>Table14[[#This Row],[Color Code]] &amp; " - " &amp;Table14[[#This Row],[Color Name]]</f>
        <v>F0ECDE - L153</v>
      </c>
    </row>
    <row r="1325" spans="1:5" x14ac:dyDescent="0.35">
      <c r="A1325" s="17" t="s">
        <v>2442</v>
      </c>
      <c r="B1325" t="s">
        <v>4634</v>
      </c>
      <c r="C1325" s="9" t="str">
        <f>_xlfn.CONCAT(HEX2DEC(MID(Table14[[#This Row],[Color Code]], 1, 2))," , ",HEX2DEC(MID(Table14[[#This Row],[Color Code]], 3, 2))," , ",HEX2DEC(MID(Table14[[#This Row],[Color Code]], 5, 2)))</f>
        <v>244 , 238 , 217</v>
      </c>
      <c r="D13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102.55242561733974</v>
      </c>
      <c r="E1325" t="str">
        <f>Table14[[#This Row],[Color Code]] &amp; " - " &amp;Table14[[#This Row],[Color Name]]</f>
        <v>F4EED9 - 7860</v>
      </c>
    </row>
    <row r="1326" spans="1:5" x14ac:dyDescent="0.35">
      <c r="A1326" s="17" t="s">
        <v>2433</v>
      </c>
      <c r="B1326" t="s">
        <v>4625</v>
      </c>
      <c r="C1326" s="9" t="str">
        <f>_xlfn.CONCAT(HEX2DEC(MID(Table14[[#This Row],[Color Code]], 1, 2))," , ",HEX2DEC(MID(Table14[[#This Row],[Color Code]], 3, 2))," , ",HEX2DEC(MID(Table14[[#This Row],[Color Code]], 5, 2)))</f>
        <v>238 , 233 , 226</v>
      </c>
      <c r="D13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102.57192598367256</v>
      </c>
      <c r="E1326" t="str">
        <f>Table14[[#This Row],[Color Code]] &amp; " - " &amp;Table14[[#This Row],[Color Name]]</f>
        <v>EEE9E2 - L107</v>
      </c>
    </row>
    <row r="1327" spans="1:5" x14ac:dyDescent="0.35">
      <c r="A1327" s="17" t="s">
        <v>4411</v>
      </c>
      <c r="B1327" t="s">
        <v>4863</v>
      </c>
      <c r="C1327" s="9" t="str">
        <f>_xlfn.CONCAT(HEX2DEC(MID(Table14[[#This Row],[Color Code]], 1, 2))," , ",HEX2DEC(MID(Table14[[#This Row],[Color Code]], 3, 2))," , ",HEX2DEC(MID(Table14[[#This Row],[Color Code]], 5, 2)))</f>
        <v>117 , 110 , 129</v>
      </c>
      <c r="D13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102.59629622944485</v>
      </c>
      <c r="E1327" t="str">
        <f>Table14[[#This Row],[Color Code]] &amp; " - " &amp;Table14[[#This Row],[Color Name]]</f>
        <v>756E81 - 7142</v>
      </c>
    </row>
    <row r="1328" spans="1:5" x14ac:dyDescent="0.35">
      <c r="A1328" s="17" t="s">
        <v>3174</v>
      </c>
      <c r="B1328" t="s">
        <v>5432</v>
      </c>
      <c r="C1328" s="9" t="str">
        <f>_xlfn.CONCAT(HEX2DEC(MID(Table14[[#This Row],[Color Code]], 1, 2))," , ",HEX2DEC(MID(Table14[[#This Row],[Color Code]], 3, 2))," , ",HEX2DEC(MID(Table14[[#This Row],[Color Code]], 5, 2)))</f>
        <v>160 , 158 , 59</v>
      </c>
      <c r="D13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102.61091559868278</v>
      </c>
      <c r="E1328" t="str">
        <f>Table14[[#This Row],[Color Code]] &amp; " - " &amp;Table14[[#This Row],[Color Name]]</f>
        <v>A09E3B - 7765</v>
      </c>
    </row>
    <row r="1329" spans="1:5" x14ac:dyDescent="0.35">
      <c r="A1329" s="17" t="s">
        <v>2505</v>
      </c>
      <c r="B1329" t="s">
        <v>4699</v>
      </c>
      <c r="C1329" s="9" t="str">
        <f>_xlfn.CONCAT(HEX2DEC(MID(Table14[[#This Row],[Color Code]], 1, 2))," , ",HEX2DEC(MID(Table14[[#This Row],[Color Code]], 3, 2))," , ",HEX2DEC(MID(Table14[[#This Row],[Color Code]], 5, 2)))</f>
        <v>243 , 238 , 218</v>
      </c>
      <c r="D13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102.65963179361204</v>
      </c>
      <c r="E1329" t="str">
        <f>Table14[[#This Row],[Color Code]] &amp; " - " &amp;Table14[[#This Row],[Color Name]]</f>
        <v>F3EEDA - 7836</v>
      </c>
    </row>
    <row r="1330" spans="1:5" x14ac:dyDescent="0.35">
      <c r="A1330" s="17" t="s">
        <v>3179</v>
      </c>
      <c r="B1330" t="s">
        <v>5437</v>
      </c>
      <c r="C1330" s="9" t="str">
        <f>_xlfn.CONCAT(HEX2DEC(MID(Table14[[#This Row],[Color Code]], 1, 2))," , ",HEX2DEC(MID(Table14[[#This Row],[Color Code]], 3, 2))," , ",HEX2DEC(MID(Table14[[#This Row],[Color Code]], 5, 2)))</f>
        <v>185 , 165 , 53</v>
      </c>
      <c r="D13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102.7277956543408</v>
      </c>
      <c r="E1330" t="str">
        <f>Table14[[#This Row],[Color Code]] &amp; " - " &amp;Table14[[#This Row],[Color Name]]</f>
        <v>B9A535 - 9850</v>
      </c>
    </row>
    <row r="1331" spans="1:5" x14ac:dyDescent="0.35">
      <c r="A1331" s="17" t="s">
        <v>2563</v>
      </c>
      <c r="B1331" t="s">
        <v>4757</v>
      </c>
      <c r="C1331" s="9" t="str">
        <f>_xlfn.CONCAT(HEX2DEC(MID(Table14[[#This Row],[Color Code]], 1, 2))," , ",HEX2DEC(MID(Table14[[#This Row],[Color Code]], 3, 2))," , ",HEX2DEC(MID(Table14[[#This Row],[Color Code]], 5, 2)))</f>
        <v>225 , 237 , 230</v>
      </c>
      <c r="D13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102.75212893171606</v>
      </c>
      <c r="E1331" t="str">
        <f>Table14[[#This Row],[Color Code]] &amp; " - " &amp;Table14[[#This Row],[Color Name]]</f>
        <v>E1EDE6 - 7444</v>
      </c>
    </row>
    <row r="1332" spans="1:5" x14ac:dyDescent="0.35">
      <c r="A1332" s="17" t="s">
        <v>4104</v>
      </c>
      <c r="B1332" t="s">
        <v>6451</v>
      </c>
      <c r="C1332" s="9" t="str">
        <f>_xlfn.CONCAT(HEX2DEC(MID(Table14[[#This Row],[Color Code]], 1, 2))," , ",HEX2DEC(MID(Table14[[#This Row],[Color Code]], 3, 2))," , ",HEX2DEC(MID(Table14[[#This Row],[Color Code]], 5, 2)))</f>
        <v>164 , 104 , 86</v>
      </c>
      <c r="D13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102.88828893513586</v>
      </c>
      <c r="E1332" t="str">
        <f>Table14[[#This Row],[Color Code]] &amp; " - " &amp;Table14[[#This Row],[Color Name]]</f>
        <v>A46856 - 0533</v>
      </c>
    </row>
    <row r="1333" spans="1:5" x14ac:dyDescent="0.35">
      <c r="A1333" s="17" t="s">
        <v>3327</v>
      </c>
      <c r="B1333" t="s">
        <v>5586</v>
      </c>
      <c r="C1333" s="9" t="str">
        <f>_xlfn.CONCAT(HEX2DEC(MID(Table14[[#This Row],[Color Code]], 1, 2))," , ",HEX2DEC(MID(Table14[[#This Row],[Color Code]], 3, 2))," , ",HEX2DEC(MID(Table14[[#This Row],[Color Code]], 5, 2)))</f>
        <v>250 , 239 , 211</v>
      </c>
      <c r="D13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102.93687385966217</v>
      </c>
      <c r="E1333" t="str">
        <f>Table14[[#This Row],[Color Code]] &amp; " - " &amp;Table14[[#This Row],[Color Name]]</f>
        <v>FAEFD3 - 7915</v>
      </c>
    </row>
    <row r="1334" spans="1:5" x14ac:dyDescent="0.35">
      <c r="A1334" s="17" t="s">
        <v>2546</v>
      </c>
      <c r="B1334" t="s">
        <v>4740</v>
      </c>
      <c r="C1334" s="9" t="str">
        <f>_xlfn.CONCAT(HEX2DEC(MID(Table14[[#This Row],[Color Code]], 1, 2))," , ",HEX2DEC(MID(Table14[[#This Row],[Color Code]], 3, 2))," , ",HEX2DEC(MID(Table14[[#This Row],[Color Code]], 5, 2)))</f>
        <v>231 , 235 , 229</v>
      </c>
      <c r="D13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102.94173109094289</v>
      </c>
      <c r="E1334" t="str">
        <f>Table14[[#This Row],[Color Code]] &amp; " - " &amp;Table14[[#This Row],[Color Name]]</f>
        <v>E7EBE5 - 7420</v>
      </c>
    </row>
    <row r="1335" spans="1:5" x14ac:dyDescent="0.35">
      <c r="A1335" s="17" t="s">
        <v>4321</v>
      </c>
      <c r="B1335" t="s">
        <v>6692</v>
      </c>
      <c r="C1335" s="9" t="str">
        <f>_xlfn.CONCAT(HEX2DEC(MID(Table14[[#This Row],[Color Code]], 1, 2))," , ",HEX2DEC(MID(Table14[[#This Row],[Color Code]], 3, 2))," , ",HEX2DEC(MID(Table14[[#This Row],[Color Code]], 5, 2)))</f>
        <v>203 , 158 , 54</v>
      </c>
      <c r="D13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103.00970828033637</v>
      </c>
      <c r="E1335" t="str">
        <f>Table14[[#This Row],[Color Code]] &amp; " - " &amp;Table14[[#This Row],[Color Name]]</f>
        <v>CB9E36 - X213</v>
      </c>
    </row>
    <row r="1336" spans="1:5" x14ac:dyDescent="0.35">
      <c r="A1336" s="17" t="s">
        <v>3180</v>
      </c>
      <c r="B1336" t="s">
        <v>5438</v>
      </c>
      <c r="C1336" s="9" t="str">
        <f>_xlfn.CONCAT(HEX2DEC(MID(Table14[[#This Row],[Color Code]], 1, 2))," , ",HEX2DEC(MID(Table14[[#This Row],[Color Code]], 3, 2))," , ",HEX2DEC(MID(Table14[[#This Row],[Color Code]], 5, 2)))</f>
        <v>189 , 173 , 52</v>
      </c>
      <c r="D13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103.06308747558458</v>
      </c>
      <c r="E1336" t="str">
        <f>Table14[[#This Row],[Color Code]] &amp; " - " &amp;Table14[[#This Row],[Color Name]]</f>
        <v>BDAD34 - 9851</v>
      </c>
    </row>
    <row r="1337" spans="1:5" x14ac:dyDescent="0.35">
      <c r="A1337" s="17" t="s">
        <v>2586</v>
      </c>
      <c r="B1337" t="s">
        <v>4780</v>
      </c>
      <c r="C1337" s="9" t="str">
        <f>_xlfn.CONCAT(HEX2DEC(MID(Table14[[#This Row],[Color Code]], 1, 2))," , ",HEX2DEC(MID(Table14[[#This Row],[Color Code]], 3, 2))," , ",HEX2DEC(MID(Table14[[#This Row],[Color Code]], 5, 2)))</f>
        <v>233 , 230 , 232</v>
      </c>
      <c r="D13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103.12613635737547</v>
      </c>
      <c r="E1337" t="str">
        <f>Table14[[#This Row],[Color Code]] &amp; " - " &amp;Table14[[#This Row],[Color Name]]</f>
        <v>E9E6E8 - 7172</v>
      </c>
    </row>
    <row r="1338" spans="1:5" x14ac:dyDescent="0.35">
      <c r="A1338" s="17" t="s">
        <v>2418</v>
      </c>
      <c r="B1338" t="s">
        <v>4610</v>
      </c>
      <c r="C1338" s="9" t="str">
        <f>_xlfn.CONCAT(HEX2DEC(MID(Table14[[#This Row],[Color Code]], 1, 2))," , ",HEX2DEC(MID(Table14[[#This Row],[Color Code]], 3, 2))," , ",HEX2DEC(MID(Table14[[#This Row],[Color Code]], 5, 2)))</f>
        <v>239 , 232 , 227</v>
      </c>
      <c r="D13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103.16006979447037</v>
      </c>
      <c r="E1338" t="str">
        <f>Table14[[#This Row],[Color Code]] &amp; " - " &amp;Table14[[#This Row],[Color Name]]</f>
        <v>EFE8E3 - 8204</v>
      </c>
    </row>
    <row r="1339" spans="1:5" x14ac:dyDescent="0.35">
      <c r="A1339" s="17" t="s">
        <v>3003</v>
      </c>
      <c r="B1339" t="s">
        <v>5247</v>
      </c>
      <c r="C1339" s="9" t="str">
        <f>_xlfn.CONCAT(HEX2DEC(MID(Table14[[#This Row],[Color Code]], 1, 2))," , ",HEX2DEC(MID(Table14[[#This Row],[Color Code]], 3, 2))," , ",HEX2DEC(MID(Table14[[#This Row],[Color Code]], 5, 2)))</f>
        <v>102 , 143 , 116</v>
      </c>
      <c r="D13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103.1746092796091</v>
      </c>
      <c r="E1339" t="str">
        <f>Table14[[#This Row],[Color Code]] &amp; " - " &amp;Table14[[#This Row],[Color Name]]</f>
        <v>668F74 - 7582</v>
      </c>
    </row>
    <row r="1340" spans="1:5" x14ac:dyDescent="0.35">
      <c r="A1340" s="17" t="s">
        <v>3635</v>
      </c>
      <c r="B1340" t="s">
        <v>5905</v>
      </c>
      <c r="C1340" s="9" t="str">
        <f>_xlfn.CONCAT(HEX2DEC(MID(Table14[[#This Row],[Color Code]], 1, 2))," , ",HEX2DEC(MID(Table14[[#This Row],[Color Code]], 3, 2))," , ",HEX2DEC(MID(Table14[[#This Row],[Color Code]], 5, 2)))</f>
        <v>141 , 98 , 109</v>
      </c>
      <c r="D13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103.17945531936094</v>
      </c>
      <c r="E1340" t="str">
        <f>Table14[[#This Row],[Color Code]] &amp; " - " &amp;Table14[[#This Row],[Color Name]]</f>
        <v>8D626D - K027</v>
      </c>
    </row>
    <row r="1341" spans="1:5" x14ac:dyDescent="0.35">
      <c r="A1341" s="17" t="s">
        <v>3133</v>
      </c>
      <c r="B1341" t="s">
        <v>5388</v>
      </c>
      <c r="C1341" s="9" t="str">
        <f>_xlfn.CONCAT(HEX2DEC(MID(Table14[[#This Row],[Color Code]], 1, 2))," , ",HEX2DEC(MID(Table14[[#This Row],[Color Code]], 3, 2))," , ",HEX2DEC(MID(Table14[[#This Row],[Color Code]], 5, 2)))</f>
        <v>170 , 188 , 55</v>
      </c>
      <c r="D13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103.21337122679407</v>
      </c>
      <c r="E1341" t="str">
        <f>Table14[[#This Row],[Color Code]] &amp; " - " &amp;Table14[[#This Row],[Color Name]]</f>
        <v>AABC37 - 9820</v>
      </c>
    </row>
    <row r="1342" spans="1:5" x14ac:dyDescent="0.35">
      <c r="A1342" s="17" t="s">
        <v>2656</v>
      </c>
      <c r="B1342" t="s">
        <v>4861</v>
      </c>
      <c r="C1342" s="9" t="str">
        <f>_xlfn.CONCAT(HEX2DEC(MID(Table14[[#This Row],[Color Code]], 1, 2))," , ",HEX2DEC(MID(Table14[[#This Row],[Color Code]], 3, 2))," , ",HEX2DEC(MID(Table14[[#This Row],[Color Code]], 5, 2)))</f>
        <v>116 , 111 , 127</v>
      </c>
      <c r="D13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103.22790320451152</v>
      </c>
      <c r="E1342" t="str">
        <f>Table14[[#This Row],[Color Code]] &amp; " - " &amp;Table14[[#This Row],[Color Name]]</f>
        <v>746F7F - 9624</v>
      </c>
    </row>
    <row r="1343" spans="1:5" x14ac:dyDescent="0.35">
      <c r="A1343" s="17" t="s">
        <v>2539</v>
      </c>
      <c r="B1343" t="s">
        <v>4733</v>
      </c>
      <c r="C1343" s="9" t="str">
        <f>_xlfn.CONCAT(HEX2DEC(MID(Table14[[#This Row],[Color Code]], 1, 2))," , ",HEX2DEC(MID(Table14[[#This Row],[Color Code]], 3, 2))," , ",HEX2DEC(MID(Table14[[#This Row],[Color Code]], 5, 2)))</f>
        <v>231 , 239 , 226</v>
      </c>
      <c r="D13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103.23759005323593</v>
      </c>
      <c r="E1343" t="str">
        <f>Table14[[#This Row],[Color Code]] &amp; " - " &amp;Table14[[#This Row],[Color Name]]</f>
        <v>E7EFE2 - L116</v>
      </c>
    </row>
    <row r="1344" spans="1:5" x14ac:dyDescent="0.35">
      <c r="A1344" s="17" t="s">
        <v>2405</v>
      </c>
      <c r="B1344" t="s">
        <v>4597</v>
      </c>
      <c r="C1344" s="9" t="str">
        <f>_xlfn.CONCAT(HEX2DEC(MID(Table14[[#This Row],[Color Code]], 1, 2))," , ",HEX2DEC(MID(Table14[[#This Row],[Color Code]], 3, 2))," , ",HEX2DEC(MID(Table14[[#This Row],[Color Code]], 5, 2)))</f>
        <v>247 , 226 , 226</v>
      </c>
      <c r="D13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103.2811696293182</v>
      </c>
      <c r="E1344" t="str">
        <f>Table14[[#This Row],[Color Code]] &amp; " - " &amp;Table14[[#This Row],[Color Name]]</f>
        <v>F7E2E2 - 8099</v>
      </c>
    </row>
    <row r="1345" spans="1:5" x14ac:dyDescent="0.35">
      <c r="A1345" s="17" t="s">
        <v>3392</v>
      </c>
      <c r="B1345" t="s">
        <v>5651</v>
      </c>
      <c r="C1345" s="9" t="str">
        <f>_xlfn.CONCAT(HEX2DEC(MID(Table14[[#This Row],[Color Code]], 1, 2))," , ",HEX2DEC(MID(Table14[[#This Row],[Color Code]], 3, 2))," , ",HEX2DEC(MID(Table14[[#This Row],[Color Code]], 5, 2)))</f>
        <v>201 , 125 , 65</v>
      </c>
      <c r="D13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103.34892355511015</v>
      </c>
      <c r="E1345" t="str">
        <f>Table14[[#This Row],[Color Code]] &amp; " - " &amp;Table14[[#This Row],[Color Name]]</f>
        <v>C97D41 - 7965</v>
      </c>
    </row>
    <row r="1346" spans="1:5" x14ac:dyDescent="0.35">
      <c r="A1346" s="17" t="s">
        <v>3159</v>
      </c>
      <c r="B1346" t="s">
        <v>5415</v>
      </c>
      <c r="C1346" s="9" t="str">
        <f>_xlfn.CONCAT(HEX2DEC(MID(Table14[[#This Row],[Color Code]], 1, 2))," , ",HEX2DEC(MID(Table14[[#This Row],[Color Code]], 3, 2))," , ",HEX2DEC(MID(Table14[[#This Row],[Color Code]], 5, 2)))</f>
        <v>159 , 151 , 60</v>
      </c>
      <c r="D13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103.39245620450265</v>
      </c>
      <c r="E1346" t="str">
        <f>Table14[[#This Row],[Color Code]] &amp; " - " &amp;Table14[[#This Row],[Color Name]]</f>
        <v>9F973C - 9839</v>
      </c>
    </row>
    <row r="1347" spans="1:5" x14ac:dyDescent="0.35">
      <c r="A1347" s="17" t="s">
        <v>2530</v>
      </c>
      <c r="B1347" t="s">
        <v>4724</v>
      </c>
      <c r="C1347" s="9" t="str">
        <f>_xlfn.CONCAT(HEX2DEC(MID(Table14[[#This Row],[Color Code]], 1, 2))," , ",HEX2DEC(MID(Table14[[#This Row],[Color Code]], 3, 2))," , ",HEX2DEC(MID(Table14[[#This Row],[Color Code]], 5, 2)))</f>
        <v>234 , 235 , 228</v>
      </c>
      <c r="D13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103.40696301506973</v>
      </c>
      <c r="E1347" t="str">
        <f>Table14[[#This Row],[Color Code]] &amp; " - " &amp;Table14[[#This Row],[Color Name]]</f>
        <v>EAEBE4 - L108</v>
      </c>
    </row>
    <row r="1348" spans="1:5" x14ac:dyDescent="0.35">
      <c r="A1348" s="17" t="s">
        <v>2594</v>
      </c>
      <c r="B1348" t="s">
        <v>4789</v>
      </c>
      <c r="C1348" s="9" t="str">
        <f>_xlfn.CONCAT(HEX2DEC(MID(Table14[[#This Row],[Color Code]], 1, 2))," , ",HEX2DEC(MID(Table14[[#This Row],[Color Code]], 3, 2))," , ",HEX2DEC(MID(Table14[[#This Row],[Color Code]], 5, 2)))</f>
        <v>240 , 229 , 229</v>
      </c>
      <c r="D13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103.42146779078317</v>
      </c>
      <c r="E1348" t="str">
        <f>Table14[[#This Row],[Color Code]] &amp; " - " &amp;Table14[[#This Row],[Color Name]]</f>
        <v>F0E5E5 - 9108</v>
      </c>
    </row>
    <row r="1349" spans="1:5" x14ac:dyDescent="0.35">
      <c r="A1349" s="17" t="s">
        <v>2522</v>
      </c>
      <c r="B1349" t="s">
        <v>4716</v>
      </c>
      <c r="C1349" s="9" t="str">
        <f>_xlfn.CONCAT(HEX2DEC(MID(Table14[[#This Row],[Color Code]], 1, 2))," , ",HEX2DEC(MID(Table14[[#This Row],[Color Code]], 3, 2))," , ",HEX2DEC(MID(Table14[[#This Row],[Color Code]], 5, 2)))</f>
        <v>238 , 238 , 223</v>
      </c>
      <c r="D13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103.4842983258813</v>
      </c>
      <c r="E1349" t="str">
        <f>Table14[[#This Row],[Color Code]] &amp; " - " &amp;Table14[[#This Row],[Color Name]]</f>
        <v>EEEEDF - L120</v>
      </c>
    </row>
    <row r="1350" spans="1:5" x14ac:dyDescent="0.35">
      <c r="A1350" s="17" t="s">
        <v>3745</v>
      </c>
      <c r="B1350" t="s">
        <v>6034</v>
      </c>
      <c r="C1350" s="9" t="str">
        <f>_xlfn.CONCAT(HEX2DEC(MID(Table14[[#This Row],[Color Code]], 1, 2))," , ",HEX2DEC(MID(Table14[[#This Row],[Color Code]], 3, 2))," , ",HEX2DEC(MID(Table14[[#This Row],[Color Code]], 5, 2)))</f>
        <v>111 , 118 , 125</v>
      </c>
      <c r="D13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103.48912986396203</v>
      </c>
      <c r="E1350" t="str">
        <f>Table14[[#This Row],[Color Code]] &amp; " - " &amp;Table14[[#This Row],[Color Name]]</f>
        <v>6F767D - 8255</v>
      </c>
    </row>
    <row r="1351" spans="1:5" x14ac:dyDescent="0.35">
      <c r="A1351" s="17" t="s">
        <v>2467</v>
      </c>
      <c r="B1351" t="s">
        <v>4659</v>
      </c>
      <c r="C1351" s="9" t="str">
        <f>_xlfn.CONCAT(HEX2DEC(MID(Table14[[#This Row],[Color Code]], 1, 2))," , ",HEX2DEC(MID(Table14[[#This Row],[Color Code]], 3, 2))," , ",HEX2DEC(MID(Table14[[#This Row],[Color Code]], 5, 2)))</f>
        <v>242 , 236 , 222</v>
      </c>
      <c r="D13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103.48912986396203</v>
      </c>
      <c r="E1351" t="str">
        <f>Table14[[#This Row],[Color Code]] &amp; " - " &amp;Table14[[#This Row],[Color Name]]</f>
        <v>F2ECDE - 7940</v>
      </c>
    </row>
    <row r="1352" spans="1:5" x14ac:dyDescent="0.35">
      <c r="A1352" s="17" t="s">
        <v>3156</v>
      </c>
      <c r="B1352" t="s">
        <v>5412</v>
      </c>
      <c r="C1352" s="9" t="str">
        <f>_xlfn.CONCAT(HEX2DEC(MID(Table14[[#This Row],[Color Code]], 1, 2))," , ",HEX2DEC(MID(Table14[[#This Row],[Color Code]], 3, 2))," , ",HEX2DEC(MID(Table14[[#This Row],[Color Code]], 5, 2)))</f>
        <v>191 , 186 , 52</v>
      </c>
      <c r="D13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103.59054010864119</v>
      </c>
      <c r="E1352" t="str">
        <f>Table14[[#This Row],[Color Code]] &amp; " - " &amp;Table14[[#This Row],[Color Name]]</f>
        <v>BFBA34 - 9836</v>
      </c>
    </row>
    <row r="1353" spans="1:5" x14ac:dyDescent="0.35">
      <c r="A1353" s="17" t="s">
        <v>4291</v>
      </c>
      <c r="B1353" t="s">
        <v>6662</v>
      </c>
      <c r="C1353" s="9" t="str">
        <f>_xlfn.CONCAT(HEX2DEC(MID(Table14[[#This Row],[Color Code]], 1, 2))," , ",HEX2DEC(MID(Table14[[#This Row],[Color Code]], 3, 2))," , ",HEX2DEC(MID(Table14[[#This Row],[Color Code]], 5, 2)))</f>
        <v>254 , 175 , 72</v>
      </c>
      <c r="D13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103.60019305001319</v>
      </c>
      <c r="E1353" t="str">
        <f>Table14[[#This Row],[Color Code]] &amp; " - " &amp;Table14[[#This Row],[Color Name]]</f>
        <v>FEAF48 - 7950</v>
      </c>
    </row>
    <row r="1354" spans="1:5" x14ac:dyDescent="0.35">
      <c r="A1354" s="17" t="s">
        <v>2531</v>
      </c>
      <c r="B1354" t="s">
        <v>4725</v>
      </c>
      <c r="C1354" s="9" t="str">
        <f>_xlfn.CONCAT(HEX2DEC(MID(Table14[[#This Row],[Color Code]], 1, 2))," , ",HEX2DEC(MID(Table14[[#This Row],[Color Code]], 3, 2))," , ",HEX2DEC(MID(Table14[[#This Row],[Color Code]], 5, 2)))</f>
        <v>235 , 237 , 226</v>
      </c>
      <c r="D13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103.60501918343532</v>
      </c>
      <c r="E1354" t="str">
        <f>Table14[[#This Row],[Color Code]] &amp; " - " &amp;Table14[[#This Row],[Color Name]]</f>
        <v>EBEDE2 - L185</v>
      </c>
    </row>
    <row r="1355" spans="1:5" x14ac:dyDescent="0.35">
      <c r="A1355" s="17" t="s">
        <v>2412</v>
      </c>
      <c r="B1355" t="s">
        <v>4604</v>
      </c>
      <c r="C1355" s="9" t="str">
        <f>_xlfn.CONCAT(HEX2DEC(MID(Table14[[#This Row],[Color Code]], 1, 2))," , ",HEX2DEC(MID(Table14[[#This Row],[Color Code]], 3, 2))," , ",HEX2DEC(MID(Table14[[#This Row],[Color Code]], 5, 2)))</f>
        <v>245 , 230 , 225</v>
      </c>
      <c r="D13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103.60501918343532</v>
      </c>
      <c r="E1355" t="str">
        <f>Table14[[#This Row],[Color Code]] &amp; " - " &amp;Table14[[#This Row],[Color Name]]</f>
        <v>F5E6E1 - 8084</v>
      </c>
    </row>
    <row r="1356" spans="1:5" x14ac:dyDescent="0.35">
      <c r="A1356" s="17" t="s">
        <v>2507</v>
      </c>
      <c r="B1356" t="s">
        <v>4701</v>
      </c>
      <c r="C1356" s="9" t="str">
        <f>_xlfn.CONCAT(HEX2DEC(MID(Table14[[#This Row],[Color Code]], 1, 2))," , ",HEX2DEC(MID(Table14[[#This Row],[Color Code]], 3, 2))," , ",HEX2DEC(MID(Table14[[#This Row],[Color Code]], 5, 2)))</f>
        <v>238 , 236 , 225</v>
      </c>
      <c r="D13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103.61949623502326</v>
      </c>
      <c r="E1356" t="str">
        <f>Table14[[#This Row],[Color Code]] &amp; " - " &amp;Table14[[#This Row],[Color Name]]</f>
        <v>EEECE1 - L176</v>
      </c>
    </row>
    <row r="1357" spans="1:5" x14ac:dyDescent="0.35">
      <c r="A1357" s="17" t="s">
        <v>3476</v>
      </c>
      <c r="B1357" t="s">
        <v>5741</v>
      </c>
      <c r="C1357" s="9" t="str">
        <f>_xlfn.CONCAT(HEX2DEC(MID(Table14[[#This Row],[Color Code]], 1, 2))," , ",HEX2DEC(MID(Table14[[#This Row],[Color Code]], 3, 2))," , ",HEX2DEC(MID(Table14[[#This Row],[Color Code]], 5, 2)))</f>
        <v>169 , 102 , 85</v>
      </c>
      <c r="D13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103.72077901751413</v>
      </c>
      <c r="E1357" t="str">
        <f>Table14[[#This Row],[Color Code]] &amp; " - " &amp;Table14[[#This Row],[Color Name]]</f>
        <v>A96655 - 9954</v>
      </c>
    </row>
    <row r="1358" spans="1:5" x14ac:dyDescent="0.35">
      <c r="A1358" s="17" t="s">
        <v>3339</v>
      </c>
      <c r="B1358" t="s">
        <v>5598</v>
      </c>
      <c r="C1358" s="9" t="str">
        <f>_xlfn.CONCAT(HEX2DEC(MID(Table14[[#This Row],[Color Code]], 1, 2))," , ",HEX2DEC(MID(Table14[[#This Row],[Color Code]], 3, 2))," , ",HEX2DEC(MID(Table14[[#This Row],[Color Code]], 5, 2)))</f>
        <v>247 , 175 , 67</v>
      </c>
      <c r="D13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103.77379245262264</v>
      </c>
      <c r="E1358" t="str">
        <f>Table14[[#This Row],[Color Code]] &amp; " - " &amp;Table14[[#This Row],[Color Name]]</f>
        <v>F7AF43 - 7918</v>
      </c>
    </row>
    <row r="1359" spans="1:5" x14ac:dyDescent="0.35">
      <c r="A1359" s="17" t="s">
        <v>4328</v>
      </c>
      <c r="B1359" t="s">
        <v>6699</v>
      </c>
      <c r="C1359" s="9" t="str">
        <f>_xlfn.CONCAT(HEX2DEC(MID(Table14[[#This Row],[Color Code]], 1, 2))," , ",HEX2DEC(MID(Table14[[#This Row],[Color Code]], 3, 2))," , ",HEX2DEC(MID(Table14[[#This Row],[Color Code]], 5, 2)))</f>
        <v>175 , 158 , 54</v>
      </c>
      <c r="D13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103.82196299434914</v>
      </c>
      <c r="E1359" t="str">
        <f>Table14[[#This Row],[Color Code]] &amp; " - " &amp;Table14[[#This Row],[Color Name]]</f>
        <v>AF9E36 - X225</v>
      </c>
    </row>
    <row r="1360" spans="1:5" x14ac:dyDescent="0.35">
      <c r="A1360" s="17" t="s">
        <v>2523</v>
      </c>
      <c r="B1360" t="s">
        <v>4717</v>
      </c>
      <c r="C1360" s="9" t="str">
        <f>_xlfn.CONCAT(HEX2DEC(MID(Table14[[#This Row],[Color Code]], 1, 2))," , ",HEX2DEC(MID(Table14[[#This Row],[Color Code]], 3, 2))," , ",HEX2DEC(MID(Table14[[#This Row],[Color Code]], 5, 2)))</f>
        <v>239 , 239 , 222</v>
      </c>
      <c r="D13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103.89417693018218</v>
      </c>
      <c r="E1360" t="str">
        <f>Table14[[#This Row],[Color Code]] &amp; " - " &amp;Table14[[#This Row],[Color Name]]</f>
        <v>EFEFDE - 7668</v>
      </c>
    </row>
    <row r="1361" spans="1:5" x14ac:dyDescent="0.35">
      <c r="A1361" s="17" t="s">
        <v>4541</v>
      </c>
      <c r="B1361" t="s">
        <v>6302</v>
      </c>
      <c r="C1361" s="9" t="str">
        <f>_xlfn.CONCAT(HEX2DEC(MID(Table14[[#This Row],[Color Code]], 1, 2))," , ",HEX2DEC(MID(Table14[[#This Row],[Color Code]], 3, 2))," , ",HEX2DEC(MID(Table14[[#This Row],[Color Code]], 5, 2)))</f>
        <v>144 , 120 , 81</v>
      </c>
      <c r="D13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103.9471019317037</v>
      </c>
      <c r="E1361" t="str">
        <f>Table14[[#This Row],[Color Code]] &amp; " - " &amp;Table14[[#This Row],[Color Name]]</f>
        <v>907851 - K175</v>
      </c>
    </row>
    <row r="1362" spans="1:5" x14ac:dyDescent="0.35">
      <c r="A1362" s="17" t="s">
        <v>2520</v>
      </c>
      <c r="B1362" t="s">
        <v>4714</v>
      </c>
      <c r="C1362" s="9" t="str">
        <f>_xlfn.CONCAT(HEX2DEC(MID(Table14[[#This Row],[Color Code]], 1, 2))," , ",HEX2DEC(MID(Table14[[#This Row],[Color Code]], 3, 2))," , ",HEX2DEC(MID(Table14[[#This Row],[Color Code]], 5, 2)))</f>
        <v>237 , 235 , 227</v>
      </c>
      <c r="D13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103.96634070698073</v>
      </c>
      <c r="E1362" t="str">
        <f>Table14[[#This Row],[Color Code]] &amp; " - " &amp;Table14[[#This Row],[Color Name]]</f>
        <v>EDEBE3 - 8260</v>
      </c>
    </row>
    <row r="1363" spans="1:5" x14ac:dyDescent="0.35">
      <c r="A1363" s="17" t="s">
        <v>2427</v>
      </c>
      <c r="B1363" t="s">
        <v>4619</v>
      </c>
      <c r="C1363" s="9" t="str">
        <f>_xlfn.CONCAT(HEX2DEC(MID(Table14[[#This Row],[Color Code]], 1, 2))," , ",HEX2DEC(MID(Table14[[#This Row],[Color Code]], 3, 2))," , ",HEX2DEC(MID(Table14[[#This Row],[Color Code]], 5, 2)))</f>
        <v>243 , 236 , 222</v>
      </c>
      <c r="D13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103.97595875970561</v>
      </c>
      <c r="E1363" t="str">
        <f>Table14[[#This Row],[Color Code]] &amp; " - " &amp;Table14[[#This Row],[Color Name]]</f>
        <v>F3ECDE - L140</v>
      </c>
    </row>
    <row r="1364" spans="1:5" x14ac:dyDescent="0.35">
      <c r="A1364" s="17" t="s">
        <v>3310</v>
      </c>
      <c r="B1364" t="s">
        <v>5569</v>
      </c>
      <c r="C1364" s="9" t="str">
        <f>_xlfn.CONCAT(HEX2DEC(MID(Table14[[#This Row],[Color Code]], 1, 2))," , ",HEX2DEC(MID(Table14[[#This Row],[Color Code]], 3, 2))," , ",HEX2DEC(MID(Table14[[#This Row],[Color Code]], 5, 2)))</f>
        <v>247 , 240 , 215</v>
      </c>
      <c r="D13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104.1633332799983</v>
      </c>
      <c r="E1364" t="str">
        <f>Table14[[#This Row],[Color Code]] &amp; " - " &amp;Table14[[#This Row],[Color Name]]</f>
        <v>F7F0D7 - 7900</v>
      </c>
    </row>
    <row r="1365" spans="1:5" x14ac:dyDescent="0.35">
      <c r="A1365" s="17" t="s">
        <v>3279</v>
      </c>
      <c r="B1365" t="s">
        <v>5538</v>
      </c>
      <c r="C1365" s="9" t="str">
        <f>_xlfn.CONCAT(HEX2DEC(MID(Table14[[#This Row],[Color Code]], 1, 2))," , ",HEX2DEC(MID(Table14[[#This Row],[Color Code]], 3, 2))," , ",HEX2DEC(MID(Table14[[#This Row],[Color Code]], 5, 2)))</f>
        <v>248 , 241 , 213</v>
      </c>
      <c r="D13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104.19213022104884</v>
      </c>
      <c r="E1365" t="str">
        <f>Table14[[#This Row],[Color Code]] &amp; " - " &amp;Table14[[#This Row],[Color Name]]</f>
        <v>F8F1D5 - 7875</v>
      </c>
    </row>
    <row r="1366" spans="1:5" x14ac:dyDescent="0.35">
      <c r="A1366" s="17" t="s">
        <v>2741</v>
      </c>
      <c r="B1366" t="s">
        <v>4953</v>
      </c>
      <c r="C1366" s="9" t="str">
        <f>_xlfn.CONCAT(HEX2DEC(MID(Table14[[#This Row],[Color Code]], 1, 2))," , ",HEX2DEC(MID(Table14[[#This Row],[Color Code]], 3, 2))," , ",HEX2DEC(MID(Table14[[#This Row],[Color Code]], 5, 2)))</f>
        <v>223 , 230 , 238</v>
      </c>
      <c r="D13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104.28326807307106</v>
      </c>
      <c r="E1366" t="str">
        <f>Table14[[#This Row],[Color Code]] &amp; " - " &amp;Table14[[#This Row],[Color Name]]</f>
        <v>DFE6EE - 9645</v>
      </c>
    </row>
    <row r="1367" spans="1:5" x14ac:dyDescent="0.35">
      <c r="A1367" s="17" t="s">
        <v>3357</v>
      </c>
      <c r="B1367" t="s">
        <v>5616</v>
      </c>
      <c r="C1367" s="9" t="str">
        <f>_xlfn.CONCAT(HEX2DEC(MID(Table14[[#This Row],[Color Code]], 1, 2))," , ",HEX2DEC(MID(Table14[[#This Row],[Color Code]], 3, 2))," , ",HEX2DEC(MID(Table14[[#This Row],[Color Code]], 5, 2)))</f>
        <v>167 , 117 , 72</v>
      </c>
      <c r="D13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104.29765098025938</v>
      </c>
      <c r="E1367" t="str">
        <f>Table14[[#This Row],[Color Code]] &amp; " - " &amp;Table14[[#This Row],[Color Name]]</f>
        <v>A77548 - K289</v>
      </c>
    </row>
    <row r="1368" spans="1:5" x14ac:dyDescent="0.35">
      <c r="A1368" s="17" t="s">
        <v>2436</v>
      </c>
      <c r="B1368" t="s">
        <v>4628</v>
      </c>
      <c r="C1368" s="9" t="str">
        <f>_xlfn.CONCAT(HEX2DEC(MID(Table14[[#This Row],[Color Code]], 1, 2))," , ",HEX2DEC(MID(Table14[[#This Row],[Color Code]], 3, 2))," , ",HEX2DEC(MID(Table14[[#This Row],[Color Code]], 5, 2)))</f>
        <v>242 , 234 , 225</v>
      </c>
      <c r="D13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104.31203190428226</v>
      </c>
      <c r="E1368" t="str">
        <f>Table14[[#This Row],[Color Code]] &amp; " - " &amp;Table14[[#This Row],[Color Name]]</f>
        <v>F2EAE1 - L142</v>
      </c>
    </row>
    <row r="1369" spans="1:5" x14ac:dyDescent="0.35">
      <c r="A1369" s="17" t="s">
        <v>4526</v>
      </c>
      <c r="B1369" t="s">
        <v>6195</v>
      </c>
      <c r="C1369" s="9" t="str">
        <f>_xlfn.CONCAT(HEX2DEC(MID(Table14[[#This Row],[Color Code]], 1, 2))," , ",HEX2DEC(MID(Table14[[#This Row],[Color Code]], 3, 2))," , ",HEX2DEC(MID(Table14[[#This Row],[Color Code]], 5, 2)))</f>
        <v>114 , 128 , 104</v>
      </c>
      <c r="D13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104.37432634513145</v>
      </c>
      <c r="E1369" t="str">
        <f>Table14[[#This Row],[Color Code]] &amp; " - " &amp;Table14[[#This Row],[Color Name]]</f>
        <v>728068 - 8382</v>
      </c>
    </row>
    <row r="1370" spans="1:5" x14ac:dyDescent="0.35">
      <c r="A1370" s="17" t="s">
        <v>2547</v>
      </c>
      <c r="B1370" t="s">
        <v>4741</v>
      </c>
      <c r="C1370" s="9" t="str">
        <f>_xlfn.CONCAT(HEX2DEC(MID(Table14[[#This Row],[Color Code]], 1, 2))," , ",HEX2DEC(MID(Table14[[#This Row],[Color Code]], 3, 2))," , ",HEX2DEC(MID(Table14[[#This Row],[Color Code]], 5, 2)))</f>
        <v>232 , 238 , 228</v>
      </c>
      <c r="D13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104.39348638684312</v>
      </c>
      <c r="E1370" t="str">
        <f>Table14[[#This Row],[Color Code]] &amp; " - " &amp;Table14[[#This Row],[Color Name]]</f>
        <v>E8EEE4 - L113</v>
      </c>
    </row>
    <row r="1371" spans="1:5" x14ac:dyDescent="0.35">
      <c r="A1371" s="17" t="s">
        <v>3690</v>
      </c>
      <c r="B1371" t="s">
        <v>5970</v>
      </c>
      <c r="C1371" s="9" t="str">
        <f>_xlfn.CONCAT(HEX2DEC(MID(Table14[[#This Row],[Color Code]], 1, 2))," , ",HEX2DEC(MID(Table14[[#This Row],[Color Code]], 3, 2))," , ",HEX2DEC(MID(Table14[[#This Row],[Color Code]], 5, 2)))</f>
        <v>126 , 103 , 118</v>
      </c>
      <c r="D13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104.44615837837216</v>
      </c>
      <c r="E1371" t="str">
        <f>Table14[[#This Row],[Color Code]] &amp; " - " &amp;Table14[[#This Row],[Color Name]]</f>
        <v>7E6776 - K065</v>
      </c>
    </row>
    <row r="1372" spans="1:5" x14ac:dyDescent="0.35">
      <c r="A1372" s="17" t="s">
        <v>2452</v>
      </c>
      <c r="B1372" t="s">
        <v>4644</v>
      </c>
      <c r="C1372" s="9" t="str">
        <f>_xlfn.CONCAT(HEX2DEC(MID(Table14[[#This Row],[Color Code]], 1, 2))," , ",HEX2DEC(MID(Table14[[#This Row],[Color Code]], 3, 2))," , ",HEX2DEC(MID(Table14[[#This Row],[Color Code]], 5, 2)))</f>
        <v>244 , 236 , 222</v>
      </c>
      <c r="D13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104.47009141376301</v>
      </c>
      <c r="E1372" t="str">
        <f>Table14[[#This Row],[Color Code]] &amp; " - " &amp;Table14[[#This Row],[Color Name]]</f>
        <v>F4ECDE - L151</v>
      </c>
    </row>
    <row r="1373" spans="1:5" x14ac:dyDescent="0.35">
      <c r="A1373" s="17" t="s">
        <v>2504</v>
      </c>
      <c r="B1373" t="s">
        <v>4698</v>
      </c>
      <c r="C1373" s="9" t="str">
        <f>_xlfn.CONCAT(HEX2DEC(MID(Table14[[#This Row],[Color Code]], 1, 2))," , ",HEX2DEC(MID(Table14[[#This Row],[Color Code]], 3, 2))," , ",HEX2DEC(MID(Table14[[#This Row],[Color Code]], 5, 2)))</f>
        <v>243 , 239 , 220</v>
      </c>
      <c r="D13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104.50837287031121</v>
      </c>
      <c r="E1373" t="str">
        <f>Table14[[#This Row],[Color Code]] &amp; " - " &amp;Table14[[#This Row],[Color Name]]</f>
        <v>F3EFDC - L121</v>
      </c>
    </row>
    <row r="1374" spans="1:5" x14ac:dyDescent="0.35">
      <c r="A1374" s="17" t="s">
        <v>2468</v>
      </c>
      <c r="B1374" t="s">
        <v>4660</v>
      </c>
      <c r="C1374" s="9" t="str">
        <f>_xlfn.CONCAT(HEX2DEC(MID(Table14[[#This Row],[Color Code]], 1, 2))," , ",HEX2DEC(MID(Table14[[#This Row],[Color Code]], 3, 2))," , ",HEX2DEC(MID(Table14[[#This Row],[Color Code]], 5, 2)))</f>
        <v>243 , 238 , 221</v>
      </c>
      <c r="D13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104.52750834110607</v>
      </c>
      <c r="E1374" t="str">
        <f>Table14[[#This Row],[Color Code]] &amp; " - " &amp;Table14[[#This Row],[Color Name]]</f>
        <v>F3EEDD - L124</v>
      </c>
    </row>
    <row r="1375" spans="1:5" x14ac:dyDescent="0.35">
      <c r="A1375" s="17" t="s">
        <v>3141</v>
      </c>
      <c r="B1375" t="s">
        <v>5397</v>
      </c>
      <c r="C1375" s="9" t="str">
        <f>_xlfn.CONCAT(HEX2DEC(MID(Table14[[#This Row],[Color Code]], 1, 2))," , ",HEX2DEC(MID(Table14[[#This Row],[Color Code]], 3, 2))," , ",HEX2DEC(MID(Table14[[#This Row],[Color Code]], 5, 2)))</f>
        <v>174 , 177 , 52</v>
      </c>
      <c r="D13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104.58011283222064</v>
      </c>
      <c r="E1375" t="str">
        <f>Table14[[#This Row],[Color Code]] &amp; " - " &amp;Table14[[#This Row],[Color Name]]</f>
        <v>AEB134 - 9828</v>
      </c>
    </row>
    <row r="1376" spans="1:5" x14ac:dyDescent="0.35">
      <c r="A1376" s="17" t="s">
        <v>3378</v>
      </c>
      <c r="B1376" t="s">
        <v>5637</v>
      </c>
      <c r="C1376" s="9" t="str">
        <f>_xlfn.CONCAT(HEX2DEC(MID(Table14[[#This Row],[Color Code]], 1, 2))," , ",HEX2DEC(MID(Table14[[#This Row],[Color Code]], 3, 2))," , ",HEX2DEC(MID(Table14[[#This Row],[Color Code]], 5, 2)))</f>
        <v>248 , 238 , 217</v>
      </c>
      <c r="D13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104.63746938836012</v>
      </c>
      <c r="E1376" t="str">
        <f>Table14[[#This Row],[Color Code]] &amp; " - " &amp;Table14[[#This Row],[Color Name]]</f>
        <v>F8EED9 - 7964</v>
      </c>
    </row>
    <row r="1377" spans="1:5" x14ac:dyDescent="0.35">
      <c r="A1377" s="17" t="s">
        <v>3827</v>
      </c>
      <c r="B1377" t="s">
        <v>6138</v>
      </c>
      <c r="C1377" s="9" t="str">
        <f>_xlfn.CONCAT(HEX2DEC(MID(Table14[[#This Row],[Color Code]], 1, 2))," , ",HEX2DEC(MID(Table14[[#This Row],[Color Code]], 3, 2))," , ",HEX2DEC(MID(Table14[[#This Row],[Color Code]], 5, 2)))</f>
        <v>116 , 118 , 111</v>
      </c>
      <c r="D13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104.69479452198185</v>
      </c>
      <c r="E1377" t="str">
        <f>Table14[[#This Row],[Color Code]] &amp; " - " &amp;Table14[[#This Row],[Color Name]]</f>
        <v>74766F - 8327</v>
      </c>
    </row>
    <row r="1378" spans="1:5" x14ac:dyDescent="0.35">
      <c r="A1378" s="17" t="s">
        <v>4512</v>
      </c>
      <c r="B1378" t="s">
        <v>6111</v>
      </c>
      <c r="C1378" s="9" t="str">
        <f>_xlfn.CONCAT(HEX2DEC(MID(Table14[[#This Row],[Color Code]], 1, 2))," , ",HEX2DEC(MID(Table14[[#This Row],[Color Code]], 3, 2))," , ",HEX2DEC(MID(Table14[[#This Row],[Color Code]], 5, 2)))</f>
        <v>118 , 114 , 113</v>
      </c>
      <c r="D13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104.69479452198185</v>
      </c>
      <c r="E1378" t="str">
        <f>Table14[[#This Row],[Color Code]] &amp; " - " &amp;Table14[[#This Row],[Color Name]]</f>
        <v>767271 - K117</v>
      </c>
    </row>
    <row r="1379" spans="1:5" x14ac:dyDescent="0.35">
      <c r="A1379" s="17" t="s">
        <v>3231</v>
      </c>
      <c r="B1379" t="s">
        <v>5489</v>
      </c>
      <c r="C1379" s="9" t="str">
        <f>_xlfn.CONCAT(HEX2DEC(MID(Table14[[#This Row],[Color Code]], 1, 2))," , ",HEX2DEC(MID(Table14[[#This Row],[Color Code]], 3, 2))," , ",HEX2DEC(MID(Table14[[#This Row],[Color Code]], 5, 2)))</f>
        <v>247 , 240 , 216</v>
      </c>
      <c r="D13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104.74254150057655</v>
      </c>
      <c r="E1379" t="str">
        <f>Table14[[#This Row],[Color Code]] &amp; " - " &amp;Table14[[#This Row],[Color Name]]</f>
        <v>F7F0D8 - 7835</v>
      </c>
    </row>
    <row r="1380" spans="1:5" x14ac:dyDescent="0.35">
      <c r="A1380" s="17" t="s">
        <v>2528</v>
      </c>
      <c r="B1380" t="s">
        <v>4722</v>
      </c>
      <c r="C1380" s="9" t="str">
        <f>_xlfn.CONCAT(HEX2DEC(MID(Table14[[#This Row],[Color Code]], 1, 2))," , ",HEX2DEC(MID(Table14[[#This Row],[Color Code]], 3, 2))," , ",HEX2DEC(MID(Table14[[#This Row],[Color Code]], 5, 2)))</f>
        <v>236 , 236 , 228</v>
      </c>
      <c r="D13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104.81412118603103</v>
      </c>
      <c r="E1380" t="str">
        <f>Table14[[#This Row],[Color Code]] &amp; " - " &amp;Table14[[#This Row],[Color Name]]</f>
        <v>ECECE4 - L171</v>
      </c>
    </row>
    <row r="1381" spans="1:5" x14ac:dyDescent="0.35">
      <c r="A1381" s="17" t="s">
        <v>2545</v>
      </c>
      <c r="B1381" t="s">
        <v>4739</v>
      </c>
      <c r="C1381" s="9" t="str">
        <f>_xlfn.CONCAT(HEX2DEC(MID(Table14[[#This Row],[Color Code]], 1, 2))," , ",HEX2DEC(MID(Table14[[#This Row],[Color Code]], 3, 2))," , ",HEX2DEC(MID(Table14[[#This Row],[Color Code]], 5, 2)))</f>
        <v>234 , 235 , 230</v>
      </c>
      <c r="D13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104.82843125793688</v>
      </c>
      <c r="E1381" t="str">
        <f>Table14[[#This Row],[Color Code]] &amp; " - " &amp;Table14[[#This Row],[Color Name]]</f>
        <v>EAEBE6 - 7252</v>
      </c>
    </row>
    <row r="1382" spans="1:5" x14ac:dyDescent="0.35">
      <c r="A1382" s="17" t="s">
        <v>3550</v>
      </c>
      <c r="B1382" t="s">
        <v>5819</v>
      </c>
      <c r="C1382" s="9" t="str">
        <f>_xlfn.CONCAT(HEX2DEC(MID(Table14[[#This Row],[Color Code]], 1, 2))," , ",HEX2DEC(MID(Table14[[#This Row],[Color Code]], 3, 2))," , ",HEX2DEC(MID(Table14[[#This Row],[Color Code]], 5, 2)))</f>
        <v>209 , 92 , 93</v>
      </c>
      <c r="D13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104.98571331376475</v>
      </c>
      <c r="E1382" t="str">
        <f>Table14[[#This Row],[Color Code]] &amp; " - " &amp;Table14[[#This Row],[Color Name]]</f>
        <v>D15C5D - 9999</v>
      </c>
    </row>
    <row r="1383" spans="1:5" x14ac:dyDescent="0.35">
      <c r="A1383" s="17" t="s">
        <v>2537</v>
      </c>
      <c r="B1383" t="s">
        <v>4731</v>
      </c>
      <c r="C1383" s="9" t="str">
        <f>_xlfn.CONCAT(HEX2DEC(MID(Table14[[#This Row],[Color Code]], 1, 2))," , ",HEX2DEC(MID(Table14[[#This Row],[Color Code]], 3, 2))," , ",HEX2DEC(MID(Table14[[#This Row],[Color Code]], 5, 2)))</f>
        <v>235 , 237 , 228</v>
      </c>
      <c r="D13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104.98571331376475</v>
      </c>
      <c r="E1383" t="str">
        <f>Table14[[#This Row],[Color Code]] &amp; " - " &amp;Table14[[#This Row],[Color Name]]</f>
        <v>EBEDE4 - 0763</v>
      </c>
    </row>
    <row r="1384" spans="1:5" x14ac:dyDescent="0.35">
      <c r="A1384" s="17" t="s">
        <v>4237</v>
      </c>
      <c r="B1384" t="s">
        <v>6602</v>
      </c>
      <c r="C1384" s="9" t="str">
        <f>_xlfn.CONCAT(HEX2DEC(MID(Table14[[#This Row],[Color Code]], 1, 2))," , ",HEX2DEC(MID(Table14[[#This Row],[Color Code]], 3, 2))," , ",HEX2DEC(MID(Table14[[#This Row],[Color Code]], 5, 2)))</f>
        <v>127 , 111 , 103</v>
      </c>
      <c r="D13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</v>
      </c>
      <c r="E1384" t="str">
        <f>Table14[[#This Row],[Color Code]] &amp; " - " &amp;Table14[[#This Row],[Color Name]]</f>
        <v>7F6F67 - 8751</v>
      </c>
    </row>
    <row r="1385" spans="1:5" x14ac:dyDescent="0.35">
      <c r="A1385" s="17" t="s">
        <v>2879</v>
      </c>
      <c r="B1385" t="s">
        <v>5099</v>
      </c>
      <c r="C1385" s="9" t="str">
        <f>_xlfn.CONCAT(HEX2DEC(MID(Table14[[#This Row],[Color Code]], 1, 2))," , ",HEX2DEC(MID(Table14[[#This Row],[Color Code]], 3, 2))," , ",HEX2DEC(MID(Table14[[#This Row],[Color Code]], 5, 2)))</f>
        <v>99 , 196 , 199</v>
      </c>
      <c r="D13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105.00476179678711</v>
      </c>
      <c r="E1385" t="str">
        <f>Table14[[#This Row],[Color Code]] &amp; " - " &amp;Table14[[#This Row],[Color Name]]</f>
        <v>63C4C7 - 9695</v>
      </c>
    </row>
    <row r="1386" spans="1:5" x14ac:dyDescent="0.35">
      <c r="A1386" s="17" t="s">
        <v>2606</v>
      </c>
      <c r="B1386" t="s">
        <v>4802</v>
      </c>
      <c r="C1386" s="9" t="str">
        <f>_xlfn.CONCAT(HEX2DEC(MID(Table14[[#This Row],[Color Code]], 1, 2))," , ",HEX2DEC(MID(Table14[[#This Row],[Color Code]], 3, 2))," , ",HEX2DEC(MID(Table14[[#This Row],[Color Code]], 5, 2)))</f>
        <v>242 , 226 , 232</v>
      </c>
      <c r="D13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105.02380682492898</v>
      </c>
      <c r="E1386" t="str">
        <f>Table14[[#This Row],[Color Code]] &amp; " - " &amp;Table14[[#This Row],[Color Name]]</f>
        <v>F2E2E8 - 9427</v>
      </c>
    </row>
    <row r="1387" spans="1:5" x14ac:dyDescent="0.35">
      <c r="A1387" s="17" t="s">
        <v>3385</v>
      </c>
      <c r="B1387" t="s">
        <v>5644</v>
      </c>
      <c r="C1387" s="9" t="str">
        <f>_xlfn.CONCAT(HEX2DEC(MID(Table14[[#This Row],[Color Code]], 1, 2))," , ",HEX2DEC(MID(Table14[[#This Row],[Color Code]], 3, 2))," , ",HEX2DEC(MID(Table14[[#This Row],[Color Code]], 5, 2)))</f>
        <v>219 , 142 , 59</v>
      </c>
      <c r="D13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105.04284840006957</v>
      </c>
      <c r="E1387" t="str">
        <f>Table14[[#This Row],[Color Code]] &amp; " - " &amp;Table14[[#This Row],[Color Name]]</f>
        <v>DB8E3B - 9903</v>
      </c>
    </row>
    <row r="1388" spans="1:5" x14ac:dyDescent="0.35">
      <c r="A1388" s="17" t="s">
        <v>4460</v>
      </c>
      <c r="B1388" t="s">
        <v>5389</v>
      </c>
      <c r="C1388" s="9" t="str">
        <f>_xlfn.CONCAT(HEX2DEC(MID(Table14[[#This Row],[Color Code]], 1, 2))," , ",HEX2DEC(MID(Table14[[#This Row],[Color Code]], 3, 2))," , ",HEX2DEC(MID(Table14[[#This Row],[Color Code]], 5, 2)))</f>
        <v>134 , 158 , 69</v>
      </c>
      <c r="D13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105.11422358558332</v>
      </c>
      <c r="E1388" t="str">
        <f>Table14[[#This Row],[Color Code]] &amp; " - " &amp;Table14[[#This Row],[Color Name]]</f>
        <v>869E45 - 9821</v>
      </c>
    </row>
    <row r="1389" spans="1:5" x14ac:dyDescent="0.35">
      <c r="A1389" s="17" t="s">
        <v>3114</v>
      </c>
      <c r="B1389" t="s">
        <v>5367</v>
      </c>
      <c r="C1389" s="9" t="str">
        <f>_xlfn.CONCAT(HEX2DEC(MID(Table14[[#This Row],[Color Code]], 1, 2))," , ",HEX2DEC(MID(Table14[[#This Row],[Color Code]], 3, 2))," , ",HEX2DEC(MID(Table14[[#This Row],[Color Code]], 5, 2)))</f>
        <v>157 , 170 , 56</v>
      </c>
      <c r="D13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105.12373661547615</v>
      </c>
      <c r="E1389" t="str">
        <f>Table14[[#This Row],[Color Code]] &amp; " - " &amp;Table14[[#This Row],[Color Name]]</f>
        <v>9DAA38 - 9799</v>
      </c>
    </row>
    <row r="1390" spans="1:5" x14ac:dyDescent="0.35">
      <c r="A1390" s="17" t="s">
        <v>3496</v>
      </c>
      <c r="B1390" t="s">
        <v>5763</v>
      </c>
      <c r="C1390" s="9" t="str">
        <f>_xlfn.CONCAT(HEX2DEC(MID(Table14[[#This Row],[Color Code]], 1, 2))," , ",HEX2DEC(MID(Table14[[#This Row],[Color Code]], 3, 2))," , ",HEX2DEC(MID(Table14[[#This Row],[Color Code]], 5, 2)))</f>
        <v>217 , 109 , 77</v>
      </c>
      <c r="D13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105.19030373565806</v>
      </c>
      <c r="E1390" t="str">
        <f>Table14[[#This Row],[Color Code]] &amp; " - " &amp;Table14[[#This Row],[Color Name]]</f>
        <v>D96D4D - 9970</v>
      </c>
    </row>
    <row r="1391" spans="1:5" x14ac:dyDescent="0.35">
      <c r="A1391" s="17" t="s">
        <v>3729</v>
      </c>
      <c r="B1391" t="s">
        <v>6018</v>
      </c>
      <c r="C1391" s="9" t="str">
        <f>_xlfn.CONCAT(HEX2DEC(MID(Table14[[#This Row],[Color Code]], 1, 2))," , ",HEX2DEC(MID(Table14[[#This Row],[Color Code]], 3, 2))," , ",HEX2DEC(MID(Table14[[#This Row],[Color Code]], 5, 2)))</f>
        <v>111 , 116 , 123</v>
      </c>
      <c r="D13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105.19505691808908</v>
      </c>
      <c r="E1391" t="str">
        <f>Table14[[#This Row],[Color Code]] &amp; " - " &amp;Table14[[#This Row],[Color Name]]</f>
        <v>6F747B - 8247</v>
      </c>
    </row>
    <row r="1392" spans="1:5" x14ac:dyDescent="0.35">
      <c r="A1392" s="17" t="s">
        <v>3178</v>
      </c>
      <c r="B1392" t="s">
        <v>5436</v>
      </c>
      <c r="C1392" s="9" t="str">
        <f>_xlfn.CONCAT(HEX2DEC(MID(Table14[[#This Row],[Color Code]], 1, 2))," , ",HEX2DEC(MID(Table14[[#This Row],[Color Code]], 3, 2))," , ",HEX2DEC(MID(Table14[[#This Row],[Color Code]], 5, 2)))</f>
        <v>208 , 190 , 52</v>
      </c>
      <c r="D13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105.30906893520614</v>
      </c>
      <c r="E1392" t="str">
        <f>Table14[[#This Row],[Color Code]] &amp; " - " &amp;Table14[[#This Row],[Color Name]]</f>
        <v>D0BE34 - 9849</v>
      </c>
    </row>
    <row r="1393" spans="1:5" x14ac:dyDescent="0.35">
      <c r="A1393" s="17" t="s">
        <v>2928</v>
      </c>
      <c r="B1393" t="s">
        <v>5157</v>
      </c>
      <c r="C1393" s="9" t="str">
        <f>_xlfn.CONCAT(HEX2DEC(MID(Table14[[#This Row],[Color Code]], 1, 2))," , ",HEX2DEC(MID(Table14[[#This Row],[Color Code]], 3, 2))," , ",HEX2DEC(MID(Table14[[#This Row],[Color Code]], 5, 2)))</f>
        <v>99 , 204 , 195</v>
      </c>
      <c r="D13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105.30906893520614</v>
      </c>
      <c r="E1393" t="str">
        <f>Table14[[#This Row],[Color Code]] &amp; " - " &amp;Table14[[#This Row],[Color Name]]</f>
        <v>63CCC3 - 7512</v>
      </c>
    </row>
    <row r="1394" spans="1:5" x14ac:dyDescent="0.35">
      <c r="A1394" s="17" t="s">
        <v>2413</v>
      </c>
      <c r="B1394" t="s">
        <v>4605</v>
      </c>
      <c r="C1394" s="9" t="str">
        <f>_xlfn.CONCAT(HEX2DEC(MID(Table14[[#This Row],[Color Code]], 1, 2))," , ",HEX2DEC(MID(Table14[[#This Row],[Color Code]], 3, 2))," , ",HEX2DEC(MID(Table14[[#This Row],[Color Code]], 5, 2)))</f>
        <v>249 , 233 , 222</v>
      </c>
      <c r="D13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105.36602868097478</v>
      </c>
      <c r="E1394" t="str">
        <f>Table14[[#This Row],[Color Code]] &amp; " - " &amp;Table14[[#This Row],[Color Name]]</f>
        <v>F9E9DE - 8036</v>
      </c>
    </row>
    <row r="1395" spans="1:5" x14ac:dyDescent="0.35">
      <c r="A1395" s="17" t="s">
        <v>2513</v>
      </c>
      <c r="B1395" t="s">
        <v>4707</v>
      </c>
      <c r="C1395" s="9" t="str">
        <f>_xlfn.CONCAT(HEX2DEC(MID(Table14[[#This Row],[Color Code]], 1, 2))," , ",HEX2DEC(MID(Table14[[#This Row],[Color Code]], 3, 2))," , ",HEX2DEC(MID(Table14[[#This Row],[Color Code]], 5, 2)))</f>
        <v>241 , 238 , 224</v>
      </c>
      <c r="D13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105.5035544424926</v>
      </c>
      <c r="E1395" t="str">
        <f>Table14[[#This Row],[Color Code]] &amp; " - " &amp;Table14[[#This Row],[Color Name]]</f>
        <v>F1EEE0 - L172</v>
      </c>
    </row>
    <row r="1396" spans="1:5" x14ac:dyDescent="0.35">
      <c r="A1396" s="17" t="s">
        <v>3489</v>
      </c>
      <c r="B1396" t="s">
        <v>5756</v>
      </c>
      <c r="C1396" s="9" t="str">
        <f>_xlfn.CONCAT(HEX2DEC(MID(Table14[[#This Row],[Color Code]], 1, 2))," , ",HEX2DEC(MID(Table14[[#This Row],[Color Code]], 3, 2))," , ",HEX2DEC(MID(Table14[[#This Row],[Color Code]], 5, 2)))</f>
        <v>175 , 97 , 86</v>
      </c>
      <c r="D13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105.51777101512333</v>
      </c>
      <c r="E1396" t="str">
        <f>Table14[[#This Row],[Color Code]] &amp; " - " &amp;Table14[[#This Row],[Color Name]]</f>
        <v>AF6156 - 9969</v>
      </c>
    </row>
    <row r="1397" spans="1:5" x14ac:dyDescent="0.35">
      <c r="A1397" s="17" t="s">
        <v>2711</v>
      </c>
      <c r="B1397" t="s">
        <v>4919</v>
      </c>
      <c r="C1397" s="9" t="str">
        <f>_xlfn.CONCAT(HEX2DEC(MID(Table14[[#This Row],[Color Code]], 1, 2))," , ",HEX2DEC(MID(Table14[[#This Row],[Color Code]], 3, 2))," , ",HEX2DEC(MID(Table14[[#This Row],[Color Code]], 5, 2)))</f>
        <v>105 , 119 , 176</v>
      </c>
      <c r="D13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105.57461816175325</v>
      </c>
      <c r="E1397" t="str">
        <f>Table14[[#This Row],[Color Code]] &amp; " - " &amp;Table14[[#This Row],[Color Name]]</f>
        <v>6977B0 - 7206</v>
      </c>
    </row>
    <row r="1398" spans="1:5" x14ac:dyDescent="0.35">
      <c r="A1398" s="17" t="s">
        <v>2538</v>
      </c>
      <c r="B1398" t="s">
        <v>4732</v>
      </c>
      <c r="C1398" s="9" t="str">
        <f>_xlfn.CONCAT(HEX2DEC(MID(Table14[[#This Row],[Color Code]], 1, 2))," , ",HEX2DEC(MID(Table14[[#This Row],[Color Code]], 3, 2))," , ",HEX2DEC(MID(Table14[[#This Row],[Color Code]], 5, 2)))</f>
        <v>235 , 238 , 228</v>
      </c>
      <c r="D13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105.57935404235053</v>
      </c>
      <c r="E1398" t="str">
        <f>Table14[[#This Row],[Color Code]] &amp; " - " &amp;Table14[[#This Row],[Color Name]]</f>
        <v>EBEEE4 - L112</v>
      </c>
    </row>
    <row r="1399" spans="1:5" x14ac:dyDescent="0.35">
      <c r="A1399" s="17" t="s">
        <v>2536</v>
      </c>
      <c r="B1399" t="s">
        <v>4730</v>
      </c>
      <c r="C1399" s="9" t="str">
        <f>_xlfn.CONCAT(HEX2DEC(MID(Table14[[#This Row],[Color Code]], 1, 2))," , ",HEX2DEC(MID(Table14[[#This Row],[Color Code]], 3, 2))," , ",HEX2DEC(MID(Table14[[#This Row],[Color Code]], 5, 2)))</f>
        <v>237 , 239 , 226</v>
      </c>
      <c r="D13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105.65036677645753</v>
      </c>
      <c r="E1399" t="str">
        <f>Table14[[#This Row],[Color Code]] &amp; " - " &amp;Table14[[#This Row],[Color Name]]</f>
        <v>EDEFE2 - L119</v>
      </c>
    </row>
    <row r="1400" spans="1:5" x14ac:dyDescent="0.35">
      <c r="A1400" s="17" t="s">
        <v>2497</v>
      </c>
      <c r="B1400" t="s">
        <v>4691</v>
      </c>
      <c r="C1400" s="9" t="str">
        <f>_xlfn.CONCAT(HEX2DEC(MID(Table14[[#This Row],[Color Code]], 1, 2))," , ",HEX2DEC(MID(Table14[[#This Row],[Color Code]], 3, 2))," , ",HEX2DEC(MID(Table14[[#This Row],[Color Code]], 5, 2)))</f>
        <v>241 , 236 , 226</v>
      </c>
      <c r="D14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105.65509926170151</v>
      </c>
      <c r="E1400" t="str">
        <f>Table14[[#This Row],[Color Code]] &amp; " - " &amp;Table14[[#This Row],[Color Name]]</f>
        <v>F1ECE2 - 0765</v>
      </c>
    </row>
    <row r="1401" spans="1:5" x14ac:dyDescent="0.35">
      <c r="A1401" s="17" t="s">
        <v>2476</v>
      </c>
      <c r="B1401" t="s">
        <v>4669</v>
      </c>
      <c r="C1401" s="9" t="str">
        <f>_xlfn.CONCAT(HEX2DEC(MID(Table14[[#This Row],[Color Code]], 1, 2))," , ",HEX2DEC(MID(Table14[[#This Row],[Color Code]], 3, 2))," , ",HEX2DEC(MID(Table14[[#This Row],[Color Code]], 5, 2)))</f>
        <v>244 , 237 , 223</v>
      </c>
      <c r="D14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105.69768209379049</v>
      </c>
      <c r="E1401" t="str">
        <f>Table14[[#This Row],[Color Code]] &amp; " - " &amp;Table14[[#This Row],[Color Name]]</f>
        <v>F4EDDF - L102</v>
      </c>
    </row>
    <row r="1402" spans="1:5" x14ac:dyDescent="0.35">
      <c r="A1402" s="17" t="s">
        <v>2481</v>
      </c>
      <c r="B1402" t="s">
        <v>4674</v>
      </c>
      <c r="C1402" s="9" t="str">
        <f>_xlfn.CONCAT(HEX2DEC(MID(Table14[[#This Row],[Color Code]], 1, 2))," , ",HEX2DEC(MID(Table14[[#This Row],[Color Code]], 3, 2))," , ",HEX2DEC(MID(Table14[[#This Row],[Color Code]], 5, 2)))</f>
        <v>243 , 238 , 223</v>
      </c>
      <c r="D14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105.80170130957252</v>
      </c>
      <c r="E1402" t="str">
        <f>Table14[[#This Row],[Color Code]] &amp; " - " &amp;Table14[[#This Row],[Color Name]]</f>
        <v>F3EEDF - L123</v>
      </c>
    </row>
    <row r="1403" spans="1:5" x14ac:dyDescent="0.35">
      <c r="A1403" s="17" t="s">
        <v>3286</v>
      </c>
      <c r="B1403" t="s">
        <v>5545</v>
      </c>
      <c r="C1403" s="9" t="str">
        <f>_xlfn.CONCAT(HEX2DEC(MID(Table14[[#This Row],[Color Code]], 1, 2))," , ",HEX2DEC(MID(Table14[[#This Row],[Color Code]], 3, 2))," , ",HEX2DEC(MID(Table14[[#This Row],[Color Code]], 5, 2)))</f>
        <v>249 , 240 , 216</v>
      </c>
      <c r="D14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105.80642702596096</v>
      </c>
      <c r="E1403" t="str">
        <f>Table14[[#This Row],[Color Code]] &amp; " - " &amp;Table14[[#This Row],[Color Name]]</f>
        <v>F9F0D8 - 7884</v>
      </c>
    </row>
    <row r="1404" spans="1:5" x14ac:dyDescent="0.35">
      <c r="A1404" s="17" t="s">
        <v>2475</v>
      </c>
      <c r="B1404" t="s">
        <v>4667</v>
      </c>
      <c r="C1404" s="9" t="str">
        <f>_xlfn.CONCAT(HEX2DEC(MID(Table14[[#This Row],[Color Code]], 1, 2))," , ",HEX2DEC(MID(Table14[[#This Row],[Color Code]], 3, 2))," , ",HEX2DEC(MID(Table14[[#This Row],[Color Code]], 5, 2)))</f>
        <v>243 , 237 , 224</v>
      </c>
      <c r="D14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105.85839598255775</v>
      </c>
      <c r="E1404" t="str">
        <f>Table14[[#This Row],[Color Code]] &amp; " - " &amp;Table14[[#This Row],[Color Name]]</f>
        <v>F3EDE0 - L103</v>
      </c>
    </row>
    <row r="1405" spans="1:5" x14ac:dyDescent="0.35">
      <c r="A1405" s="17" t="s">
        <v>2475</v>
      </c>
      <c r="B1405" t="s">
        <v>4668</v>
      </c>
      <c r="C1405" s="9" t="str">
        <f>_xlfn.CONCAT(HEX2DEC(MID(Table14[[#This Row],[Color Code]], 1, 2))," , ",HEX2DEC(MID(Table14[[#This Row],[Color Code]], 3, 2))," , ",HEX2DEC(MID(Table14[[#This Row],[Color Code]], 5, 2)))</f>
        <v>243 , 237 , 224</v>
      </c>
      <c r="D14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105.85839598255775</v>
      </c>
      <c r="E1405" t="str">
        <f>Table14[[#This Row],[Color Code]] &amp; " - " &amp;Table14[[#This Row],[Color Name]]</f>
        <v>F3EDE0 - L156</v>
      </c>
    </row>
    <row r="1406" spans="1:5" x14ac:dyDescent="0.35">
      <c r="A1406" s="17" t="s">
        <v>4362</v>
      </c>
      <c r="B1406" t="s">
        <v>6741</v>
      </c>
      <c r="C1406" s="9" t="str">
        <f>_xlfn.CONCAT(HEX2DEC(MID(Table14[[#This Row],[Color Code]], 1, 2))," , ",HEX2DEC(MID(Table14[[#This Row],[Color Code]], 3, 2))," , ",HEX2DEC(MID(Table14[[#This Row],[Color Code]], 5, 2)))</f>
        <v>106 , 175 , 217</v>
      </c>
      <c r="D14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106.01886624558857</v>
      </c>
      <c r="E1406" t="str">
        <f>Table14[[#This Row],[Color Code]] &amp; " - " &amp;Table14[[#This Row],[Color Name]]</f>
        <v>6AAFD9 - 7328</v>
      </c>
    </row>
    <row r="1407" spans="1:5" x14ac:dyDescent="0.35">
      <c r="A1407" s="17" t="s">
        <v>4326</v>
      </c>
      <c r="B1407" t="s">
        <v>6697</v>
      </c>
      <c r="C1407" s="9" t="str">
        <f>_xlfn.CONCAT(HEX2DEC(MID(Table14[[#This Row],[Color Code]], 1, 2))," , ",HEX2DEC(MID(Table14[[#This Row],[Color Code]], 3, 2))," , ",HEX2DEC(MID(Table14[[#This Row],[Color Code]], 5, 2)))</f>
        <v>211 , 183 , 51</v>
      </c>
      <c r="D14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106.02358228243375</v>
      </c>
      <c r="E1407" t="str">
        <f>Table14[[#This Row],[Color Code]] &amp; " - " &amp;Table14[[#This Row],[Color Name]]</f>
        <v>D3B733 - X210</v>
      </c>
    </row>
    <row r="1408" spans="1:5" x14ac:dyDescent="0.35">
      <c r="A1408" s="17" t="s">
        <v>3801</v>
      </c>
      <c r="B1408" t="s">
        <v>6104</v>
      </c>
      <c r="C1408" s="9" t="str">
        <f>_xlfn.CONCAT(HEX2DEC(MID(Table14[[#This Row],[Color Code]], 1, 2))," , ",HEX2DEC(MID(Table14[[#This Row],[Color Code]], 3, 2))," , ",HEX2DEC(MID(Table14[[#This Row],[Color Code]], 5, 2)))</f>
        <v>117 , 115 , 110</v>
      </c>
      <c r="D14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106.06601717798213</v>
      </c>
      <c r="E1408" t="str">
        <f>Table14[[#This Row],[Color Code]] &amp; " - " &amp;Table14[[#This Row],[Color Name]]</f>
        <v>75736E - K110</v>
      </c>
    </row>
    <row r="1409" spans="1:5" x14ac:dyDescent="0.35">
      <c r="A1409" s="17" t="s">
        <v>2437</v>
      </c>
      <c r="B1409" t="s">
        <v>4629</v>
      </c>
      <c r="C1409" s="9" t="str">
        <f>_xlfn.CONCAT(HEX2DEC(MID(Table14[[#This Row],[Color Code]], 1, 2))," , ",HEX2DEC(MID(Table14[[#This Row],[Color Code]], 3, 2))," , ",HEX2DEC(MID(Table14[[#This Row],[Color Code]], 5, 2)))</f>
        <v>246 , 236 , 223</v>
      </c>
      <c r="D14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106.1178590059185</v>
      </c>
      <c r="E1409" t="str">
        <f>Table14[[#This Row],[Color Code]] &amp; " - " &amp;Table14[[#This Row],[Color Name]]</f>
        <v>F6ECDF - 8028</v>
      </c>
    </row>
    <row r="1410" spans="1:5" x14ac:dyDescent="0.35">
      <c r="A1410" s="17" t="s">
        <v>4322</v>
      </c>
      <c r="B1410" t="s">
        <v>6693</v>
      </c>
      <c r="C1410" s="9" t="str">
        <f>_xlfn.CONCAT(HEX2DEC(MID(Table14[[#This Row],[Color Code]], 1, 2))," , ",HEX2DEC(MID(Table14[[#This Row],[Color Code]], 3, 2))," , ",HEX2DEC(MID(Table14[[#This Row],[Color Code]], 5, 2)))</f>
        <v>254 , 214 , 78</v>
      </c>
      <c r="D14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106.27323275406654</v>
      </c>
      <c r="E1410" t="str">
        <f>Table14[[#This Row],[Color Code]] &amp; " - " &amp;Table14[[#This Row],[Color Name]]</f>
        <v>FED64E - 7862</v>
      </c>
    </row>
    <row r="1411" spans="1:5" x14ac:dyDescent="0.35">
      <c r="A1411" s="17" t="s">
        <v>3258</v>
      </c>
      <c r="B1411" t="s">
        <v>5517</v>
      </c>
      <c r="C1411" s="9" t="str">
        <f>_xlfn.CONCAT(HEX2DEC(MID(Table14[[#This Row],[Color Code]], 1, 2))," , ",HEX2DEC(MID(Table14[[#This Row],[Color Code]], 3, 2))," , ",HEX2DEC(MID(Table14[[#This Row],[Color Code]], 5, 2)))</f>
        <v>190 , 153 , 51</v>
      </c>
      <c r="D14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106.3202708800161</v>
      </c>
      <c r="E1411" t="str">
        <f>Table14[[#This Row],[Color Code]] &amp; " - " &amp;Table14[[#This Row],[Color Name]]</f>
        <v>BE9933 - 9869</v>
      </c>
    </row>
    <row r="1412" spans="1:5" x14ac:dyDescent="0.35">
      <c r="A1412" s="17" t="s">
        <v>2521</v>
      </c>
      <c r="B1412" t="s">
        <v>4715</v>
      </c>
      <c r="C1412" s="9" t="str">
        <f>_xlfn.CONCAT(HEX2DEC(MID(Table14[[#This Row],[Color Code]], 1, 2))," , ",HEX2DEC(MID(Table14[[#This Row],[Color Code]], 3, 2))," , ",HEX2DEC(MID(Table14[[#This Row],[Color Code]], 5, 2)))</f>
        <v>237 , 239 , 227</v>
      </c>
      <c r="D14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106.32497354808042</v>
      </c>
      <c r="E1412" t="str">
        <f>Table14[[#This Row],[Color Code]] &amp; " - " &amp;Table14[[#This Row],[Color Name]]</f>
        <v>EDEFE3 - L118</v>
      </c>
    </row>
    <row r="1413" spans="1:5" x14ac:dyDescent="0.35">
      <c r="A1413" s="17" t="s">
        <v>4332</v>
      </c>
      <c r="B1413" t="s">
        <v>6704</v>
      </c>
      <c r="C1413" s="9" t="str">
        <f>_xlfn.CONCAT(HEX2DEC(MID(Table14[[#This Row],[Color Code]], 1, 2))," , ",HEX2DEC(MID(Table14[[#This Row],[Color Code]], 3, 2))," , ",HEX2DEC(MID(Table14[[#This Row],[Color Code]], 5, 2)))</f>
        <v>170 , 178 , 51</v>
      </c>
      <c r="D14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106.34378214075329</v>
      </c>
      <c r="E1413" t="str">
        <f>Table14[[#This Row],[Color Code]] &amp; " - " &amp;Table14[[#This Row],[Color Name]]</f>
        <v>AAB233 - 9365</v>
      </c>
    </row>
    <row r="1414" spans="1:5" x14ac:dyDescent="0.35">
      <c r="A1414" s="17" t="s">
        <v>2419</v>
      </c>
      <c r="B1414" t="s">
        <v>4611</v>
      </c>
      <c r="C1414" s="9" t="str">
        <f>_xlfn.CONCAT(HEX2DEC(MID(Table14[[#This Row],[Color Code]], 1, 2))," , ",HEX2DEC(MID(Table14[[#This Row],[Color Code]], 3, 2))," , ",HEX2DEC(MID(Table14[[#This Row],[Color Code]], 5, 2)))</f>
        <v>239 , 234 , 230</v>
      </c>
      <c r="D14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106.37198879404295</v>
      </c>
      <c r="E1414" t="str">
        <f>Table14[[#This Row],[Color Code]] &amp; " - " &amp;Table14[[#This Row],[Color Name]]</f>
        <v>EFEAE6 - L178</v>
      </c>
    </row>
    <row r="1415" spans="1:5" x14ac:dyDescent="0.35">
      <c r="A1415" s="17" t="s">
        <v>2419</v>
      </c>
      <c r="B1415" t="s">
        <v>4785</v>
      </c>
      <c r="C1415" s="9" t="str">
        <f>_xlfn.CONCAT(HEX2DEC(MID(Table14[[#This Row],[Color Code]], 1, 2))," , ",HEX2DEC(MID(Table14[[#This Row],[Color Code]], 3, 2))," , ",HEX2DEC(MID(Table14[[#This Row],[Color Code]], 5, 2)))</f>
        <v>239 , 234 , 230</v>
      </c>
      <c r="D14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106.37198879404295</v>
      </c>
      <c r="E1415" t="str">
        <f>Table14[[#This Row],[Color Code]] &amp; " - " &amp;Table14[[#This Row],[Color Name]]</f>
        <v>EFEAE6 - 0766</v>
      </c>
    </row>
    <row r="1416" spans="1:5" x14ac:dyDescent="0.35">
      <c r="A1416" s="17" t="s">
        <v>2584</v>
      </c>
      <c r="B1416" t="s">
        <v>4778</v>
      </c>
      <c r="C1416" s="9" t="str">
        <f>_xlfn.CONCAT(HEX2DEC(MID(Table14[[#This Row],[Color Code]], 1, 2))," , ",HEX2DEC(MID(Table14[[#This Row],[Color Code]], 3, 2))," , ",HEX2DEC(MID(Table14[[#This Row],[Color Code]], 5, 2)))</f>
        <v>234 , 234 , 233</v>
      </c>
      <c r="D14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106.4377752492037</v>
      </c>
      <c r="E1416" t="str">
        <f>Table14[[#This Row],[Color Code]] &amp; " - " &amp;Table14[[#This Row],[Color Name]]</f>
        <v>EAEAE9 - L180</v>
      </c>
    </row>
    <row r="1417" spans="1:5" x14ac:dyDescent="0.35">
      <c r="A1417" s="17" t="s">
        <v>3820</v>
      </c>
      <c r="B1417" t="s">
        <v>6130</v>
      </c>
      <c r="C1417" s="9" t="str">
        <f>_xlfn.CONCAT(HEX2DEC(MID(Table14[[#This Row],[Color Code]], 1, 2))," , ",HEX2DEC(MID(Table14[[#This Row],[Color Code]], 3, 2))," , ",HEX2DEC(MID(Table14[[#This Row],[Color Code]], 5, 2)))</f>
        <v>111 , 118 , 116</v>
      </c>
      <c r="D14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106.44716999526104</v>
      </c>
      <c r="E1417" t="str">
        <f>Table14[[#This Row],[Color Code]] &amp; " - " &amp;Table14[[#This Row],[Color Name]]</f>
        <v>6F7674 - 8311</v>
      </c>
    </row>
    <row r="1418" spans="1:5" x14ac:dyDescent="0.35">
      <c r="A1418" s="17" t="s">
        <v>3992</v>
      </c>
      <c r="B1418" t="s">
        <v>6332</v>
      </c>
      <c r="C1418" s="9" t="str">
        <f>_xlfn.CONCAT(HEX2DEC(MID(Table14[[#This Row],[Color Code]], 1, 2))," , ",HEX2DEC(MID(Table14[[#This Row],[Color Code]], 3, 2))," , ",HEX2DEC(MID(Table14[[#This Row],[Color Code]], 5, 2)))</f>
        <v>156 , 116 , 74</v>
      </c>
      <c r="D14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106.48004507887852</v>
      </c>
      <c r="E1418" t="str">
        <f>Table14[[#This Row],[Color Code]] &amp; " - " &amp;Table14[[#This Row],[Color Name]]</f>
        <v>9C744A - 8517</v>
      </c>
    </row>
    <row r="1419" spans="1:5" x14ac:dyDescent="0.35">
      <c r="A1419" s="17" t="s">
        <v>2818</v>
      </c>
      <c r="B1419" t="s">
        <v>5034</v>
      </c>
      <c r="C1419" s="9" t="str">
        <f>_xlfn.CONCAT(HEX2DEC(MID(Table14[[#This Row],[Color Code]], 1, 2))," , ",HEX2DEC(MID(Table14[[#This Row],[Color Code]], 3, 2))," , ",HEX2DEC(MID(Table14[[#This Row],[Color Code]], 5, 2)))</f>
        <v>120 , 198 , 230</v>
      </c>
      <c r="D14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106.48004507887852</v>
      </c>
      <c r="E1419" t="str">
        <f>Table14[[#This Row],[Color Code]] &amp; " - " &amp;Table14[[#This Row],[Color Name]]</f>
        <v>78C6E6 - 9209</v>
      </c>
    </row>
    <row r="1420" spans="1:5" x14ac:dyDescent="0.35">
      <c r="A1420" s="17" t="s">
        <v>4508</v>
      </c>
      <c r="B1420" t="s">
        <v>6105</v>
      </c>
      <c r="C1420" s="9" t="str">
        <f>_xlfn.CONCAT(HEX2DEC(MID(Table14[[#This Row],[Color Code]], 1, 2))," , ",HEX2DEC(MID(Table14[[#This Row],[Color Code]], 3, 2))," , ",HEX2DEC(MID(Table14[[#This Row],[Color Code]], 5, 2)))</f>
        <v>116 , 114 , 112</v>
      </c>
      <c r="D14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106.51760417883985</v>
      </c>
      <c r="E1420" t="str">
        <f>Table14[[#This Row],[Color Code]] &amp; " - " &amp;Table14[[#This Row],[Color Name]]</f>
        <v>747270 - K111</v>
      </c>
    </row>
    <row r="1421" spans="1:5" x14ac:dyDescent="0.35">
      <c r="A1421" s="17" t="s">
        <v>2637</v>
      </c>
      <c r="B1421" t="s">
        <v>4837</v>
      </c>
      <c r="C1421" s="9" t="str">
        <f>_xlfn.CONCAT(HEX2DEC(MID(Table14[[#This Row],[Color Code]], 1, 2))," , ",HEX2DEC(MID(Table14[[#This Row],[Color Code]], 3, 2))," , ",HEX2DEC(MID(Table14[[#This Row],[Color Code]], 5, 2)))</f>
        <v>122 , 97 , 135</v>
      </c>
      <c r="D14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106.69582934679312</v>
      </c>
      <c r="E1421" t="str">
        <f>Table14[[#This Row],[Color Code]] &amp; " - " &amp;Table14[[#This Row],[Color Name]]</f>
        <v>7A6187 - 9605</v>
      </c>
    </row>
    <row r="1422" spans="1:5" x14ac:dyDescent="0.35">
      <c r="A1422" s="17" t="s">
        <v>4298</v>
      </c>
      <c r="B1422" t="s">
        <v>6669</v>
      </c>
      <c r="C1422" s="9" t="str">
        <f>_xlfn.CONCAT(HEX2DEC(MID(Table14[[#This Row],[Color Code]], 1, 2))," , ",HEX2DEC(MID(Table14[[#This Row],[Color Code]], 3, 2))," , ",HEX2DEC(MID(Table14[[#This Row],[Color Code]], 5, 2)))</f>
        <v>254 , 197 , 71</v>
      </c>
      <c r="D14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106.69582934679312</v>
      </c>
      <c r="E1422" t="str">
        <f>Table14[[#This Row],[Color Code]] &amp; " - " &amp;Table14[[#This Row],[Color Name]]</f>
        <v>FEC547 - 7910</v>
      </c>
    </row>
    <row r="1423" spans="1:5" x14ac:dyDescent="0.35">
      <c r="A1423" s="17" t="s">
        <v>2422</v>
      </c>
      <c r="B1423" t="s">
        <v>4614</v>
      </c>
      <c r="C1423" s="9" t="str">
        <f>_xlfn.CONCAT(HEX2DEC(MID(Table14[[#This Row],[Color Code]], 1, 2))," , ",HEX2DEC(MID(Table14[[#This Row],[Color Code]], 3, 2))," , ",HEX2DEC(MID(Table14[[#This Row],[Color Code]], 5, 2)))</f>
        <v>247 , 235 , 224</v>
      </c>
      <c r="D14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106.70520137275409</v>
      </c>
      <c r="E1423" t="str">
        <f>Table14[[#This Row],[Color Code]] &amp; " - " &amp;Table14[[#This Row],[Color Name]]</f>
        <v>F7EBE0 - L139</v>
      </c>
    </row>
    <row r="1424" spans="1:5" x14ac:dyDescent="0.35">
      <c r="A1424" s="17" t="s">
        <v>3516</v>
      </c>
      <c r="B1424" t="s">
        <v>5784</v>
      </c>
      <c r="C1424" s="9" t="str">
        <f>_xlfn.CONCAT(HEX2DEC(MID(Table14[[#This Row],[Color Code]], 1, 2))," , ",HEX2DEC(MID(Table14[[#This Row],[Color Code]], 3, 2))," , ",HEX2DEC(MID(Table14[[#This Row],[Color Code]], 5, 2)))</f>
        <v>183 , 94 , 86</v>
      </c>
      <c r="D14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106.78483038334612</v>
      </c>
      <c r="E1424" t="str">
        <f>Table14[[#This Row],[Color Code]] &amp; " - " &amp;Table14[[#This Row],[Color Name]]</f>
        <v>B75E56 - 9983</v>
      </c>
    </row>
    <row r="1425" spans="1:5" x14ac:dyDescent="0.35">
      <c r="A1425" s="17" t="s">
        <v>2595</v>
      </c>
      <c r="B1425" t="s">
        <v>4790</v>
      </c>
      <c r="C1425" s="9" t="str">
        <f>_xlfn.CONCAT(HEX2DEC(MID(Table14[[#This Row],[Color Code]], 1, 2))," , ",HEX2DEC(MID(Table14[[#This Row],[Color Code]], 3, 2))," , ",HEX2DEC(MID(Table14[[#This Row],[Color Code]], 5, 2)))</f>
        <v>242 , 231 , 231</v>
      </c>
      <c r="D14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106.82696288858914</v>
      </c>
      <c r="E1425" t="str">
        <f>Table14[[#This Row],[Color Code]] &amp; " - " &amp;Table14[[#This Row],[Color Name]]</f>
        <v>F2E7E7 - 8148</v>
      </c>
    </row>
    <row r="1426" spans="1:5" x14ac:dyDescent="0.35">
      <c r="A1426" s="17" t="s">
        <v>2466</v>
      </c>
      <c r="B1426" t="s">
        <v>4658</v>
      </c>
      <c r="C1426" s="9" t="str">
        <f>_xlfn.CONCAT(HEX2DEC(MID(Table14[[#This Row],[Color Code]], 1, 2))," , ",HEX2DEC(MID(Table14[[#This Row],[Color Code]], 3, 2))," , ",HEX2DEC(MID(Table14[[#This Row],[Color Code]], 5, 2)))</f>
        <v>244 , 238 , 224</v>
      </c>
      <c r="D14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106.92988356862641</v>
      </c>
      <c r="E1426" t="str">
        <f>Table14[[#This Row],[Color Code]] &amp; " - " &amp;Table14[[#This Row],[Color Name]]</f>
        <v>F4EEE0 - L148</v>
      </c>
    </row>
    <row r="1427" spans="1:5" x14ac:dyDescent="0.35">
      <c r="A1427" s="17" t="s">
        <v>3515</v>
      </c>
      <c r="B1427" t="s">
        <v>5783</v>
      </c>
      <c r="C1427" s="9" t="str">
        <f>_xlfn.CONCAT(HEX2DEC(MID(Table14[[#This Row],[Color Code]], 1, 2))," , ",HEX2DEC(MID(Table14[[#This Row],[Color Code]], 3, 2))," , ",HEX2DEC(MID(Table14[[#This Row],[Color Code]], 5, 2)))</f>
        <v>192 , 95 , 84</v>
      </c>
      <c r="D14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106.96261028976434</v>
      </c>
      <c r="E1427" t="str">
        <f>Table14[[#This Row],[Color Code]] &amp; " - " &amp;Table14[[#This Row],[Color Name]]</f>
        <v>C05F54 - 9982</v>
      </c>
    </row>
    <row r="1428" spans="1:5" x14ac:dyDescent="0.35">
      <c r="A1428" s="17" t="s">
        <v>2559</v>
      </c>
      <c r="B1428" t="s">
        <v>4753</v>
      </c>
      <c r="C1428" s="9" t="str">
        <f>_xlfn.CONCAT(HEX2DEC(MID(Table14[[#This Row],[Color Code]], 1, 2))," , ",HEX2DEC(MID(Table14[[#This Row],[Color Code]], 3, 2))," , ",HEX2DEC(MID(Table14[[#This Row],[Color Code]], 5, 2)))</f>
        <v>231 , 237 , 233</v>
      </c>
      <c r="D14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</v>
      </c>
      <c r="E1428" t="str">
        <f>Table14[[#This Row],[Color Code]] &amp; " - " &amp;Table14[[#This Row],[Color Name]]</f>
        <v>E7EDE9 - L184</v>
      </c>
    </row>
    <row r="1429" spans="1:5" x14ac:dyDescent="0.35">
      <c r="A1429" s="17" t="s">
        <v>3100</v>
      </c>
      <c r="B1429" t="s">
        <v>5352</v>
      </c>
      <c r="C1429" s="9" t="str">
        <f>_xlfn.CONCAT(HEX2DEC(MID(Table14[[#This Row],[Color Code]], 1, 2))," , ",HEX2DEC(MID(Table14[[#This Row],[Color Code]], 3, 2))," , ",HEX2DEC(MID(Table14[[#This Row],[Color Code]], 5, 2)))</f>
        <v>134 , 132 , 76</v>
      </c>
      <c r="D14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107.02336193560731</v>
      </c>
      <c r="E1429" t="str">
        <f>Table14[[#This Row],[Color Code]] &amp; " - " &amp;Table14[[#This Row],[Color Name]]</f>
        <v>86844C - 7717</v>
      </c>
    </row>
    <row r="1430" spans="1:5" x14ac:dyDescent="0.35">
      <c r="A1430" s="17" t="s">
        <v>3384</v>
      </c>
      <c r="B1430" t="s">
        <v>5643</v>
      </c>
      <c r="C1430" s="9" t="str">
        <f>_xlfn.CONCAT(HEX2DEC(MID(Table14[[#This Row],[Color Code]], 1, 2))," , ",HEX2DEC(MID(Table14[[#This Row],[Color Code]], 3, 2))," , ",HEX2DEC(MID(Table14[[#This Row],[Color Code]], 5, 2)))</f>
        <v>254 , 168 , 68</v>
      </c>
      <c r="D14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107.060730429042</v>
      </c>
      <c r="E1430" t="str">
        <f>Table14[[#This Row],[Color Code]] &amp; " - " &amp;Table14[[#This Row],[Color Name]]</f>
        <v>FEA844 - 7958</v>
      </c>
    </row>
    <row r="1431" spans="1:5" x14ac:dyDescent="0.35">
      <c r="A1431" s="17" t="s">
        <v>4484</v>
      </c>
      <c r="B1431" t="s">
        <v>5969</v>
      </c>
      <c r="C1431" s="9" t="str">
        <f>_xlfn.CONCAT(HEX2DEC(MID(Table14[[#This Row],[Color Code]], 1, 2))," , ",HEX2DEC(MID(Table14[[#This Row],[Color Code]], 3, 2))," , ",HEX2DEC(MID(Table14[[#This Row],[Color Code]], 5, 2)))</f>
        <v>128 , 97 , 119</v>
      </c>
      <c r="D14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107.12609392673663</v>
      </c>
      <c r="E1431" t="str">
        <f>Table14[[#This Row],[Color Code]] &amp; " - " &amp;Table14[[#This Row],[Color Name]]</f>
        <v>806177 - K064</v>
      </c>
    </row>
    <row r="1432" spans="1:5" x14ac:dyDescent="0.35">
      <c r="A1432" s="17" t="s">
        <v>3270</v>
      </c>
      <c r="B1432" t="s">
        <v>5529</v>
      </c>
      <c r="C1432" s="9" t="str">
        <f>_xlfn.CONCAT(HEX2DEC(MID(Table14[[#This Row],[Color Code]], 1, 2))," , ",HEX2DEC(MID(Table14[[#This Row],[Color Code]], 3, 2))," , ",HEX2DEC(MID(Table14[[#This Row],[Color Code]], 5, 2)))</f>
        <v>247 , 242 , 218</v>
      </c>
      <c r="D14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107.15876072445033</v>
      </c>
      <c r="E1432" t="str">
        <f>Table14[[#This Row],[Color Code]] &amp; " - " &amp;Table14[[#This Row],[Color Name]]</f>
        <v>F7F2DA - 7868</v>
      </c>
    </row>
    <row r="1433" spans="1:5" x14ac:dyDescent="0.35">
      <c r="A1433" s="17" t="s">
        <v>4021</v>
      </c>
      <c r="B1433" t="s">
        <v>6363</v>
      </c>
      <c r="C1433" s="9" t="str">
        <f>_xlfn.CONCAT(HEX2DEC(MID(Table14[[#This Row],[Color Code]], 1, 2))," , ",HEX2DEC(MID(Table14[[#This Row],[Color Code]], 3, 2))," , ",HEX2DEC(MID(Table14[[#This Row],[Color Code]], 5, 2)))</f>
        <v>138 , 110 , 89</v>
      </c>
      <c r="D14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107.2240644631605</v>
      </c>
      <c r="E1433" t="str">
        <f>Table14[[#This Row],[Color Code]] &amp; " - " &amp;Table14[[#This Row],[Color Name]]</f>
        <v>8A6E59 - 8550</v>
      </c>
    </row>
    <row r="1434" spans="1:5" x14ac:dyDescent="0.35">
      <c r="A1434" s="17" t="s">
        <v>2841</v>
      </c>
      <c r="B1434" t="s">
        <v>5058</v>
      </c>
      <c r="C1434" s="9" t="str">
        <f>_xlfn.CONCAT(HEX2DEC(MID(Table14[[#This Row],[Color Code]], 1, 2))," , ",HEX2DEC(MID(Table14[[#This Row],[Color Code]], 3, 2))," , ",HEX2DEC(MID(Table14[[#This Row],[Color Code]], 5, 2)))</f>
        <v>89 , 168 , 184</v>
      </c>
      <c r="D14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107.23339032223126</v>
      </c>
      <c r="E1434" t="str">
        <f>Table14[[#This Row],[Color Code]] &amp; " - " &amp;Table14[[#This Row],[Color Name]]</f>
        <v>59A8B8 - 9679</v>
      </c>
    </row>
    <row r="1435" spans="1:5" x14ac:dyDescent="0.35">
      <c r="A1435" s="17" t="s">
        <v>4117</v>
      </c>
      <c r="B1435" t="s">
        <v>6467</v>
      </c>
      <c r="C1435" s="9" t="str">
        <f>_xlfn.CONCAT(HEX2DEC(MID(Table14[[#This Row],[Color Code]], 1, 2))," , ",HEX2DEC(MID(Table14[[#This Row],[Color Code]], 3, 2))," , ",HEX2DEC(MID(Table14[[#This Row],[Color Code]], 5, 2)))</f>
        <v>172 , 100 , 81</v>
      </c>
      <c r="D14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107.24271537032247</v>
      </c>
      <c r="E1435" t="str">
        <f>Table14[[#This Row],[Color Code]] &amp; " - " &amp;Table14[[#This Row],[Color Name]]</f>
        <v>AC6451 - 0587</v>
      </c>
    </row>
    <row r="1436" spans="1:5" x14ac:dyDescent="0.35">
      <c r="A1436" s="17" t="s">
        <v>3760</v>
      </c>
      <c r="B1436" t="s">
        <v>6053</v>
      </c>
      <c r="C1436" s="9" t="str">
        <f>_xlfn.CONCAT(HEX2DEC(MID(Table14[[#This Row],[Color Code]], 1, 2))," , ",HEX2DEC(MID(Table14[[#This Row],[Color Code]], 3, 2))," , ",HEX2DEC(MID(Table14[[#This Row],[Color Code]], 5, 2)))</f>
        <v>234 , 238 , 231</v>
      </c>
      <c r="D14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107.28000745712129</v>
      </c>
      <c r="E1436" t="str">
        <f>Table14[[#This Row],[Color Code]] &amp; " - " &amp;Table14[[#This Row],[Color Name]]</f>
        <v>EAEEE7 - 9244</v>
      </c>
    </row>
    <row r="1437" spans="1:5" x14ac:dyDescent="0.35">
      <c r="A1437" s="17" t="s">
        <v>2489</v>
      </c>
      <c r="B1437" t="s">
        <v>4682</v>
      </c>
      <c r="C1437" s="9" t="str">
        <f>_xlfn.CONCAT(HEX2DEC(MID(Table14[[#This Row],[Color Code]], 1, 2))," , ",HEX2DEC(MID(Table14[[#This Row],[Color Code]], 3, 2))," , ",HEX2DEC(MID(Table14[[#This Row],[Color Code]], 5, 2)))</f>
        <v>242 , 238 , 226</v>
      </c>
      <c r="D14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107.2846680565308</v>
      </c>
      <c r="E1437" t="str">
        <f>Table14[[#This Row],[Color Code]] &amp; " - " &amp;Table14[[#This Row],[Color Name]]</f>
        <v>F2EEE2 - L170</v>
      </c>
    </row>
    <row r="1438" spans="1:5" x14ac:dyDescent="0.35">
      <c r="A1438" s="17" t="s">
        <v>3181</v>
      </c>
      <c r="B1438" t="s">
        <v>5439</v>
      </c>
      <c r="C1438" s="9" t="str">
        <f>_xlfn.CONCAT(HEX2DEC(MID(Table14[[#This Row],[Color Code]], 1, 2))," , ",HEX2DEC(MID(Table14[[#This Row],[Color Code]], 3, 2))," , ",HEX2DEC(MID(Table14[[#This Row],[Color Code]], 5, 2)))</f>
        <v>154 , 137 , 62</v>
      </c>
      <c r="D14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107.41042779916668</v>
      </c>
      <c r="E1438" t="str">
        <f>Table14[[#This Row],[Color Code]] &amp; " - " &amp;Table14[[#This Row],[Color Name]]</f>
        <v>9A893E - 9852</v>
      </c>
    </row>
    <row r="1439" spans="1:5" x14ac:dyDescent="0.35">
      <c r="A1439" s="17" t="s">
        <v>4356</v>
      </c>
      <c r="B1439" t="s">
        <v>6733</v>
      </c>
      <c r="C1439" s="9" t="str">
        <f>_xlfn.CONCAT(HEX2DEC(MID(Table14[[#This Row],[Color Code]], 1, 2))," , ",HEX2DEC(MID(Table14[[#This Row],[Color Code]], 3, 2))," , ",HEX2DEC(MID(Table14[[#This Row],[Color Code]], 5, 2)))</f>
        <v>99 , 176 , 209</v>
      </c>
      <c r="D14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107.54533927604673</v>
      </c>
      <c r="E1439" t="str">
        <f>Table14[[#This Row],[Color Code]] &amp; " - " &amp;Table14[[#This Row],[Color Name]]</f>
        <v>63B0D1 - X171</v>
      </c>
    </row>
    <row r="1440" spans="1:5" x14ac:dyDescent="0.35">
      <c r="A1440" s="17" t="s">
        <v>2512</v>
      </c>
      <c r="B1440" t="s">
        <v>4706</v>
      </c>
      <c r="C1440" s="9" t="str">
        <f>_xlfn.CONCAT(HEX2DEC(MID(Table14[[#This Row],[Color Code]], 1, 2))," , ",HEX2DEC(MID(Table14[[#This Row],[Color Code]], 3, 2))," , ",HEX2DEC(MID(Table14[[#This Row],[Color Code]], 5, 2)))</f>
        <v>241 , 237 , 228</v>
      </c>
      <c r="D14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107.58252646224665</v>
      </c>
      <c r="E1440" t="str">
        <f>Table14[[#This Row],[Color Code]] &amp; " - " &amp;Table14[[#This Row],[Color Name]]</f>
        <v>F1EDE4 - L165</v>
      </c>
    </row>
    <row r="1441" spans="1:5" x14ac:dyDescent="0.35">
      <c r="A1441" s="17" t="s">
        <v>2460</v>
      </c>
      <c r="B1441" t="s">
        <v>4652</v>
      </c>
      <c r="C1441" s="9" t="str">
        <f>_xlfn.CONCAT(HEX2DEC(MID(Table14[[#This Row],[Color Code]], 1, 2))," , ",HEX2DEC(MID(Table14[[#This Row],[Color Code]], 3, 2))," , ",HEX2DEC(MID(Table14[[#This Row],[Color Code]], 5, 2)))</f>
        <v>249 , 238 , 221</v>
      </c>
      <c r="D14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107.58252646224665</v>
      </c>
      <c r="E1441" t="str">
        <f>Table14[[#This Row],[Color Code]] &amp; " - " &amp;Table14[[#This Row],[Color Name]]</f>
        <v>F9EEDD - 7988</v>
      </c>
    </row>
    <row r="1442" spans="1:5" x14ac:dyDescent="0.35">
      <c r="A1442" s="17" t="s">
        <v>4493</v>
      </c>
      <c r="B1442" t="s">
        <v>6010</v>
      </c>
      <c r="C1442" s="9" t="str">
        <f>_xlfn.CONCAT(HEX2DEC(MID(Table14[[#This Row],[Color Code]], 1, 2))," , ",HEX2DEC(MID(Table14[[#This Row],[Color Code]], 3, 2))," , ",HEX2DEC(MID(Table14[[#This Row],[Color Code]], 5, 2)))</f>
        <v>115 , 112 , 114</v>
      </c>
      <c r="D14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107.60576192751019</v>
      </c>
      <c r="E1442" t="str">
        <f>Table14[[#This Row],[Color Code]] &amp; " - " &amp;Table14[[#This Row],[Color Name]]</f>
        <v>737072 - 8231</v>
      </c>
    </row>
    <row r="1443" spans="1:5" x14ac:dyDescent="0.35">
      <c r="A1443" s="17" t="s">
        <v>2796</v>
      </c>
      <c r="B1443" t="s">
        <v>5011</v>
      </c>
      <c r="C1443" s="9" t="str">
        <f>_xlfn.CONCAT(HEX2DEC(MID(Table14[[#This Row],[Color Code]], 1, 2))," , ",HEX2DEC(MID(Table14[[#This Row],[Color Code]], 3, 2))," , ",HEX2DEC(MID(Table14[[#This Row],[Color Code]], 5, 2)))</f>
        <v>117 , 200 , 228</v>
      </c>
      <c r="D14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107.60576192751019</v>
      </c>
      <c r="E1443" t="str">
        <f>Table14[[#This Row],[Color Code]] &amp; " - " &amp;Table14[[#This Row],[Color Name]]</f>
        <v>75C8E4 - 9661</v>
      </c>
    </row>
    <row r="1444" spans="1:5" x14ac:dyDescent="0.35">
      <c r="A1444" s="17" t="s">
        <v>2492</v>
      </c>
      <c r="B1444" t="s">
        <v>4686</v>
      </c>
      <c r="C1444" s="9" t="str">
        <f>_xlfn.CONCAT(HEX2DEC(MID(Table14[[#This Row],[Color Code]], 1, 2))," , ",HEX2DEC(MID(Table14[[#This Row],[Color Code]], 3, 2))," , ",HEX2DEC(MID(Table14[[#This Row],[Color Code]], 5, 2)))</f>
        <v>243 , 239 , 225</v>
      </c>
      <c r="D14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107.68936809174804</v>
      </c>
      <c r="E1444" t="str">
        <f>Table14[[#This Row],[Color Code]] &amp; " - " &amp;Table14[[#This Row],[Color Name]]</f>
        <v>F3EFE1 - L122</v>
      </c>
    </row>
    <row r="1445" spans="1:5" x14ac:dyDescent="0.35">
      <c r="A1445" s="17" t="s">
        <v>2441</v>
      </c>
      <c r="B1445" t="s">
        <v>4633</v>
      </c>
      <c r="C1445" s="9" t="str">
        <f>_xlfn.CONCAT(HEX2DEC(MID(Table14[[#This Row],[Color Code]], 1, 2))," , ",HEX2DEC(MID(Table14[[#This Row],[Color Code]], 3, 2))," , ",HEX2DEC(MID(Table14[[#This Row],[Color Code]], 5, 2)))</f>
        <v>247 , 240 , 221</v>
      </c>
      <c r="D14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107.73114684249862</v>
      </c>
      <c r="E1445" t="str">
        <f>Table14[[#This Row],[Color Code]] &amp; " - " &amp;Table14[[#This Row],[Color Name]]</f>
        <v>F7F0DD - 7948</v>
      </c>
    </row>
    <row r="1446" spans="1:5" x14ac:dyDescent="0.35">
      <c r="A1446" s="17" t="s">
        <v>4063</v>
      </c>
      <c r="B1446" t="s">
        <v>6407</v>
      </c>
      <c r="C1446" s="9" t="str">
        <f>_xlfn.CONCAT(HEX2DEC(MID(Table14[[#This Row],[Color Code]], 1, 2))," , ",HEX2DEC(MID(Table14[[#This Row],[Color Code]], 3, 2))," , ",HEX2DEC(MID(Table14[[#This Row],[Color Code]], 5, 2)))</f>
        <v>162 , 107 , 77</v>
      </c>
      <c r="D14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107.74042880924505</v>
      </c>
      <c r="E1446" t="str">
        <f>Table14[[#This Row],[Color Code]] &amp; " - " &amp;Table14[[#This Row],[Color Name]]</f>
        <v>A26B4D - K200</v>
      </c>
    </row>
    <row r="1447" spans="1:5" x14ac:dyDescent="0.35">
      <c r="A1447" s="17" t="s">
        <v>2519</v>
      </c>
      <c r="B1447" t="s">
        <v>4713</v>
      </c>
      <c r="C1447" s="9" t="str">
        <f>_xlfn.CONCAT(HEX2DEC(MID(Table14[[#This Row],[Color Code]], 1, 2))," , ",HEX2DEC(MID(Table14[[#This Row],[Color Code]], 3, 2))," , ",HEX2DEC(MID(Table14[[#This Row],[Color Code]], 5, 2)))</f>
        <v>238 , 236 , 231</v>
      </c>
      <c r="D14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107.76363022838457</v>
      </c>
      <c r="E1447" t="str">
        <f>Table14[[#This Row],[Color Code]] &amp; " - " &amp;Table14[[#This Row],[Color Name]]</f>
        <v>EEECE7 - 7220</v>
      </c>
    </row>
    <row r="1448" spans="1:5" x14ac:dyDescent="0.35">
      <c r="A1448" s="17" t="s">
        <v>2450</v>
      </c>
      <c r="B1448" t="s">
        <v>4642</v>
      </c>
      <c r="C1448" s="9" t="str">
        <f>_xlfn.CONCAT(HEX2DEC(MID(Table14[[#This Row],[Color Code]], 1, 2))," , ",HEX2DEC(MID(Table14[[#This Row],[Color Code]], 3, 2))," , ",HEX2DEC(MID(Table14[[#This Row],[Color Code]], 5, 2)))</f>
        <v>247 , 238 , 223</v>
      </c>
      <c r="D14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107.78682665335315</v>
      </c>
      <c r="E1448" t="str">
        <f>Table14[[#This Row],[Color Code]] &amp; " - " &amp;Table14[[#This Row],[Color Name]]</f>
        <v>F7EEDF - 7996</v>
      </c>
    </row>
    <row r="1449" spans="1:5" x14ac:dyDescent="0.35">
      <c r="A1449" s="17" t="s">
        <v>3018</v>
      </c>
      <c r="B1449" t="s">
        <v>5262</v>
      </c>
      <c r="C1449" s="9" t="str">
        <f>_xlfn.CONCAT(HEX2DEC(MID(Table14[[#This Row],[Color Code]], 1, 2))," , ",HEX2DEC(MID(Table14[[#This Row],[Color Code]], 3, 2))," , ",HEX2DEC(MID(Table14[[#This Row],[Color Code]], 5, 2)))</f>
        <v>96 , 161 , 108</v>
      </c>
      <c r="D14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107.80074211247342</v>
      </c>
      <c r="E1449" t="str">
        <f>Table14[[#This Row],[Color Code]] &amp; " - " &amp;Table14[[#This Row],[Color Name]]</f>
        <v>60A16C - 7606</v>
      </c>
    </row>
    <row r="1450" spans="1:5" x14ac:dyDescent="0.35">
      <c r="A1450" s="17" t="s">
        <v>3143</v>
      </c>
      <c r="B1450" t="s">
        <v>5399</v>
      </c>
      <c r="C1450" s="9" t="str">
        <f>_xlfn.CONCAT(HEX2DEC(MID(Table14[[#This Row],[Color Code]], 1, 2))," , ",HEX2DEC(MID(Table14[[#This Row],[Color Code]], 3, 2))," , ",HEX2DEC(MID(Table14[[#This Row],[Color Code]], 5, 2)))</f>
        <v>144 , 149 , 62</v>
      </c>
      <c r="D14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107.83784122468327</v>
      </c>
      <c r="E1450" t="str">
        <f>Table14[[#This Row],[Color Code]] &amp; " - " &amp;Table14[[#This Row],[Color Name]]</f>
        <v>90953E - 9830</v>
      </c>
    </row>
    <row r="1451" spans="1:5" x14ac:dyDescent="0.35">
      <c r="A1451" s="17" t="s">
        <v>2480</v>
      </c>
      <c r="B1451" t="s">
        <v>4673</v>
      </c>
      <c r="C1451" s="9" t="str">
        <f>_xlfn.CONCAT(HEX2DEC(MID(Table14[[#This Row],[Color Code]], 1, 2))," , ",HEX2DEC(MID(Table14[[#This Row],[Color Code]], 3, 2))," , ",HEX2DEC(MID(Table14[[#This Row],[Color Code]], 5, 2)))</f>
        <v>246 , 240 , 222</v>
      </c>
      <c r="D14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107.8424777163433</v>
      </c>
      <c r="E1451" t="str">
        <f>Table14[[#This Row],[Color Code]] &amp; " - " &amp;Table14[[#This Row],[Color Name]]</f>
        <v>F6F0DE - L125</v>
      </c>
    </row>
    <row r="1452" spans="1:5" x14ac:dyDescent="0.35">
      <c r="A1452" s="17" t="s">
        <v>2567</v>
      </c>
      <c r="B1452" t="s">
        <v>4761</v>
      </c>
      <c r="C1452" s="9" t="str">
        <f>_xlfn.CONCAT(HEX2DEC(MID(Table14[[#This Row],[Color Code]], 1, 2))," , ",HEX2DEC(MID(Table14[[#This Row],[Color Code]], 3, 2))," , ",HEX2DEC(MID(Table14[[#This Row],[Color Code]], 5, 2)))</f>
        <v>231 , 236 , 235</v>
      </c>
      <c r="D14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107.89810007595129</v>
      </c>
      <c r="E1452" t="str">
        <f>Table14[[#This Row],[Color Code]] &amp; " - " &amp;Table14[[#This Row],[Color Name]]</f>
        <v>E7ECEB - L181</v>
      </c>
    </row>
    <row r="1453" spans="1:5" x14ac:dyDescent="0.35">
      <c r="A1453" s="17" t="s">
        <v>2434</v>
      </c>
      <c r="B1453" t="s">
        <v>4626</v>
      </c>
      <c r="C1453" s="9" t="str">
        <f>_xlfn.CONCAT(HEX2DEC(MID(Table14[[#This Row],[Color Code]], 1, 2))," , ",HEX2DEC(MID(Table14[[#This Row],[Color Code]], 3, 2))," , ",HEX2DEC(MID(Table14[[#This Row],[Color Code]], 5, 2)))</f>
        <v>247 , 236 , 225</v>
      </c>
      <c r="D14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107.91663449162969</v>
      </c>
      <c r="E1453" t="str">
        <f>Table14[[#This Row],[Color Code]] &amp; " - " &amp;Table14[[#This Row],[Color Name]]</f>
        <v>F7ECE1 - 8636</v>
      </c>
    </row>
    <row r="1454" spans="1:5" x14ac:dyDescent="0.35">
      <c r="A1454" s="17" t="s">
        <v>2482</v>
      </c>
      <c r="B1454" t="s">
        <v>4675</v>
      </c>
      <c r="C1454" s="9" t="str">
        <f>_xlfn.CONCAT(HEX2DEC(MID(Table14[[#This Row],[Color Code]], 1, 2))," , ",HEX2DEC(MID(Table14[[#This Row],[Color Code]], 3, 2))," , ",HEX2DEC(MID(Table14[[#This Row],[Color Code]], 5, 2)))</f>
        <v>242 , 238 , 227</v>
      </c>
      <c r="D14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107.94906206169649</v>
      </c>
      <c r="E1454" t="str">
        <f>Table14[[#This Row],[Color Code]] &amp; " - " &amp;Table14[[#This Row],[Color Name]]</f>
        <v>F2EEE3 - L104</v>
      </c>
    </row>
    <row r="1455" spans="1:5" x14ac:dyDescent="0.35">
      <c r="A1455" s="17" t="s">
        <v>2482</v>
      </c>
      <c r="B1455" t="s">
        <v>4685</v>
      </c>
      <c r="C1455" s="9" t="str">
        <f>_xlfn.CONCAT(HEX2DEC(MID(Table14[[#This Row],[Color Code]], 1, 2))," , ",HEX2DEC(MID(Table14[[#This Row],[Color Code]], 3, 2))," , ",HEX2DEC(MID(Table14[[#This Row],[Color Code]], 5, 2)))</f>
        <v>242 , 238 , 227</v>
      </c>
      <c r="D14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107.94906206169649</v>
      </c>
      <c r="E1455" t="str">
        <f>Table14[[#This Row],[Color Code]] &amp; " - " &amp;Table14[[#This Row],[Color Name]]</f>
        <v>F2EEE3 - L105</v>
      </c>
    </row>
    <row r="1456" spans="1:5" x14ac:dyDescent="0.35">
      <c r="A1456" s="17" t="s">
        <v>4413</v>
      </c>
      <c r="B1456" t="s">
        <v>4934</v>
      </c>
      <c r="C1456" s="9" t="str">
        <f>_xlfn.CONCAT(HEX2DEC(MID(Table14[[#This Row],[Color Code]], 1, 2))," , ",HEX2DEC(MID(Table14[[#This Row],[Color Code]], 3, 2))," , ",HEX2DEC(MID(Table14[[#This Row],[Color Code]], 5, 2)))</f>
        <v>102 , 116 , 146</v>
      </c>
      <c r="D14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107.99074034379059</v>
      </c>
      <c r="E1456" t="str">
        <f>Table14[[#This Row],[Color Code]] &amp; " - " &amp;Table14[[#This Row],[Color Name]]</f>
        <v>667492 - 7222</v>
      </c>
    </row>
    <row r="1457" spans="1:5" x14ac:dyDescent="0.35">
      <c r="A1457" s="17" t="s">
        <v>2421</v>
      </c>
      <c r="B1457" t="s">
        <v>4613</v>
      </c>
      <c r="C1457" s="9" t="str">
        <f>_xlfn.CONCAT(HEX2DEC(MID(Table14[[#This Row],[Color Code]], 1, 2))," , ",HEX2DEC(MID(Table14[[#This Row],[Color Code]], 3, 2))," , ",HEX2DEC(MID(Table14[[#This Row],[Color Code]], 5, 2)))</f>
        <v>247 , 235 , 226</v>
      </c>
      <c r="D14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108.00925886237717</v>
      </c>
      <c r="E1457" t="str">
        <f>Table14[[#This Row],[Color Code]] &amp; " - " &amp;Table14[[#This Row],[Color Name]]</f>
        <v>F7EBE2 - 8052</v>
      </c>
    </row>
    <row r="1458" spans="1:5" x14ac:dyDescent="0.35">
      <c r="A1458" s="17" t="s">
        <v>4572</v>
      </c>
      <c r="B1458" t="s">
        <v>6618</v>
      </c>
      <c r="C1458" s="9" t="str">
        <f>_xlfn.CONCAT(HEX2DEC(MID(Table14[[#This Row],[Color Code]], 1, 2))," , ",HEX2DEC(MID(Table14[[#This Row],[Color Code]], 3, 2))," , ",HEX2DEC(MID(Table14[[#This Row],[Color Code]], 5, 2)))</f>
        <v>128 , 110 , 97</v>
      </c>
      <c r="D14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108.09717850156868</v>
      </c>
      <c r="E1458" t="str">
        <f>Table14[[#This Row],[Color Code]] &amp; " - " &amp;Table14[[#This Row],[Color Name]]</f>
        <v>806E61 - 8766</v>
      </c>
    </row>
    <row r="1459" spans="1:5" x14ac:dyDescent="0.35">
      <c r="A1459" s="17" t="s">
        <v>4314</v>
      </c>
      <c r="B1459" t="s">
        <v>6685</v>
      </c>
      <c r="C1459" s="9" t="str">
        <f>_xlfn.CONCAT(HEX2DEC(MID(Table14[[#This Row],[Color Code]], 1, 2))," , ",HEX2DEC(MID(Table14[[#This Row],[Color Code]], 3, 2))," , ",HEX2DEC(MID(Table14[[#This Row],[Color Code]], 5, 2)))</f>
        <v>254 , 206 , 72</v>
      </c>
      <c r="D14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108.1387996974259</v>
      </c>
      <c r="E1459" t="str">
        <f>Table14[[#This Row],[Color Code]] &amp; " - " &amp;Table14[[#This Row],[Color Name]]</f>
        <v>FECE48 - 7870</v>
      </c>
    </row>
    <row r="1460" spans="1:5" x14ac:dyDescent="0.35">
      <c r="A1460" s="17" t="s">
        <v>2592</v>
      </c>
      <c r="B1460" t="s">
        <v>4787</v>
      </c>
      <c r="C1460" s="9" t="str">
        <f>_xlfn.CONCAT(HEX2DEC(MID(Table14[[#This Row],[Color Code]], 1, 2))," , ",HEX2DEC(MID(Table14[[#This Row],[Color Code]], 3, 2))," , ",HEX2DEC(MID(Table14[[#This Row],[Color Code]], 5, 2)))</f>
        <v>244 , 232 , 231</v>
      </c>
      <c r="D14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108.30050784737807</v>
      </c>
      <c r="E1460" t="str">
        <f>Table14[[#This Row],[Color Code]] &amp; " - " &amp;Table14[[#This Row],[Color Name]]</f>
        <v>F4E8E7 - 8132</v>
      </c>
    </row>
    <row r="1461" spans="1:5" x14ac:dyDescent="0.35">
      <c r="A1461" s="17" t="s">
        <v>2807</v>
      </c>
      <c r="B1461" t="s">
        <v>5022</v>
      </c>
      <c r="C1461" s="9" t="str">
        <f>_xlfn.CONCAT(HEX2DEC(MID(Table14[[#This Row],[Color Code]], 1, 2))," , ",HEX2DEC(MID(Table14[[#This Row],[Color Code]], 3, 2))," , ",HEX2DEC(MID(Table14[[#This Row],[Color Code]], 5, 2)))</f>
        <v>89 , 142 , 162</v>
      </c>
      <c r="D14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108.38357809188622</v>
      </c>
      <c r="E1461" t="str">
        <f>Table14[[#This Row],[Color Code]] &amp; " - " &amp;Table14[[#This Row],[Color Name]]</f>
        <v>598EA2 - 9223</v>
      </c>
    </row>
    <row r="1462" spans="1:5" x14ac:dyDescent="0.35">
      <c r="A1462" s="17" t="s">
        <v>4378</v>
      </c>
      <c r="B1462" t="s">
        <v>6759</v>
      </c>
      <c r="C1462" s="9" t="str">
        <f>_xlfn.CONCAT(HEX2DEC(MID(Table14[[#This Row],[Color Code]], 1, 2))," , ",HEX2DEC(MID(Table14[[#This Row],[Color Code]], 3, 2))," , ",HEX2DEC(MID(Table14[[#This Row],[Color Code]], 5, 2)))</f>
        <v>142 , 83 , 127</v>
      </c>
      <c r="D14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108.38819123871383</v>
      </c>
      <c r="E1462" t="str">
        <f>Table14[[#This Row],[Color Code]] &amp; " - " &amp;Table14[[#This Row],[Color Name]]</f>
        <v>8E537F - X138</v>
      </c>
    </row>
    <row r="1463" spans="1:5" x14ac:dyDescent="0.35">
      <c r="A1463" s="17" t="s">
        <v>4319</v>
      </c>
      <c r="B1463" t="s">
        <v>6690</v>
      </c>
      <c r="C1463" s="9" t="str">
        <f>_xlfn.CONCAT(HEX2DEC(MID(Table14[[#This Row],[Color Code]], 1, 2))," , ",HEX2DEC(MID(Table14[[#This Row],[Color Code]], 3, 2))," , ",HEX2DEC(MID(Table14[[#This Row],[Color Code]], 5, 2)))</f>
        <v>219 , 176 , 50</v>
      </c>
      <c r="D14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108.42047777057617</v>
      </c>
      <c r="E1463" t="str">
        <f>Table14[[#This Row],[Color Code]] &amp; " - " &amp;Table14[[#This Row],[Color Name]]</f>
        <v>DBB032 - X101</v>
      </c>
    </row>
    <row r="1464" spans="1:5" x14ac:dyDescent="0.35">
      <c r="A1464" s="17" t="s">
        <v>3113</v>
      </c>
      <c r="B1464" t="s">
        <v>5366</v>
      </c>
      <c r="C1464" s="9" t="str">
        <f>_xlfn.CONCAT(HEX2DEC(MID(Table14[[#This Row],[Color Code]], 1, 2))," , ",HEX2DEC(MID(Table14[[#This Row],[Color Code]], 3, 2))," , ",HEX2DEC(MID(Table14[[#This Row],[Color Code]], 5, 2)))</f>
        <v>165 , 179 , 50</v>
      </c>
      <c r="D14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108.48963084092415</v>
      </c>
      <c r="E1464" t="str">
        <f>Table14[[#This Row],[Color Code]] &amp; " - " &amp;Table14[[#This Row],[Color Name]]</f>
        <v>A5B332 - 9798</v>
      </c>
    </row>
    <row r="1465" spans="1:5" x14ac:dyDescent="0.35">
      <c r="A1465" s="17" t="s">
        <v>4451</v>
      </c>
      <c r="B1465" t="s">
        <v>5300</v>
      </c>
      <c r="C1465" s="9" t="str">
        <f>_xlfn.CONCAT(HEX2DEC(MID(Table14[[#This Row],[Color Code]], 1, 2))," , ",HEX2DEC(MID(Table14[[#This Row],[Color Code]], 3, 2))," , ",HEX2DEC(MID(Table14[[#This Row],[Color Code]], 5, 2)))</f>
        <v>128 , 150 , 71</v>
      </c>
      <c r="D14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108.52188719332152</v>
      </c>
      <c r="E1465" t="str">
        <f>Table14[[#This Row],[Color Code]] &amp; " - " &amp;Table14[[#This Row],[Color Name]]</f>
        <v>809647 - 9781</v>
      </c>
    </row>
    <row r="1466" spans="1:5" x14ac:dyDescent="0.35">
      <c r="A1466" s="17" t="s">
        <v>2759</v>
      </c>
      <c r="B1466" t="s">
        <v>4971</v>
      </c>
      <c r="C1466" s="9" t="str">
        <f>_xlfn.CONCAT(HEX2DEC(MID(Table14[[#This Row],[Color Code]], 1, 2))," , ",HEX2DEC(MID(Table14[[#This Row],[Color Code]], 3, 2))," , ",HEX2DEC(MID(Table14[[#This Row],[Color Code]], 5, 2)))</f>
        <v>94 , 130 , 168</v>
      </c>
      <c r="D14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108.61859877571612</v>
      </c>
      <c r="E1466" t="str">
        <f>Table14[[#This Row],[Color Code]] &amp; " - " &amp;Table14[[#This Row],[Color Name]]</f>
        <v>5E82A8 - 9150</v>
      </c>
    </row>
    <row r="1467" spans="1:5" x14ac:dyDescent="0.35">
      <c r="A1467" s="17" t="s">
        <v>3134</v>
      </c>
      <c r="B1467" t="s">
        <v>5390</v>
      </c>
      <c r="C1467" s="9" t="str">
        <f>_xlfn.CONCAT(HEX2DEC(MID(Table14[[#This Row],[Color Code]], 1, 2))," , ",HEX2DEC(MID(Table14[[#This Row],[Color Code]], 3, 2))," , ",HEX2DEC(MID(Table14[[#This Row],[Color Code]], 5, 2)))</f>
        <v>131 , 143 , 71</v>
      </c>
      <c r="D14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108.63240768757728</v>
      </c>
      <c r="E1467" t="str">
        <f>Table14[[#This Row],[Color Code]] &amp; " - " &amp;Table14[[#This Row],[Color Name]]</f>
        <v>838F47 - 9822</v>
      </c>
    </row>
    <row r="1468" spans="1:5" x14ac:dyDescent="0.35">
      <c r="A1468" s="17" t="s">
        <v>2483</v>
      </c>
      <c r="B1468" t="s">
        <v>4676</v>
      </c>
      <c r="C1468" s="9" t="str">
        <f>_xlfn.CONCAT(HEX2DEC(MID(Table14[[#This Row],[Color Code]], 1, 2))," , ",HEX2DEC(MID(Table14[[#This Row],[Color Code]], 3, 2))," , ",HEX2DEC(MID(Table14[[#This Row],[Color Code]], 5, 2)))</f>
        <v>245 , 239 , 225</v>
      </c>
      <c r="D14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108.65081684000356</v>
      </c>
      <c r="E1468" t="str">
        <f>Table14[[#This Row],[Color Code]] &amp; " - " &amp;Table14[[#This Row],[Color Name]]</f>
        <v>F5EFE1 - L101</v>
      </c>
    </row>
    <row r="1469" spans="1:5" x14ac:dyDescent="0.35">
      <c r="A1469" s="17" t="s">
        <v>4505</v>
      </c>
      <c r="B1469" t="s">
        <v>6098</v>
      </c>
      <c r="C1469" s="9" t="str">
        <f>_xlfn.CONCAT(HEX2DEC(MID(Table14[[#This Row],[Color Code]], 1, 2))," , ",HEX2DEC(MID(Table14[[#This Row],[Color Code]], 3, 2))," , ",HEX2DEC(MID(Table14[[#This Row],[Color Code]], 5, 2)))</f>
        <v>113 , 114 , 112</v>
      </c>
      <c r="D14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108.67842472174502</v>
      </c>
      <c r="E1469" t="str">
        <f>Table14[[#This Row],[Color Code]] &amp; " - " &amp;Table14[[#This Row],[Color Name]]</f>
        <v>717270 - 8303</v>
      </c>
    </row>
    <row r="1470" spans="1:5" x14ac:dyDescent="0.35">
      <c r="A1470" s="17" t="s">
        <v>4030</v>
      </c>
      <c r="B1470" t="s">
        <v>6372</v>
      </c>
      <c r="C1470" s="9" t="str">
        <f>_xlfn.CONCAT(HEX2DEC(MID(Table14[[#This Row],[Color Code]], 1, 2))," , ",HEX2DEC(MID(Table14[[#This Row],[Color Code]], 3, 2))," , ",HEX2DEC(MID(Table14[[#This Row],[Color Code]], 5, 2)))</f>
        <v>158 , 111 , 74</v>
      </c>
      <c r="D14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108.68762579061151</v>
      </c>
      <c r="E1470" t="str">
        <f>Table14[[#This Row],[Color Code]] &amp; " - " &amp;Table14[[#This Row],[Color Name]]</f>
        <v>9E6F4A - 4198</v>
      </c>
    </row>
    <row r="1471" spans="1:5" x14ac:dyDescent="0.35">
      <c r="A1471" s="17" t="s">
        <v>3368</v>
      </c>
      <c r="B1471" t="s">
        <v>5627</v>
      </c>
      <c r="C1471" s="9" t="str">
        <f>_xlfn.CONCAT(HEX2DEC(MID(Table14[[#This Row],[Color Code]], 1, 2))," , ",HEX2DEC(MID(Table14[[#This Row],[Color Code]], 3, 2))," , ",HEX2DEC(MID(Table14[[#This Row],[Color Code]], 5, 2)))</f>
        <v>194 , 122 , 60</v>
      </c>
      <c r="D14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108.80257349897566</v>
      </c>
      <c r="E1471" t="str">
        <f>Table14[[#This Row],[Color Code]] &amp; " - " &amp;Table14[[#This Row],[Color Name]]</f>
        <v>C27A3C - 9900</v>
      </c>
    </row>
    <row r="1472" spans="1:5" x14ac:dyDescent="0.35">
      <c r="A1472" s="17" t="s">
        <v>4334</v>
      </c>
      <c r="B1472" t="s">
        <v>6706</v>
      </c>
      <c r="C1472" s="9" t="str">
        <f>_xlfn.CONCAT(HEX2DEC(MID(Table14[[#This Row],[Color Code]], 1, 2))," , ",HEX2DEC(MID(Table14[[#This Row],[Color Code]], 3, 2))," , ",HEX2DEC(MID(Table14[[#This Row],[Color Code]], 5, 2)))</f>
        <v>146 , 157 , 58</v>
      </c>
      <c r="D14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108.85311203635843</v>
      </c>
      <c r="E1472" t="str">
        <f>Table14[[#This Row],[Color Code]] &amp; " - " &amp;Table14[[#This Row],[Color Name]]</f>
        <v>929D3A - X222</v>
      </c>
    </row>
    <row r="1473" spans="1:5" x14ac:dyDescent="0.35">
      <c r="A1473" s="17" t="s">
        <v>3965</v>
      </c>
      <c r="B1473" t="s">
        <v>6301</v>
      </c>
      <c r="C1473" s="9" t="str">
        <f>_xlfn.CONCAT(HEX2DEC(MID(Table14[[#This Row],[Color Code]], 1, 2))," , ",HEX2DEC(MID(Table14[[#This Row],[Color Code]], 3, 2))," , ",HEX2DEC(MID(Table14[[#This Row],[Color Code]], 5, 2)))</f>
        <v>157 , 123 , 66</v>
      </c>
      <c r="D14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108.8577052853862</v>
      </c>
      <c r="E1473" t="str">
        <f>Table14[[#This Row],[Color Code]] &amp; " - " &amp;Table14[[#This Row],[Color Name]]</f>
        <v>9D7B42 - K174</v>
      </c>
    </row>
    <row r="1474" spans="1:5" x14ac:dyDescent="0.35">
      <c r="A1474" s="17" t="s">
        <v>3333</v>
      </c>
      <c r="B1474" t="s">
        <v>5592</v>
      </c>
      <c r="C1474" s="9" t="str">
        <f>_xlfn.CONCAT(HEX2DEC(MID(Table14[[#This Row],[Color Code]], 1, 2))," , ",HEX2DEC(MID(Table14[[#This Row],[Color Code]], 3, 2))," , ",HEX2DEC(MID(Table14[[#This Row],[Color Code]], 5, 2)))</f>
        <v>237 , 180 , 56</v>
      </c>
      <c r="D14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108.8622983406101</v>
      </c>
      <c r="E1474" t="str">
        <f>Table14[[#This Row],[Color Code]] &amp; " - " &amp;Table14[[#This Row],[Color Name]]</f>
        <v>EDB438 - 9888</v>
      </c>
    </row>
    <row r="1475" spans="1:5" x14ac:dyDescent="0.35">
      <c r="A1475" s="17" t="s">
        <v>3092</v>
      </c>
      <c r="B1475" t="s">
        <v>5344</v>
      </c>
      <c r="C1475" s="9" t="str">
        <f>_xlfn.CONCAT(HEX2DEC(MID(Table14[[#This Row],[Color Code]], 1, 2))," , ",HEX2DEC(MID(Table14[[#This Row],[Color Code]], 3, 2))," , ",HEX2DEC(MID(Table14[[#This Row],[Color Code]], 5, 2)))</f>
        <v>136 , 159 , 63</v>
      </c>
      <c r="D14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108.88526071052959</v>
      </c>
      <c r="E1475" t="str">
        <f>Table14[[#This Row],[Color Code]] &amp; " - " &amp;Table14[[#This Row],[Color Name]]</f>
        <v>889F3F - 7709</v>
      </c>
    </row>
    <row r="1476" spans="1:5" x14ac:dyDescent="0.35">
      <c r="A1476" s="17" t="s">
        <v>3976</v>
      </c>
      <c r="B1476" t="s">
        <v>6316</v>
      </c>
      <c r="C1476" s="9" t="str">
        <f>_xlfn.CONCAT(HEX2DEC(MID(Table14[[#This Row],[Color Code]], 1, 2))," , ",HEX2DEC(MID(Table14[[#This Row],[Color Code]], 3, 2))," , ",HEX2DEC(MID(Table14[[#This Row],[Color Code]], 5, 2)))</f>
        <v>145 , 118 , 75</v>
      </c>
      <c r="D14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108.89444430272832</v>
      </c>
      <c r="E1476" t="str">
        <f>Table14[[#This Row],[Color Code]] &amp; " - " &amp;Table14[[#This Row],[Color Name]]</f>
        <v>91764B - 8501</v>
      </c>
    </row>
    <row r="1477" spans="1:5" x14ac:dyDescent="0.35">
      <c r="A1477" s="17" t="s">
        <v>3377</v>
      </c>
      <c r="B1477" t="s">
        <v>5636</v>
      </c>
      <c r="C1477" s="9" t="str">
        <f>_xlfn.CONCAT(HEX2DEC(MID(Table14[[#This Row],[Color Code]], 1, 2))," , ",HEX2DEC(MID(Table14[[#This Row],[Color Code]], 3, 2))," , ",HEX2DEC(MID(Table14[[#This Row],[Color Code]], 5, 2)))</f>
        <v>211 , 139 , 54</v>
      </c>
      <c r="D14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108.89444430272832</v>
      </c>
      <c r="E1477" t="str">
        <f>Table14[[#This Row],[Color Code]] &amp; " - " &amp;Table14[[#This Row],[Color Name]]</f>
        <v>D38B36 - 9902</v>
      </c>
    </row>
    <row r="1478" spans="1:5" x14ac:dyDescent="0.35">
      <c r="A1478" s="17" t="s">
        <v>3059</v>
      </c>
      <c r="B1478" t="s">
        <v>5307</v>
      </c>
      <c r="C1478" s="9" t="str">
        <f>_xlfn.CONCAT(HEX2DEC(MID(Table14[[#This Row],[Color Code]], 1, 2))," , ",HEX2DEC(MID(Table14[[#This Row],[Color Code]], 3, 2))," , ",HEX2DEC(MID(Table14[[#This Row],[Color Code]], 5, 2)))</f>
        <v>127 , 144 , 73</v>
      </c>
      <c r="D14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109.13294644606641</v>
      </c>
      <c r="E1478" t="str">
        <f>Table14[[#This Row],[Color Code]] &amp; " - " &amp;Table14[[#This Row],[Color Name]]</f>
        <v>7F9049 - 9788</v>
      </c>
    </row>
    <row r="1479" spans="1:5" x14ac:dyDescent="0.35">
      <c r="A1479" s="17" t="s">
        <v>2695</v>
      </c>
      <c r="B1479" t="s">
        <v>4903</v>
      </c>
      <c r="C1479" s="9" t="str">
        <f>_xlfn.CONCAT(HEX2DEC(MID(Table14[[#This Row],[Color Code]], 1, 2))," , ",HEX2DEC(MID(Table14[[#This Row],[Color Code]], 3, 2))," , ",HEX2DEC(MID(Table14[[#This Row],[Color Code]], 5, 2)))</f>
        <v>108 , 109 , 132</v>
      </c>
      <c r="D14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109.27488274987991</v>
      </c>
      <c r="E1479" t="str">
        <f>Table14[[#This Row],[Color Code]] &amp; " - " &amp;Table14[[#This Row],[Color Name]]</f>
        <v>6C6D84 - 7190</v>
      </c>
    </row>
    <row r="1480" spans="1:5" x14ac:dyDescent="0.35">
      <c r="A1480" s="17" t="s">
        <v>4000</v>
      </c>
      <c r="B1480" t="s">
        <v>6340</v>
      </c>
      <c r="C1480" s="9" t="str">
        <f>_xlfn.CONCAT(HEX2DEC(MID(Table14[[#This Row],[Color Code]], 1, 2))," , ",HEX2DEC(MID(Table14[[#This Row],[Color Code]], 3, 2))," , ",HEX2DEC(MID(Table14[[#This Row],[Color Code]], 5, 2)))</f>
        <v>145 , 112 , 79</v>
      </c>
      <c r="D14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109.33434958877288</v>
      </c>
      <c r="E1480" t="str">
        <f>Table14[[#This Row],[Color Code]] &amp; " - " &amp;Table14[[#This Row],[Color Name]]</f>
        <v>91704F - 8525</v>
      </c>
    </row>
    <row r="1481" spans="1:5" x14ac:dyDescent="0.35">
      <c r="A1481" s="17" t="s">
        <v>2420</v>
      </c>
      <c r="B1481" t="s">
        <v>4612</v>
      </c>
      <c r="C1481" s="9" t="str">
        <f>_xlfn.CONCAT(HEX2DEC(MID(Table14[[#This Row],[Color Code]], 1, 2))," , ",HEX2DEC(MID(Table14[[#This Row],[Color Code]], 3, 2))," , ",HEX2DEC(MID(Table14[[#This Row],[Color Code]], 5, 2)))</f>
        <v>247 , 235 , 228</v>
      </c>
      <c r="D14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109.33434958877288</v>
      </c>
      <c r="E1481" t="str">
        <f>Table14[[#This Row],[Color Code]] &amp; " - " &amp;Table14[[#This Row],[Color Name]]</f>
        <v>F7EBE4 - 8068</v>
      </c>
    </row>
    <row r="1482" spans="1:5" x14ac:dyDescent="0.35">
      <c r="A1482" s="17" t="s">
        <v>2403</v>
      </c>
      <c r="B1482" t="s">
        <v>4595</v>
      </c>
      <c r="C1482" s="9" t="str">
        <f>_xlfn.CONCAT(HEX2DEC(MID(Table14[[#This Row],[Color Code]], 1, 2))," , ",HEX2DEC(MID(Table14[[#This Row],[Color Code]], 3, 2))," , ",HEX2DEC(MID(Table14[[#This Row],[Color Code]], 5, 2)))</f>
        <v>247 , 234 , 229</v>
      </c>
      <c r="D14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109.46232228488486</v>
      </c>
      <c r="E1482" t="str">
        <f>Table14[[#This Row],[Color Code]] &amp; " - " &amp;Table14[[#This Row],[Color Name]]</f>
        <v>F7EAE5 - 8116</v>
      </c>
    </row>
    <row r="1483" spans="1:5" x14ac:dyDescent="0.35">
      <c r="A1483" s="17" t="s">
        <v>3560</v>
      </c>
      <c r="B1483" t="s">
        <v>5829</v>
      </c>
      <c r="C1483" s="9" t="str">
        <f>_xlfn.CONCAT(HEX2DEC(MID(Table14[[#This Row],[Color Code]], 1, 2))," , ",HEX2DEC(MID(Table14[[#This Row],[Color Code]], 3, 2))," , ",HEX2DEC(MID(Table14[[#This Row],[Color Code]], 5, 2)))</f>
        <v>246 , 235 , 229</v>
      </c>
      <c r="D14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109.50799057603056</v>
      </c>
      <c r="E1483" t="str">
        <f>Table14[[#This Row],[Color Code]] &amp; " - " &amp;Table14[[#This Row],[Color Name]]</f>
        <v>F6EBE5 - 9412</v>
      </c>
    </row>
    <row r="1484" spans="1:5" x14ac:dyDescent="0.35">
      <c r="A1484" s="17" t="s">
        <v>3278</v>
      </c>
      <c r="B1484" t="s">
        <v>5537</v>
      </c>
      <c r="C1484" s="9" t="str">
        <f>_xlfn.CONCAT(HEX2DEC(MID(Table14[[#This Row],[Color Code]], 1, 2))," , ",HEX2DEC(MID(Table14[[#This Row],[Color Code]], 3, 2))," , ",HEX2DEC(MID(Table14[[#This Row],[Color Code]], 5, 2)))</f>
        <v>247 , 242 , 222</v>
      </c>
      <c r="D14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109.55820370926132</v>
      </c>
      <c r="E1484" t="str">
        <f>Table14[[#This Row],[Color Code]] &amp; " - " &amp;Table14[[#This Row],[Color Name]]</f>
        <v>F7F2DE - 7876</v>
      </c>
    </row>
    <row r="1485" spans="1:5" x14ac:dyDescent="0.35">
      <c r="A1485" s="17" t="s">
        <v>2529</v>
      </c>
      <c r="B1485" t="s">
        <v>4723</v>
      </c>
      <c r="C1485" s="9" t="str">
        <f>_xlfn.CONCAT(HEX2DEC(MID(Table14[[#This Row],[Color Code]], 1, 2))," , ",HEX2DEC(MID(Table14[[#This Row],[Color Code]], 3, 2))," , ",HEX2DEC(MID(Table14[[#This Row],[Color Code]], 5, 2)))</f>
        <v>238 , 238 , 232</v>
      </c>
      <c r="D14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109.60839383915814</v>
      </c>
      <c r="E1485" t="str">
        <f>Table14[[#This Row],[Color Code]] &amp; " - " &amp;Table14[[#This Row],[Color Name]]</f>
        <v>EEEEE8 - L169</v>
      </c>
    </row>
    <row r="1486" spans="1:5" x14ac:dyDescent="0.35">
      <c r="A1486" s="17" t="s">
        <v>2506</v>
      </c>
      <c r="B1486" t="s">
        <v>4700</v>
      </c>
      <c r="C1486" s="9" t="str">
        <f>_xlfn.CONCAT(HEX2DEC(MID(Table14[[#This Row],[Color Code]], 1, 2))," , ",HEX2DEC(MID(Table14[[#This Row],[Color Code]], 3, 2))," , ",HEX2DEC(MID(Table14[[#This Row],[Color Code]], 5, 2)))</f>
        <v>246 , 242 , 223</v>
      </c>
      <c r="D14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109.67679791095289</v>
      </c>
      <c r="E1486" t="str">
        <f>Table14[[#This Row],[Color Code]] &amp; " - " &amp;Table14[[#This Row],[Color Name]]</f>
        <v>F6F2DF - 7916</v>
      </c>
    </row>
    <row r="1487" spans="1:5" x14ac:dyDescent="0.35">
      <c r="A1487" s="17" t="s">
        <v>2459</v>
      </c>
      <c r="B1487" t="s">
        <v>4651</v>
      </c>
      <c r="C1487" s="9" t="str">
        <f>_xlfn.CONCAT(HEX2DEC(MID(Table14[[#This Row],[Color Code]], 1, 2))," , ",HEX2DEC(MID(Table14[[#This Row],[Color Code]], 3, 2))," , ",HEX2DEC(MID(Table14[[#This Row],[Color Code]], 5, 2)))</f>
        <v>246 , 240 , 225</v>
      </c>
      <c r="D14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109.73149046650191</v>
      </c>
      <c r="E1487" t="str">
        <f>Table14[[#This Row],[Color Code]] &amp; " - " &amp;Table14[[#This Row],[Color Name]]</f>
        <v>F6F0E1 - 7972</v>
      </c>
    </row>
    <row r="1488" spans="1:5" x14ac:dyDescent="0.35">
      <c r="A1488" s="17" t="s">
        <v>3367</v>
      </c>
      <c r="B1488" t="s">
        <v>5626</v>
      </c>
      <c r="C1488" s="9" t="str">
        <f>_xlfn.CONCAT(HEX2DEC(MID(Table14[[#This Row],[Color Code]], 1, 2))," , ",HEX2DEC(MID(Table14[[#This Row],[Color Code]], 3, 2))," , ",HEX2DEC(MID(Table14[[#This Row],[Color Code]], 5, 2)))</f>
        <v>203 , 133 , 54</v>
      </c>
      <c r="D14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109.93634521849451</v>
      </c>
      <c r="E1488" t="str">
        <f>Table14[[#This Row],[Color Code]] &amp; " - " &amp;Table14[[#This Row],[Color Name]]</f>
        <v>CB8536 - 9899</v>
      </c>
    </row>
    <row r="1489" spans="1:5" x14ac:dyDescent="0.35">
      <c r="A1489" s="17" t="s">
        <v>4339</v>
      </c>
      <c r="B1489" t="s">
        <v>6711</v>
      </c>
      <c r="C1489" s="9" t="str">
        <f>_xlfn.CONCAT(HEX2DEC(MID(Table14[[#This Row],[Color Code]], 1, 2))," , ",HEX2DEC(MID(Table14[[#This Row],[Color Code]], 3, 2))," , ",HEX2DEC(MID(Table14[[#This Row],[Color Code]], 5, 2)))</f>
        <v>207 , 200 , 49</v>
      </c>
      <c r="D14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109.93634521849451</v>
      </c>
      <c r="E1489" t="str">
        <f>Table14[[#This Row],[Color Code]] &amp; " - " &amp;Table14[[#This Row],[Color Name]]</f>
        <v>CFC831 - 7773</v>
      </c>
    </row>
    <row r="1490" spans="1:5" x14ac:dyDescent="0.35">
      <c r="A1490" s="17" t="s">
        <v>2411</v>
      </c>
      <c r="B1490" t="s">
        <v>4603</v>
      </c>
      <c r="C1490" s="9" t="str">
        <f>_xlfn.CONCAT(HEX2DEC(MID(Table14[[#This Row],[Color Code]], 1, 2))," , ",HEX2DEC(MID(Table14[[#This Row],[Color Code]], 3, 2))," , ",HEX2DEC(MID(Table14[[#This Row],[Color Code]], 5, 2)))</f>
        <v>247 , 235 , 229</v>
      </c>
      <c r="D14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110.00454536063498</v>
      </c>
      <c r="E1490" t="str">
        <f>Table14[[#This Row],[Color Code]] &amp; " - " &amp;Table14[[#This Row],[Color Name]]</f>
        <v>F7EBE5 - 8060</v>
      </c>
    </row>
    <row r="1491" spans="1:5" x14ac:dyDescent="0.35">
      <c r="A1491" s="17" t="s">
        <v>3401</v>
      </c>
      <c r="B1491" t="s">
        <v>5660</v>
      </c>
      <c r="C1491" s="9" t="str">
        <f>_xlfn.CONCAT(HEX2DEC(MID(Table14[[#This Row],[Color Code]], 1, 2))," , ",HEX2DEC(MID(Table14[[#This Row],[Color Code]], 3, 2))," , ",HEX2DEC(MID(Table14[[#This Row],[Color Code]], 5, 2)))</f>
        <v>171 , 111 , 68</v>
      </c>
      <c r="D14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110.02726934719411</v>
      </c>
      <c r="E1491" t="str">
        <f>Table14[[#This Row],[Color Code]] &amp; " - " &amp;Table14[[#This Row],[Color Name]]</f>
        <v>AB6F44 - 9906</v>
      </c>
    </row>
    <row r="1492" spans="1:5" x14ac:dyDescent="0.35">
      <c r="A1492" s="17" t="s">
        <v>4003</v>
      </c>
      <c r="B1492" t="s">
        <v>6343</v>
      </c>
      <c r="C1492" s="9" t="str">
        <f>_xlfn.CONCAT(HEX2DEC(MID(Table14[[#This Row],[Color Code]], 1, 2))," , ",HEX2DEC(MID(Table14[[#This Row],[Color Code]], 3, 2))," , ",HEX2DEC(MID(Table14[[#This Row],[Color Code]], 5, 2)))</f>
        <v>139 , 112 , 82</v>
      </c>
      <c r="D14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110.03181358134565</v>
      </c>
      <c r="E1492" t="str">
        <f>Table14[[#This Row],[Color Code]] &amp; " - " &amp;Table14[[#This Row],[Color Name]]</f>
        <v>8B7052 - K184</v>
      </c>
    </row>
    <row r="1493" spans="1:5" x14ac:dyDescent="0.35">
      <c r="A1493" s="17" t="s">
        <v>2458</v>
      </c>
      <c r="B1493" t="s">
        <v>4650</v>
      </c>
      <c r="C1493" s="9" t="str">
        <f>_xlfn.CONCAT(HEX2DEC(MID(Table14[[#This Row],[Color Code]], 1, 2))," , ",HEX2DEC(MID(Table14[[#This Row],[Color Code]], 3, 2))," , ",HEX2DEC(MID(Table14[[#This Row],[Color Code]], 5, 2)))</f>
        <v>248 , 241 , 223</v>
      </c>
      <c r="D14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110.07270324653611</v>
      </c>
      <c r="E1493" t="str">
        <f>Table14[[#This Row],[Color Code]] &amp; " - " &amp;Table14[[#This Row],[Color Name]]</f>
        <v>F8F1DF - L126</v>
      </c>
    </row>
    <row r="1494" spans="1:5" x14ac:dyDescent="0.35">
      <c r="A1494" s="17" t="s">
        <v>2978</v>
      </c>
      <c r="B1494" t="s">
        <v>5220</v>
      </c>
      <c r="C1494" s="9" t="str">
        <f>_xlfn.CONCAT(HEX2DEC(MID(Table14[[#This Row],[Color Code]], 1, 2))," , ",HEX2DEC(MID(Table14[[#This Row],[Color Code]], 3, 2))," , ",HEX2DEC(MID(Table14[[#This Row],[Color Code]], 5, 2)))</f>
        <v>92 , 145 , 120</v>
      </c>
      <c r="D14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110.11357772772621</v>
      </c>
      <c r="E1494" t="str">
        <f>Table14[[#This Row],[Color Code]] &amp; " - " &amp;Table14[[#This Row],[Color Name]]</f>
        <v>5C9178 - 9286</v>
      </c>
    </row>
    <row r="1495" spans="1:5" x14ac:dyDescent="0.35">
      <c r="A1495" s="17" t="s">
        <v>3420</v>
      </c>
      <c r="B1495" t="s">
        <v>5681</v>
      </c>
      <c r="C1495" s="9" t="str">
        <f>_xlfn.CONCAT(HEX2DEC(MID(Table14[[#This Row],[Color Code]], 1, 2))," , ",HEX2DEC(MID(Table14[[#This Row],[Color Code]], 3, 2))," , ",HEX2DEC(MID(Table14[[#This Row],[Color Code]], 5, 2)))</f>
        <v>211 , 110 , 68</v>
      </c>
      <c r="D14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110.24971655292362</v>
      </c>
      <c r="E1495" t="str">
        <f>Table14[[#This Row],[Color Code]] &amp; " - " &amp;Table14[[#This Row],[Color Name]]</f>
        <v>D36E44 - 9921</v>
      </c>
    </row>
    <row r="1496" spans="1:5" x14ac:dyDescent="0.35">
      <c r="A1496" s="17" t="s">
        <v>3442</v>
      </c>
      <c r="B1496" t="s">
        <v>5704</v>
      </c>
      <c r="C1496" s="9" t="str">
        <f>_xlfn.CONCAT(HEX2DEC(MID(Table14[[#This Row],[Color Code]], 1, 2))," , ",HEX2DEC(MID(Table14[[#This Row],[Color Code]], 3, 2))," , ",HEX2DEC(MID(Table14[[#This Row],[Color Code]], 5, 2)))</f>
        <v>168 , 103 , 75</v>
      </c>
      <c r="D14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110.27239001672177</v>
      </c>
      <c r="E1496" t="str">
        <f>Table14[[#This Row],[Color Code]] &amp; " - " &amp;Table14[[#This Row],[Color Name]]</f>
        <v>A8674B - 9944</v>
      </c>
    </row>
    <row r="1497" spans="1:5" x14ac:dyDescent="0.35">
      <c r="A1497" s="17" t="s">
        <v>3125</v>
      </c>
      <c r="B1497" t="s">
        <v>5380</v>
      </c>
      <c r="C1497" s="9" t="str">
        <f>_xlfn.CONCAT(HEX2DEC(MID(Table14[[#This Row],[Color Code]], 1, 2))," , ",HEX2DEC(MID(Table14[[#This Row],[Color Code]], 3, 2))," , ",HEX2DEC(MID(Table14[[#This Row],[Color Code]], 5, 2)))</f>
        <v>180 , 187 , 46</v>
      </c>
      <c r="D14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110.31319050775387</v>
      </c>
      <c r="E1497" t="str">
        <f>Table14[[#This Row],[Color Code]] &amp; " - " &amp;Table14[[#This Row],[Color Name]]</f>
        <v>B4BB2E - 9812</v>
      </c>
    </row>
    <row r="1498" spans="1:5" x14ac:dyDescent="0.35">
      <c r="A1498" s="17" t="s">
        <v>3236</v>
      </c>
      <c r="B1498" t="s">
        <v>5494</v>
      </c>
      <c r="C1498" s="9" t="str">
        <f>_xlfn.CONCAT(HEX2DEC(MID(Table14[[#This Row],[Color Code]], 1, 2))," , ",HEX2DEC(MID(Table14[[#This Row],[Color Code]], 3, 2))," , ",HEX2DEC(MID(Table14[[#This Row],[Color Code]], 5, 2)))</f>
        <v>209 , 172 , 46</v>
      </c>
      <c r="D14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110.3585066952249</v>
      </c>
      <c r="E1498" t="str">
        <f>Table14[[#This Row],[Color Code]] &amp; " - " &amp;Table14[[#This Row],[Color Name]]</f>
        <v>D1AC2E - 9864</v>
      </c>
    </row>
    <row r="1499" spans="1:5" x14ac:dyDescent="0.35">
      <c r="A1499" s="17" t="s">
        <v>2543</v>
      </c>
      <c r="B1499" t="s">
        <v>4737</v>
      </c>
      <c r="C1499" s="9" t="str">
        <f>_xlfn.CONCAT(HEX2DEC(MID(Table14[[#This Row],[Color Code]], 1, 2))," , ",HEX2DEC(MID(Table14[[#This Row],[Color Code]], 3, 2))," , ",HEX2DEC(MID(Table14[[#This Row],[Color Code]], 5, 2)))</f>
        <v>240 , 238 , 232</v>
      </c>
      <c r="D14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110.46266337545913</v>
      </c>
      <c r="E1499" t="str">
        <f>Table14[[#This Row],[Color Code]] &amp; " - " &amp;Table14[[#This Row],[Color Name]]</f>
        <v>F0EEE8 - L162</v>
      </c>
    </row>
    <row r="1500" spans="1:5" x14ac:dyDescent="0.35">
      <c r="A1500" s="17" t="s">
        <v>2648</v>
      </c>
      <c r="B1500" t="s">
        <v>4851</v>
      </c>
      <c r="C1500" s="9" t="str">
        <f>_xlfn.CONCAT(HEX2DEC(MID(Table14[[#This Row],[Color Code]], 1, 2))," , ",HEX2DEC(MID(Table14[[#This Row],[Color Code]], 3, 2))," , ",HEX2DEC(MID(Table14[[#This Row],[Color Code]], 5, 2)))</f>
        <v>115 , 97 , 141</v>
      </c>
      <c r="D15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110.4943437466371</v>
      </c>
      <c r="E1500" t="str">
        <f>Table14[[#This Row],[Color Code]] &amp; " - " &amp;Table14[[#This Row],[Color Name]]</f>
        <v>73618D - 9618</v>
      </c>
    </row>
    <row r="1501" spans="1:5" x14ac:dyDescent="0.35">
      <c r="A1501" s="17" t="s">
        <v>2686</v>
      </c>
      <c r="B1501" t="s">
        <v>4894</v>
      </c>
      <c r="C1501" s="9" t="str">
        <f>_xlfn.CONCAT(HEX2DEC(MID(Table14[[#This Row],[Color Code]], 1, 2))," , ",HEX2DEC(MID(Table14[[#This Row],[Color Code]], 3, 2))," , ",HEX2DEC(MID(Table14[[#This Row],[Color Code]], 5, 2)))</f>
        <v>110 , 108 , 123</v>
      </c>
      <c r="D15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110.62097450302994</v>
      </c>
      <c r="E1501" t="str">
        <f>Table14[[#This Row],[Color Code]] &amp; " - " &amp;Table14[[#This Row],[Color Name]]</f>
        <v>6E6C7B - 7182</v>
      </c>
    </row>
    <row r="1502" spans="1:5" x14ac:dyDescent="0.35">
      <c r="A1502" s="17" t="s">
        <v>3752</v>
      </c>
      <c r="B1502" t="s">
        <v>6042</v>
      </c>
      <c r="C1502" s="9" t="str">
        <f>_xlfn.CONCAT(HEX2DEC(MID(Table14[[#This Row],[Color Code]], 1, 2))," , ",HEX2DEC(MID(Table14[[#This Row],[Color Code]], 3, 2))," , ",HEX2DEC(MID(Table14[[#This Row],[Color Code]], 5, 2)))</f>
        <v>104 , 116 , 123</v>
      </c>
      <c r="D15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110.6752004741803</v>
      </c>
      <c r="E1502" t="str">
        <f>Table14[[#This Row],[Color Code]] &amp; " - " &amp;Table14[[#This Row],[Color Name]]</f>
        <v>68747B - 0630</v>
      </c>
    </row>
    <row r="1503" spans="1:5" x14ac:dyDescent="0.35">
      <c r="A1503" s="17" t="s">
        <v>4323</v>
      </c>
      <c r="B1503" t="s">
        <v>6694</v>
      </c>
      <c r="C1503" s="9" t="str">
        <f>_xlfn.CONCAT(HEX2DEC(MID(Table14[[#This Row],[Color Code]], 1, 2))," , ",HEX2DEC(MID(Table14[[#This Row],[Color Code]], 3, 2))," , ",HEX2DEC(MID(Table14[[#This Row],[Color Code]], 5, 2)))</f>
        <v>254 , 204 , 68</v>
      </c>
      <c r="D15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110.69778678907723</v>
      </c>
      <c r="E1503" t="str">
        <f>Table14[[#This Row],[Color Code]] &amp; " - " &amp;Table14[[#This Row],[Color Name]]</f>
        <v>FECC44 - X212</v>
      </c>
    </row>
    <row r="1504" spans="1:5" x14ac:dyDescent="0.35">
      <c r="A1504" s="17" t="s">
        <v>2873</v>
      </c>
      <c r="B1504" t="s">
        <v>5093</v>
      </c>
      <c r="C1504" s="9" t="str">
        <f>_xlfn.CONCAT(HEX2DEC(MID(Table14[[#This Row],[Color Code]], 1, 2))," , ",HEX2DEC(MID(Table14[[#This Row],[Color Code]], 3, 2))," , ",HEX2DEC(MID(Table14[[#This Row],[Color Code]], 5, 2)))</f>
        <v>83 , 172 , 175</v>
      </c>
      <c r="D15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110.86027241532469</v>
      </c>
      <c r="E1504" t="str">
        <f>Table14[[#This Row],[Color Code]] &amp; " - " &amp;Table14[[#This Row],[Color Name]]</f>
        <v>53ACAF - 7455</v>
      </c>
    </row>
    <row r="1505" spans="1:5" x14ac:dyDescent="0.35">
      <c r="A1505" s="17" t="s">
        <v>4312</v>
      </c>
      <c r="B1505" t="s">
        <v>6683</v>
      </c>
      <c r="C1505" s="9" t="str">
        <f>_xlfn.CONCAT(HEX2DEC(MID(Table14[[#This Row],[Color Code]], 1, 2))," , ",HEX2DEC(MID(Table14[[#This Row],[Color Code]], 3, 2))," , ",HEX2DEC(MID(Table14[[#This Row],[Color Code]], 5, 2)))</f>
        <v>203 , 148 , 48</v>
      </c>
      <c r="D15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110.90085662428402</v>
      </c>
      <c r="E1505" t="str">
        <f>Table14[[#This Row],[Color Code]] &amp; " - " &amp;Table14[[#This Row],[Color Name]]</f>
        <v>CB9430 - X173</v>
      </c>
    </row>
    <row r="1506" spans="1:5" x14ac:dyDescent="0.35">
      <c r="A1506" s="17" t="s">
        <v>4320</v>
      </c>
      <c r="B1506" t="s">
        <v>6691</v>
      </c>
      <c r="C1506" s="9" t="str">
        <f>_xlfn.CONCAT(HEX2DEC(MID(Table14[[#This Row],[Color Code]], 1, 2))," , ",HEX2DEC(MID(Table14[[#This Row],[Color Code]], 3, 2))," , ",HEX2DEC(MID(Table14[[#This Row],[Color Code]], 5, 2)))</f>
        <v>211 , 167 , 46</v>
      </c>
      <c r="D15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110.93241185514718</v>
      </c>
      <c r="E1506" t="str">
        <f>Table14[[#This Row],[Color Code]] &amp; " - " &amp;Table14[[#This Row],[Color Name]]</f>
        <v>D3A72E - X102</v>
      </c>
    </row>
    <row r="1507" spans="1:5" x14ac:dyDescent="0.35">
      <c r="A1507" s="17" t="s">
        <v>2457</v>
      </c>
      <c r="B1507" t="s">
        <v>4649</v>
      </c>
      <c r="C1507" s="9" t="str">
        <f>_xlfn.CONCAT(HEX2DEC(MID(Table14[[#This Row],[Color Code]], 1, 2))," , ",HEX2DEC(MID(Table14[[#This Row],[Color Code]], 3, 2))," , ",HEX2DEC(MID(Table14[[#This Row],[Color Code]], 5, 2)))</f>
        <v>246 , 240 , 227</v>
      </c>
      <c r="D15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111.01801655587259</v>
      </c>
      <c r="E1507" t="str">
        <f>Table14[[#This Row],[Color Code]] &amp; " - " &amp;Table14[[#This Row],[Color Name]]</f>
        <v>F6F0E3 - L150</v>
      </c>
    </row>
    <row r="1508" spans="1:5" x14ac:dyDescent="0.35">
      <c r="A1508" s="17" t="s">
        <v>4406</v>
      </c>
      <c r="B1508" t="s">
        <v>4845</v>
      </c>
      <c r="C1508" s="9" t="str">
        <f>_xlfn.CONCAT(HEX2DEC(MID(Table14[[#This Row],[Color Code]], 1, 2))," , ",HEX2DEC(MID(Table14[[#This Row],[Color Code]], 3, 2))," , ",HEX2DEC(MID(Table14[[#This Row],[Color Code]], 5, 2)))</f>
        <v>119 , 94 , 134</v>
      </c>
      <c r="D15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111.04503590885997</v>
      </c>
      <c r="E1508" t="str">
        <f>Table14[[#This Row],[Color Code]] &amp; " - " &amp;Table14[[#This Row],[Color Name]]</f>
        <v>775E86 - 9612</v>
      </c>
    </row>
    <row r="1509" spans="1:5" x14ac:dyDescent="0.35">
      <c r="A1509" s="17" t="s">
        <v>2401</v>
      </c>
      <c r="B1509" t="s">
        <v>4593</v>
      </c>
      <c r="C1509" s="9" t="str">
        <f>_xlfn.CONCAT(HEX2DEC(MID(Table14[[#This Row],[Color Code]], 1, 2))," , ",HEX2DEC(MID(Table14[[#This Row],[Color Code]], 3, 2))," , ",HEX2DEC(MID(Table14[[#This Row],[Color Code]], 5, 2)))</f>
        <v>243 , 237 , 232</v>
      </c>
      <c r="D15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111.23848254988019</v>
      </c>
      <c r="E1509" t="str">
        <f>Table14[[#This Row],[Color Code]] &amp; " - " &amp;Table14[[#This Row],[Color Name]]</f>
        <v>F3EDE8 - 9436</v>
      </c>
    </row>
    <row r="1510" spans="1:5" x14ac:dyDescent="0.35">
      <c r="A1510" s="17" t="s">
        <v>3542</v>
      </c>
      <c r="B1510" t="s">
        <v>5811</v>
      </c>
      <c r="C1510" s="9" t="str">
        <f>_xlfn.CONCAT(HEX2DEC(MID(Table14[[#This Row],[Color Code]], 1, 2))," , ",HEX2DEC(MID(Table14[[#This Row],[Color Code]], 3, 2))," , ",HEX2DEC(MID(Table14[[#This Row],[Color Code]], 5, 2)))</f>
        <v>198 , 92 , 81</v>
      </c>
      <c r="D15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111.35977729862789</v>
      </c>
      <c r="E1510" t="str">
        <f>Table14[[#This Row],[Color Code]] &amp; " - " &amp;Table14[[#This Row],[Color Name]]</f>
        <v>C65C51 - 8053</v>
      </c>
    </row>
    <row r="1511" spans="1:5" x14ac:dyDescent="0.35">
      <c r="A1511" s="17" t="s">
        <v>2488</v>
      </c>
      <c r="B1511" t="s">
        <v>4681</v>
      </c>
      <c r="C1511" s="9" t="str">
        <f>_xlfn.CONCAT(HEX2DEC(MID(Table14[[#This Row],[Color Code]], 1, 2))," , ",HEX2DEC(MID(Table14[[#This Row],[Color Code]], 3, 2))," , ",HEX2DEC(MID(Table14[[#This Row],[Color Code]], 5, 2)))</f>
        <v>244 , 240 , 229</v>
      </c>
      <c r="D15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111.37773565663831</v>
      </c>
      <c r="E1511" t="str">
        <f>Table14[[#This Row],[Color Code]] &amp; " - " &amp;Table14[[#This Row],[Color Name]]</f>
        <v>F4F0E5 - L144</v>
      </c>
    </row>
    <row r="1512" spans="1:5" x14ac:dyDescent="0.35">
      <c r="A1512" s="17" t="s">
        <v>2605</v>
      </c>
      <c r="B1512" t="s">
        <v>4801</v>
      </c>
      <c r="C1512" s="9" t="str">
        <f>_xlfn.CONCAT(HEX2DEC(MID(Table14[[#This Row],[Color Code]], 1, 2))," , ",HEX2DEC(MID(Table14[[#This Row],[Color Code]], 3, 2))," , ",HEX2DEC(MID(Table14[[#This Row],[Color Code]], 5, 2)))</f>
        <v>243 , 236 , 233</v>
      </c>
      <c r="D15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111.3822247937255</v>
      </c>
      <c r="E1512" t="str">
        <f>Table14[[#This Row],[Color Code]] &amp; " - " &amp;Table14[[#This Row],[Color Name]]</f>
        <v>F3ECE9 - 9428</v>
      </c>
    </row>
    <row r="1513" spans="1:5" x14ac:dyDescent="0.35">
      <c r="A1513" s="17" t="s">
        <v>4266</v>
      </c>
      <c r="B1513" t="s">
        <v>6637</v>
      </c>
      <c r="C1513" s="9" t="str">
        <f>_xlfn.CONCAT(HEX2DEC(MID(Table14[[#This Row],[Color Code]], 1, 2))," , ",HEX2DEC(MID(Table14[[#This Row],[Color Code]], 3, 2))," , ",HEX2DEC(MID(Table14[[#This Row],[Color Code]], 5, 2)))</f>
        <v>239 , 129 , 65</v>
      </c>
      <c r="D15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111.46748404803976</v>
      </c>
      <c r="E1513" t="str">
        <f>Table14[[#This Row],[Color Code]] &amp; " - " &amp;Table14[[#This Row],[Color Name]]</f>
        <v>EF8141 - X174</v>
      </c>
    </row>
    <row r="1514" spans="1:5" x14ac:dyDescent="0.35">
      <c r="A1514" s="17" t="s">
        <v>2449</v>
      </c>
      <c r="B1514" t="s">
        <v>4641</v>
      </c>
      <c r="C1514" s="9" t="str">
        <f>_xlfn.CONCAT(HEX2DEC(MID(Table14[[#This Row],[Color Code]], 1, 2))," , ",HEX2DEC(MID(Table14[[#This Row],[Color Code]], 3, 2))," , ",HEX2DEC(MID(Table14[[#This Row],[Color Code]], 5, 2)))</f>
        <v>247 , 240 , 227</v>
      </c>
      <c r="D15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111.50784725749125</v>
      </c>
      <c r="E1514" t="str">
        <f>Table14[[#This Row],[Color Code]] &amp; " - " &amp;Table14[[#This Row],[Color Name]]</f>
        <v>F7F0E3 - 8004</v>
      </c>
    </row>
    <row r="1515" spans="1:5" x14ac:dyDescent="0.35">
      <c r="A1515" s="17" t="s">
        <v>3277</v>
      </c>
      <c r="B1515" t="s">
        <v>5536</v>
      </c>
      <c r="C1515" s="9" t="str">
        <f>_xlfn.CONCAT(HEX2DEC(MID(Table14[[#This Row],[Color Code]], 1, 2))," , ",HEX2DEC(MID(Table14[[#This Row],[Color Code]], 3, 2))," , ",HEX2DEC(MID(Table14[[#This Row],[Color Code]], 5, 2)))</f>
        <v>241 , 200 , 58</v>
      </c>
      <c r="D15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111.51233115669316</v>
      </c>
      <c r="E1515" t="str">
        <f>Table14[[#This Row],[Color Code]] &amp; " - " &amp;Table14[[#This Row],[Color Name]]</f>
        <v>F1C83A - 9875</v>
      </c>
    </row>
    <row r="1516" spans="1:5" x14ac:dyDescent="0.35">
      <c r="A1516" s="17" t="s">
        <v>4299</v>
      </c>
      <c r="B1516" t="s">
        <v>6670</v>
      </c>
      <c r="C1516" s="9" t="str">
        <f>_xlfn.CONCAT(HEX2DEC(MID(Table14[[#This Row],[Color Code]], 1, 2))," , ",HEX2DEC(MID(Table14[[#This Row],[Color Code]], 3, 2))," , ",HEX2DEC(MID(Table14[[#This Row],[Color Code]], 5, 2)))</f>
        <v>254 , 193 , 64</v>
      </c>
      <c r="D15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111.57508682497182</v>
      </c>
      <c r="E1516" t="str">
        <f>Table14[[#This Row],[Color Code]] &amp; " - " &amp;Table14[[#This Row],[Color Name]]</f>
        <v>FEC140 - X161</v>
      </c>
    </row>
    <row r="1517" spans="1:5" x14ac:dyDescent="0.35">
      <c r="A1517" s="17" t="s">
        <v>3474</v>
      </c>
      <c r="B1517" t="s">
        <v>5739</v>
      </c>
      <c r="C1517" s="9" t="str">
        <f>_xlfn.CONCAT(HEX2DEC(MID(Table14[[#This Row],[Color Code]], 1, 2))," , ",HEX2DEC(MID(Table14[[#This Row],[Color Code]], 3, 2))," , ",HEX2DEC(MID(Table14[[#This Row],[Color Code]], 5, 2)))</f>
        <v>172 , 102 , 73</v>
      </c>
      <c r="D15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111.59301053381435</v>
      </c>
      <c r="E1517" t="str">
        <f>Table14[[#This Row],[Color Code]] &amp; " - " &amp;Table14[[#This Row],[Color Name]]</f>
        <v>AC6649 - 8013</v>
      </c>
    </row>
    <row r="1518" spans="1:5" x14ac:dyDescent="0.35">
      <c r="A1518" s="17" t="s">
        <v>3119</v>
      </c>
      <c r="B1518" t="s">
        <v>5373</v>
      </c>
      <c r="C1518" s="9" t="str">
        <f>_xlfn.CONCAT(HEX2DEC(MID(Table14[[#This Row],[Color Code]], 1, 2))," , ",HEX2DEC(MID(Table14[[#This Row],[Color Code]], 3, 2))," , ",HEX2DEC(MID(Table14[[#This Row],[Color Code]], 5, 2)))</f>
        <v>124 , 133 , 77</v>
      </c>
      <c r="D15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111.67810886650973</v>
      </c>
      <c r="E1518" t="str">
        <f>Table14[[#This Row],[Color Code]] &amp; " - " &amp;Table14[[#This Row],[Color Name]]</f>
        <v>7C854D - 9805</v>
      </c>
    </row>
    <row r="1519" spans="1:5" x14ac:dyDescent="0.35">
      <c r="A1519" s="17" t="s">
        <v>2527</v>
      </c>
      <c r="B1519" t="s">
        <v>4721</v>
      </c>
      <c r="C1519" s="9" t="str">
        <f>_xlfn.CONCAT(HEX2DEC(MID(Table14[[#This Row],[Color Code]], 1, 2))," , ",HEX2DEC(MID(Table14[[#This Row],[Color Code]], 3, 2))," , ",HEX2DEC(MID(Table14[[#This Row],[Color Code]], 5, 2)))</f>
        <v>240 , 239 , 233</v>
      </c>
      <c r="D15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111.73182178770737</v>
      </c>
      <c r="E1519" t="str">
        <f>Table14[[#This Row],[Color Code]] &amp; " - " &amp;Table14[[#This Row],[Color Name]]</f>
        <v>F0EFE9 - L166</v>
      </c>
    </row>
    <row r="1520" spans="1:5" x14ac:dyDescent="0.35">
      <c r="A1520" s="17" t="s">
        <v>3435</v>
      </c>
      <c r="B1520" t="s">
        <v>5697</v>
      </c>
      <c r="C1520" s="9" t="str">
        <f>_xlfn.CONCAT(HEX2DEC(MID(Table14[[#This Row],[Color Code]], 1, 2))," , ",HEX2DEC(MID(Table14[[#This Row],[Color Code]], 3, 2))," , ",HEX2DEC(MID(Table14[[#This Row],[Color Code]], 5, 2)))</f>
        <v>199 , 105 , 68</v>
      </c>
      <c r="D15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111.88386836358492</v>
      </c>
      <c r="E1520" t="str">
        <f>Table14[[#This Row],[Color Code]] &amp; " - " &amp;Table14[[#This Row],[Color Name]]</f>
        <v>C76944 - 9937</v>
      </c>
    </row>
    <row r="1521" spans="1:5" x14ac:dyDescent="0.35">
      <c r="A1521" s="17" t="s">
        <v>3458</v>
      </c>
      <c r="B1521" t="s">
        <v>5723</v>
      </c>
      <c r="C1521" s="9" t="str">
        <f>_xlfn.CONCAT(HEX2DEC(MID(Table14[[#This Row],[Color Code]], 1, 2))," , ",HEX2DEC(MID(Table14[[#This Row],[Color Code]], 3, 2))," , ",HEX2DEC(MID(Table14[[#This Row],[Color Code]], 5, 2)))</f>
        <v>203 , 108 , 66</v>
      </c>
      <c r="D15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111.94194924156002</v>
      </c>
      <c r="E1521" t="str">
        <f>Table14[[#This Row],[Color Code]] &amp; " - " &amp;Table14[[#This Row],[Color Name]]</f>
        <v>CB6C42 - 7997</v>
      </c>
    </row>
    <row r="1522" spans="1:5" x14ac:dyDescent="0.35">
      <c r="A1522" s="17" t="s">
        <v>4296</v>
      </c>
      <c r="B1522" t="s">
        <v>6667</v>
      </c>
      <c r="C1522" s="9" t="str">
        <f>_xlfn.CONCAT(HEX2DEC(MID(Table14[[#This Row],[Color Code]], 1, 2))," , ",HEX2DEC(MID(Table14[[#This Row],[Color Code]], 3, 2))," , ",HEX2DEC(MID(Table14[[#This Row],[Color Code]], 5, 2)))</f>
        <v>217 , 149 , 49</v>
      </c>
      <c r="D15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111.96874563912914</v>
      </c>
      <c r="E1522" t="str">
        <f>Table14[[#This Row],[Color Code]] &amp; " - " &amp;Table14[[#This Row],[Color Name]]</f>
        <v>D99531 - X107</v>
      </c>
    </row>
    <row r="1523" spans="1:5" x14ac:dyDescent="0.35">
      <c r="A1523" s="17" t="s">
        <v>3224</v>
      </c>
      <c r="B1523" t="s">
        <v>5482</v>
      </c>
      <c r="C1523" s="9" t="str">
        <f>_xlfn.CONCAT(HEX2DEC(MID(Table14[[#This Row],[Color Code]], 1, 2))," , ",HEX2DEC(MID(Table14[[#This Row],[Color Code]], 3, 2))," , ",HEX2DEC(MID(Table14[[#This Row],[Color Code]], 5, 2)))</f>
        <v>225 , 196 , 50</v>
      </c>
      <c r="D15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112.04909638189859</v>
      </c>
      <c r="E1523" t="str">
        <f>Table14[[#This Row],[Color Code]] &amp; " - " &amp;Table14[[#This Row],[Color Name]]</f>
        <v>E1C432 - 9857</v>
      </c>
    </row>
    <row r="1524" spans="1:5" x14ac:dyDescent="0.35">
      <c r="A1524" s="17" t="s">
        <v>3931</v>
      </c>
      <c r="B1524" t="s">
        <v>6259</v>
      </c>
      <c r="C1524" s="9" t="str">
        <f>_xlfn.CONCAT(HEX2DEC(MID(Table14[[#This Row],[Color Code]], 1, 2))," , ",HEX2DEC(MID(Table14[[#This Row],[Color Code]], 3, 2))," , ",HEX2DEC(MID(Table14[[#This Row],[Color Code]], 5, 2)))</f>
        <v>125 , 110 , 93</v>
      </c>
      <c r="D15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112.06248257110852</v>
      </c>
      <c r="E1524" t="str">
        <f>Table14[[#This Row],[Color Code]] &amp; " - " &amp;Table14[[#This Row],[Color Name]]</f>
        <v>7D6E5D - 8454</v>
      </c>
    </row>
    <row r="1525" spans="1:5" x14ac:dyDescent="0.35">
      <c r="A1525" s="17" t="s">
        <v>4559</v>
      </c>
      <c r="B1525" t="s">
        <v>6524</v>
      </c>
      <c r="C1525" s="9" t="str">
        <f>_xlfn.CONCAT(HEX2DEC(MID(Table14[[#This Row],[Color Code]], 1, 2))," , ",HEX2DEC(MID(Table14[[#This Row],[Color Code]], 3, 2))," , ",HEX2DEC(MID(Table14[[#This Row],[Color Code]], 5, 2)))</f>
        <v>149 , 96 , 88</v>
      </c>
      <c r="D15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112.15614116043757</v>
      </c>
      <c r="E1525" t="str">
        <f>Table14[[#This Row],[Color Code]] &amp; " - " &amp;Table14[[#This Row],[Color Name]]</f>
        <v>956058 - K246</v>
      </c>
    </row>
    <row r="1526" spans="1:5" x14ac:dyDescent="0.35">
      <c r="A1526" s="17" t="s">
        <v>3466</v>
      </c>
      <c r="B1526" t="s">
        <v>5731</v>
      </c>
      <c r="C1526" s="9" t="str">
        <f>_xlfn.CONCAT(HEX2DEC(MID(Table14[[#This Row],[Color Code]], 1, 2))," , ",HEX2DEC(MID(Table14[[#This Row],[Color Code]], 3, 2))," , ",HEX2DEC(MID(Table14[[#This Row],[Color Code]], 5, 2)))</f>
        <v>172 , 100 , 74</v>
      </c>
      <c r="D15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112.18734331465382</v>
      </c>
      <c r="E1526" t="str">
        <f>Table14[[#This Row],[Color Code]] &amp; " - " &amp;Table14[[#This Row],[Color Name]]</f>
        <v>AC644A - 8005</v>
      </c>
    </row>
    <row r="1527" spans="1:5" x14ac:dyDescent="0.35">
      <c r="A1527" s="17" t="s">
        <v>3260</v>
      </c>
      <c r="B1527" t="s">
        <v>5519</v>
      </c>
      <c r="C1527" s="9" t="str">
        <f>_xlfn.CONCAT(HEX2DEC(MID(Table14[[#This Row],[Color Code]], 1, 2))," , ",HEX2DEC(MID(Table14[[#This Row],[Color Code]], 3, 2))," , ",HEX2DEC(MID(Table14[[#This Row],[Color Code]], 5, 2)))</f>
        <v>164 , 128 , 57</v>
      </c>
      <c r="D15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112.23635774560755</v>
      </c>
      <c r="E1527" t="str">
        <f>Table14[[#This Row],[Color Code]] &amp; " - " &amp;Table14[[#This Row],[Color Name]]</f>
        <v>A48039 - 9871</v>
      </c>
    </row>
    <row r="1528" spans="1:5" x14ac:dyDescent="0.35">
      <c r="A1528" s="17" t="s">
        <v>2776</v>
      </c>
      <c r="B1528" t="s">
        <v>4989</v>
      </c>
      <c r="C1528" s="9" t="str">
        <f>_xlfn.CONCAT(HEX2DEC(MID(Table14[[#This Row],[Color Code]], 1, 2))," , ",HEX2DEC(MID(Table14[[#This Row],[Color Code]], 3, 2))," , ",HEX2DEC(MID(Table14[[#This Row],[Color Code]], 5, 2)))</f>
        <v>91 , 126 , 152</v>
      </c>
      <c r="D15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112.29870880824944</v>
      </c>
      <c r="E1528" t="str">
        <f>Table14[[#This Row],[Color Code]] &amp; " - " &amp;Table14[[#This Row],[Color Name]]</f>
        <v>5B7E98 - 7303</v>
      </c>
    </row>
    <row r="1529" spans="1:5" x14ac:dyDescent="0.35">
      <c r="A1529" s="17" t="s">
        <v>3509</v>
      </c>
      <c r="B1529" t="s">
        <v>5776</v>
      </c>
      <c r="C1529" s="9" t="str">
        <f>_xlfn.CONCAT(HEX2DEC(MID(Table14[[#This Row],[Color Code]], 1, 2))," , ",HEX2DEC(MID(Table14[[#This Row],[Color Code]], 3, 2))," , ",HEX2DEC(MID(Table14[[#This Row],[Color Code]], 5, 2)))</f>
        <v>163 , 92 , 85</v>
      </c>
      <c r="D15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112.38327277669039</v>
      </c>
      <c r="E1529" t="str">
        <f>Table14[[#This Row],[Color Code]] &amp; " - " &amp;Table14[[#This Row],[Color Name]]</f>
        <v>A35C55 - 9976</v>
      </c>
    </row>
    <row r="1530" spans="1:5" x14ac:dyDescent="0.35">
      <c r="A1530" s="17" t="s">
        <v>3165</v>
      </c>
      <c r="B1530" t="s">
        <v>5421</v>
      </c>
      <c r="C1530" s="9" t="str">
        <f>_xlfn.CONCAT(HEX2DEC(MID(Table14[[#This Row],[Color Code]], 1, 2))," , ",HEX2DEC(MID(Table14[[#This Row],[Color Code]], 3, 2))," , ",HEX2DEC(MID(Table14[[#This Row],[Color Code]], 5, 2)))</f>
        <v>148 , 139 , 58</v>
      </c>
      <c r="D15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112.43220179290273</v>
      </c>
      <c r="E1530" t="str">
        <f>Table14[[#This Row],[Color Code]] &amp; " - " &amp;Table14[[#This Row],[Color Name]]</f>
        <v>948B3A - 9844</v>
      </c>
    </row>
    <row r="1531" spans="1:5" x14ac:dyDescent="0.35">
      <c r="A1531" s="17" t="s">
        <v>2535</v>
      </c>
      <c r="B1531" t="s">
        <v>4729</v>
      </c>
      <c r="C1531" s="9" t="str">
        <f>_xlfn.CONCAT(HEX2DEC(MID(Table14[[#This Row],[Color Code]], 1, 2))," , ",HEX2DEC(MID(Table14[[#This Row],[Color Code]], 3, 2))," , ",HEX2DEC(MID(Table14[[#This Row],[Color Code]], 5, 2)))</f>
        <v>240 , 239 , 234</v>
      </c>
      <c r="D15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112.43220179290273</v>
      </c>
      <c r="E1531" t="str">
        <f>Table14[[#This Row],[Color Code]] &amp; " - " &amp;Table14[[#This Row],[Color Name]]</f>
        <v>F0EFEA - L163</v>
      </c>
    </row>
    <row r="1532" spans="1:5" x14ac:dyDescent="0.35">
      <c r="A1532" s="17" t="s">
        <v>4534</v>
      </c>
      <c r="B1532" t="s">
        <v>6276</v>
      </c>
      <c r="C1532" s="9" t="str">
        <f>_xlfn.CONCAT(HEX2DEC(MID(Table14[[#This Row],[Color Code]], 1, 2))," , ",HEX2DEC(MID(Table14[[#This Row],[Color Code]], 3, 2))," , ",HEX2DEC(MID(Table14[[#This Row],[Color Code]], 5, 2)))</f>
        <v>119 , 110 , 99</v>
      </c>
      <c r="D15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112.64990013311153</v>
      </c>
      <c r="E1532" t="str">
        <f>Table14[[#This Row],[Color Code]] &amp; " - " &amp;Table14[[#This Row],[Color Name]]</f>
        <v>776E63 - 8470</v>
      </c>
    </row>
    <row r="1533" spans="1:5" x14ac:dyDescent="0.35">
      <c r="A1533" s="17" t="s">
        <v>3060</v>
      </c>
      <c r="B1533" t="s">
        <v>5308</v>
      </c>
      <c r="C1533" s="9" t="str">
        <f>_xlfn.CONCAT(HEX2DEC(MID(Table14[[#This Row],[Color Code]], 1, 2))," , ",HEX2DEC(MID(Table14[[#This Row],[Color Code]], 3, 2))," , ",HEX2DEC(MID(Table14[[#This Row],[Color Code]], 5, 2)))</f>
        <v>111 , 142 , 84</v>
      </c>
      <c r="D15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112.65433857601757</v>
      </c>
      <c r="E1533" t="str">
        <f>Table14[[#This Row],[Color Code]] &amp; " - " &amp;Table14[[#This Row],[Color Name]]</f>
        <v>6F8E54 - 9789</v>
      </c>
    </row>
    <row r="1534" spans="1:5" x14ac:dyDescent="0.35">
      <c r="A1534" s="17" t="s">
        <v>2490</v>
      </c>
      <c r="B1534" t="s">
        <v>4683</v>
      </c>
      <c r="C1534" s="9" t="str">
        <f>_xlfn.CONCAT(HEX2DEC(MID(Table14[[#This Row],[Color Code]], 1, 2))," , ",HEX2DEC(MID(Table14[[#This Row],[Color Code]], 3, 2))," , ",HEX2DEC(MID(Table14[[#This Row],[Color Code]], 5, 2)))</f>
        <v>247 , 242 , 227</v>
      </c>
      <c r="D15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112.68540278137182</v>
      </c>
      <c r="E1534" t="str">
        <f>Table14[[#This Row],[Color Code]] &amp; " - " &amp;Table14[[#This Row],[Color Name]]</f>
        <v>F7F2E3 - 7932</v>
      </c>
    </row>
    <row r="1535" spans="1:5" x14ac:dyDescent="0.35">
      <c r="A1535" s="17" t="s">
        <v>4257</v>
      </c>
      <c r="B1535" t="s">
        <v>6626</v>
      </c>
      <c r="C1535" s="9" t="str">
        <f>_xlfn.CONCAT(HEX2DEC(MID(Table14[[#This Row],[Color Code]], 1, 2))," , ",HEX2DEC(MID(Table14[[#This Row],[Color Code]], 3, 2))," , ",HEX2DEC(MID(Table14[[#This Row],[Color Code]], 5, 2)))</f>
        <v>126 , 107 , 94</v>
      </c>
      <c r="D15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112.69871339105873</v>
      </c>
      <c r="E1535" t="str">
        <f>Table14[[#This Row],[Color Code]] &amp; " - " &amp;Table14[[#This Row],[Color Name]]</f>
        <v>7E6B5E - 8774</v>
      </c>
    </row>
    <row r="1536" spans="1:5" x14ac:dyDescent="0.35">
      <c r="A1536" s="17" t="s">
        <v>2754</v>
      </c>
      <c r="B1536" t="s">
        <v>4966</v>
      </c>
      <c r="C1536" s="9" t="str">
        <f>_xlfn.CONCAT(HEX2DEC(MID(Table14[[#This Row],[Color Code]], 1, 2))," , ",HEX2DEC(MID(Table14[[#This Row],[Color Code]], 3, 2))," , ",HEX2DEC(MID(Table14[[#This Row],[Color Code]], 5, 2)))</f>
        <v>90 , 129 , 169</v>
      </c>
      <c r="D15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112.76524287208359</v>
      </c>
      <c r="E1536" t="str">
        <f>Table14[[#This Row],[Color Code]] &amp; " - " &amp;Table14[[#This Row],[Color Name]]</f>
        <v>5A81A9 - 1218</v>
      </c>
    </row>
    <row r="1537" spans="1:5" x14ac:dyDescent="0.35">
      <c r="A1537" s="17" t="s">
        <v>4267</v>
      </c>
      <c r="B1537" t="s">
        <v>6638</v>
      </c>
      <c r="C1537" s="9" t="str">
        <f>_xlfn.CONCAT(HEX2DEC(MID(Table14[[#This Row],[Color Code]], 1, 2))," , ",HEX2DEC(MID(Table14[[#This Row],[Color Code]], 3, 2))," , ",HEX2DEC(MID(Table14[[#This Row],[Color Code]], 5, 2)))</f>
        <v>227 , 115 , 66</v>
      </c>
      <c r="D15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112.89818421923357</v>
      </c>
      <c r="E1537" t="str">
        <f>Table14[[#This Row],[Color Code]] &amp; " - " &amp;Table14[[#This Row],[Color Name]]</f>
        <v>E37342 - 0526</v>
      </c>
    </row>
    <row r="1538" spans="1:5" x14ac:dyDescent="0.35">
      <c r="A1538" s="17" t="s">
        <v>4454</v>
      </c>
      <c r="B1538" t="s">
        <v>5319</v>
      </c>
      <c r="C1538" s="9" t="str">
        <f>_xlfn.CONCAT(HEX2DEC(MID(Table14[[#This Row],[Color Code]], 1, 2))," , ",HEX2DEC(MID(Table14[[#This Row],[Color Code]], 3, 2))," , ",HEX2DEC(MID(Table14[[#This Row],[Color Code]], 5, 2)))</f>
        <v>119 , 151 , 72</v>
      </c>
      <c r="D15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113.11056537742175</v>
      </c>
      <c r="E1538" t="str">
        <f>Table14[[#This Row],[Color Code]] &amp; " - " &amp;Table14[[#This Row],[Color Name]]</f>
        <v>779748 - 9793</v>
      </c>
    </row>
    <row r="1539" spans="1:5" x14ac:dyDescent="0.35">
      <c r="A1539" s="17" t="s">
        <v>4014</v>
      </c>
      <c r="B1539" t="s">
        <v>6356</v>
      </c>
      <c r="C1539" s="9" t="str">
        <f>_xlfn.CONCAT(HEX2DEC(MID(Table14[[#This Row],[Color Code]], 1, 2))," , ",HEX2DEC(MID(Table14[[#This Row],[Color Code]], 3, 2))," , ",HEX2DEC(MID(Table14[[#This Row],[Color Code]], 5, 2)))</f>
        <v>145 , 109 , 76</v>
      </c>
      <c r="D15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113.16359838746733</v>
      </c>
      <c r="E1539" t="str">
        <f>Table14[[#This Row],[Color Code]] &amp; " - " &amp;Table14[[#This Row],[Color Name]]</f>
        <v>916D4C - 8533</v>
      </c>
    </row>
    <row r="1540" spans="1:5" x14ac:dyDescent="0.35">
      <c r="A1540" s="17" t="s">
        <v>2473</v>
      </c>
      <c r="B1540" t="s">
        <v>4665</v>
      </c>
      <c r="C1540" s="9" t="str">
        <f>_xlfn.CONCAT(HEX2DEC(MID(Table14[[#This Row],[Color Code]], 1, 2))," , ",HEX2DEC(MID(Table14[[#This Row],[Color Code]], 3, 2))," , ",HEX2DEC(MID(Table14[[#This Row],[Color Code]], 5, 2)))</f>
        <v>245 , 240 , 231</v>
      </c>
      <c r="D15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113.18127053536729</v>
      </c>
      <c r="E1540" t="str">
        <f>Table14[[#This Row],[Color Code]] &amp; " - " &amp;Table14[[#This Row],[Color Name]]</f>
        <v>F5F0E7 - L143</v>
      </c>
    </row>
    <row r="1541" spans="1:5" x14ac:dyDescent="0.35">
      <c r="A1541" s="17" t="s">
        <v>4369</v>
      </c>
      <c r="B1541" t="s">
        <v>6749</v>
      </c>
      <c r="C1541" s="9" t="str">
        <f>_xlfn.CONCAT(HEX2DEC(MID(Table14[[#This Row],[Color Code]], 1, 2))," , ",HEX2DEC(MID(Table14[[#This Row],[Color Code]], 3, 2))," , ",HEX2DEC(MID(Table14[[#This Row],[Color Code]], 5, 2)))</f>
        <v>108 , 99 , 154</v>
      </c>
      <c r="D15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113.28283188550682</v>
      </c>
      <c r="E1541" t="str">
        <f>Table14[[#This Row],[Color Code]] &amp; " - " &amp;Table14[[#This Row],[Color Name]]</f>
        <v>6C639A - X180</v>
      </c>
    </row>
    <row r="1542" spans="1:5" x14ac:dyDescent="0.35">
      <c r="A1542" s="17" t="s">
        <v>3118</v>
      </c>
      <c r="B1542" t="s">
        <v>5372</v>
      </c>
      <c r="C1542" s="9" t="str">
        <f>_xlfn.CONCAT(HEX2DEC(MID(Table14[[#This Row],[Color Code]], 1, 2))," , ",HEX2DEC(MID(Table14[[#This Row],[Color Code]], 3, 2))," , ",HEX2DEC(MID(Table14[[#This Row],[Color Code]], 5, 2)))</f>
        <v>136 , 153 , 59</v>
      </c>
      <c r="D15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113.29607230614837</v>
      </c>
      <c r="E1542" t="str">
        <f>Table14[[#This Row],[Color Code]] &amp; " - " &amp;Table14[[#This Row],[Color Name]]</f>
        <v>88993B - 9804</v>
      </c>
    </row>
    <row r="1543" spans="1:5" x14ac:dyDescent="0.35">
      <c r="A1543" s="17" t="s">
        <v>2410</v>
      </c>
      <c r="B1543" t="s">
        <v>4602</v>
      </c>
      <c r="C1543" s="9" t="str">
        <f>_xlfn.CONCAT(HEX2DEC(MID(Table14[[#This Row],[Color Code]], 1, 2))," , ",HEX2DEC(MID(Table14[[#This Row],[Color Code]], 3, 2))," , ",HEX2DEC(MID(Table14[[#This Row],[Color Code]], 5, 2)))</f>
        <v>246 , 237 , 233</v>
      </c>
      <c r="D15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113.33137253205751</v>
      </c>
      <c r="E1543" t="str">
        <f>Table14[[#This Row],[Color Code]] &amp; " - " &amp;Table14[[#This Row],[Color Name]]</f>
        <v>F6EDE9 - 8140</v>
      </c>
    </row>
    <row r="1544" spans="1:5" x14ac:dyDescent="0.35">
      <c r="A1544" s="17" t="s">
        <v>2952</v>
      </c>
      <c r="B1544" t="s">
        <v>5185</v>
      </c>
      <c r="C1544" s="9" t="str">
        <f>_xlfn.CONCAT(HEX2DEC(MID(Table14[[#This Row],[Color Code]], 1, 2))," , ",HEX2DEC(MID(Table14[[#This Row],[Color Code]], 3, 2))," , ",HEX2DEC(MID(Table14[[#This Row],[Color Code]], 5, 2)))</f>
        <v>82 , 194 , 175</v>
      </c>
      <c r="D15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113.4063490286148</v>
      </c>
      <c r="E1544" t="str">
        <f>Table14[[#This Row],[Color Code]] &amp; " - " &amp;Table14[[#This Row],[Color Name]]</f>
        <v>52C2AF - 9726</v>
      </c>
    </row>
    <row r="1545" spans="1:5" x14ac:dyDescent="0.35">
      <c r="A1545" s="17" t="s">
        <v>4335</v>
      </c>
      <c r="B1545" t="s">
        <v>6707</v>
      </c>
      <c r="C1545" s="9" t="str">
        <f>_xlfn.CONCAT(HEX2DEC(MID(Table14[[#This Row],[Color Code]], 1, 2))," , ",HEX2DEC(MID(Table14[[#This Row],[Color Code]], 3, 2))," , ",HEX2DEC(MID(Table14[[#This Row],[Color Code]], 5, 2)))</f>
        <v>120 , 135 , 77</v>
      </c>
      <c r="D15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113.43720729989786</v>
      </c>
      <c r="E1545" t="str">
        <f>Table14[[#This Row],[Color Code]] &amp; " - " &amp;Table14[[#This Row],[Color Name]]</f>
        <v>78874D - X160</v>
      </c>
    </row>
    <row r="1546" spans="1:5" x14ac:dyDescent="0.35">
      <c r="A1546" s="17" t="s">
        <v>4268</v>
      </c>
      <c r="B1546" t="s">
        <v>6639</v>
      </c>
      <c r="C1546" s="9" t="str">
        <f>_xlfn.CONCAT(HEX2DEC(MID(Table14[[#This Row],[Color Code]], 1, 2))," , ",HEX2DEC(MID(Table14[[#This Row],[Color Code]], 3, 2))," , ",HEX2DEC(MID(Table14[[#This Row],[Color Code]], 5, 2)))</f>
        <v>226 , 112 , 67</v>
      </c>
      <c r="D15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113.44161493913951</v>
      </c>
      <c r="E1546" t="str">
        <f>Table14[[#This Row],[Color Code]] &amp; " - " &amp;Table14[[#This Row],[Color Name]]</f>
        <v>E27043 - X177</v>
      </c>
    </row>
    <row r="1547" spans="1:5" x14ac:dyDescent="0.35">
      <c r="A1547" s="17" t="s">
        <v>2426</v>
      </c>
      <c r="B1547" t="s">
        <v>4618</v>
      </c>
      <c r="C1547" s="9" t="str">
        <f>_xlfn.CONCAT(HEX2DEC(MID(Table14[[#This Row],[Color Code]], 1, 2))," , ",HEX2DEC(MID(Table14[[#This Row],[Color Code]], 3, 2))," , ",HEX2DEC(MID(Table14[[#This Row],[Color Code]], 5, 2)))</f>
        <v>247 , 240 , 230</v>
      </c>
      <c r="D15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113.46805717910217</v>
      </c>
      <c r="E1547" t="str">
        <f>Table14[[#This Row],[Color Code]] &amp; " - " &amp;Table14[[#This Row],[Color Name]]</f>
        <v>F7F0E6 - L145</v>
      </c>
    </row>
    <row r="1548" spans="1:5" x14ac:dyDescent="0.35">
      <c r="A1548" s="17" t="s">
        <v>3644</v>
      </c>
      <c r="B1548" t="s">
        <v>5915</v>
      </c>
      <c r="C1548" s="9" t="str">
        <f>_xlfn.CONCAT(HEX2DEC(MID(Table14[[#This Row],[Color Code]], 1, 2))," , ",HEX2DEC(MID(Table14[[#This Row],[Color Code]], 3, 2))," , ",HEX2DEC(MID(Table14[[#This Row],[Color Code]], 5, 2)))</f>
        <v>117 , 102 , 111</v>
      </c>
      <c r="D15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113.53413583587978</v>
      </c>
      <c r="E1548" t="str">
        <f>Table14[[#This Row],[Color Code]] &amp; " - " &amp;Table14[[#This Row],[Color Name]]</f>
        <v>75666F - K037</v>
      </c>
    </row>
    <row r="1549" spans="1:5" x14ac:dyDescent="0.35">
      <c r="A1549" s="17" t="s">
        <v>2496</v>
      </c>
      <c r="B1549" t="s">
        <v>4690</v>
      </c>
      <c r="C1549" s="9" t="str">
        <f>_xlfn.CONCAT(HEX2DEC(MID(Table14[[#This Row],[Color Code]], 1, 2))," , ",HEX2DEC(MID(Table14[[#This Row],[Color Code]], 3, 2))," , ",HEX2DEC(MID(Table14[[#This Row],[Color Code]], 5, 2)))</f>
        <v>245 , 242 , 230</v>
      </c>
      <c r="D15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113.67937367878132</v>
      </c>
      <c r="E1549" t="str">
        <f>Table14[[#This Row],[Color Code]] &amp; " - " &amp;Table14[[#This Row],[Color Name]]</f>
        <v>F5F2E6 - L155</v>
      </c>
    </row>
    <row r="1550" spans="1:5" x14ac:dyDescent="0.35">
      <c r="A1550" s="17" t="s">
        <v>2735</v>
      </c>
      <c r="B1550" t="s">
        <v>4946</v>
      </c>
      <c r="C1550" s="9" t="str">
        <f>_xlfn.CONCAT(HEX2DEC(MID(Table14[[#This Row],[Color Code]], 1, 2))," , ",HEX2DEC(MID(Table14[[#This Row],[Color Code]], 3, 2))," , ",HEX2DEC(MID(Table14[[#This Row],[Color Code]], 5, 2)))</f>
        <v>95 , 121 , 180</v>
      </c>
      <c r="D15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113.79806676741042</v>
      </c>
      <c r="E1550" t="str">
        <f>Table14[[#This Row],[Color Code]] &amp; " - " &amp;Table14[[#This Row],[Color Name]]</f>
        <v>5F79B4 - 9638</v>
      </c>
    </row>
    <row r="1551" spans="1:5" x14ac:dyDescent="0.35">
      <c r="A1551" s="17" t="s">
        <v>2409</v>
      </c>
      <c r="B1551" t="s">
        <v>4601</v>
      </c>
      <c r="C1551" s="9" t="str">
        <f>_xlfn.CONCAT(HEX2DEC(MID(Table14[[#This Row],[Color Code]], 1, 2))," , ",HEX2DEC(MID(Table14[[#This Row],[Color Code]], 3, 2))," , ",HEX2DEC(MID(Table14[[#This Row],[Color Code]], 5, 2)))</f>
        <v>247 , 237 , 233</v>
      </c>
      <c r="D15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113.81124724736128</v>
      </c>
      <c r="E1551" t="str">
        <f>Table14[[#This Row],[Color Code]] &amp; " - " &amp;Table14[[#This Row],[Color Name]]</f>
        <v>F7EDE9 - 8100</v>
      </c>
    </row>
    <row r="1552" spans="1:5" x14ac:dyDescent="0.35">
      <c r="A1552" s="17" t="s">
        <v>4302</v>
      </c>
      <c r="B1552" t="s">
        <v>6673</v>
      </c>
      <c r="C1552" s="9" t="str">
        <f>_xlfn.CONCAT(HEX2DEC(MID(Table14[[#This Row],[Color Code]], 1, 2))," , ",HEX2DEC(MID(Table14[[#This Row],[Color Code]], 3, 2))," , ",HEX2DEC(MID(Table14[[#This Row],[Color Code]], 5, 2)))</f>
        <v>243 , 174 , 53</v>
      </c>
      <c r="D15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114.04385121522334</v>
      </c>
      <c r="E1552" t="str">
        <f>Table14[[#This Row],[Color Code]] &amp; " - " &amp;Table14[[#This Row],[Color Name]]</f>
        <v>F3AE35 - 7893</v>
      </c>
    </row>
    <row r="1553" spans="1:5" x14ac:dyDescent="0.35">
      <c r="A1553" s="17" t="s">
        <v>4531</v>
      </c>
      <c r="B1553" t="s">
        <v>6243</v>
      </c>
      <c r="C1553" s="9" t="str">
        <f>_xlfn.CONCAT(HEX2DEC(MID(Table14[[#This Row],[Color Code]], 1, 2))," , ",HEX2DEC(MID(Table14[[#This Row],[Color Code]], 3, 2))," , ",HEX2DEC(MID(Table14[[#This Row],[Color Code]], 5, 2)))</f>
        <v>116 , 110 , 100</v>
      </c>
      <c r="D15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114.13150310059007</v>
      </c>
      <c r="E1553" t="str">
        <f>Table14[[#This Row],[Color Code]] &amp; " - " &amp;Table14[[#This Row],[Color Name]]</f>
        <v>746E64 - 8430</v>
      </c>
    </row>
    <row r="1554" spans="1:5" x14ac:dyDescent="0.35">
      <c r="A1554" s="17" t="s">
        <v>4457</v>
      </c>
      <c r="B1554" t="s">
        <v>5360</v>
      </c>
      <c r="C1554" s="9" t="str">
        <f>_xlfn.CONCAT(HEX2DEC(MID(Table14[[#This Row],[Color Code]], 1, 2))," , ",HEX2DEC(MID(Table14[[#This Row],[Color Code]], 3, 2))," , ",HEX2DEC(MID(Table14[[#This Row],[Color Code]], 5, 2)))</f>
        <v>129 , 144 , 65</v>
      </c>
      <c r="D15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114.14902540100813</v>
      </c>
      <c r="E1554" t="str">
        <f>Table14[[#This Row],[Color Code]] &amp; " - " &amp;Table14[[#This Row],[Color Name]]</f>
        <v>819041 - 7725</v>
      </c>
    </row>
    <row r="1555" spans="1:5" x14ac:dyDescent="0.35">
      <c r="A1555" s="17" t="s">
        <v>4561</v>
      </c>
      <c r="B1555" t="s">
        <v>6555</v>
      </c>
      <c r="C1555" s="9" t="str">
        <f>_xlfn.CONCAT(HEX2DEC(MID(Table14[[#This Row],[Color Code]], 1, 2))," , ",HEX2DEC(MID(Table14[[#This Row],[Color Code]], 3, 2))," , ",HEX2DEC(MID(Table14[[#This Row],[Color Code]], 5, 2)))</f>
        <v>132 , 97 , 97</v>
      </c>
      <c r="D15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114.22784249034909</v>
      </c>
      <c r="E1555" t="str">
        <f>Table14[[#This Row],[Color Code]] &amp; " - " &amp;Table14[[#This Row],[Color Name]]</f>
        <v>846161 - 8686</v>
      </c>
    </row>
    <row r="1556" spans="1:5" x14ac:dyDescent="0.35">
      <c r="A1556" s="17" t="s">
        <v>3421</v>
      </c>
      <c r="B1556" t="s">
        <v>5682</v>
      </c>
      <c r="C1556" s="9" t="str">
        <f>_xlfn.CONCAT(HEX2DEC(MID(Table14[[#This Row],[Color Code]], 1, 2))," , ",HEX2DEC(MID(Table14[[#This Row],[Color Code]], 3, 2))," , ",HEX2DEC(MID(Table14[[#This Row],[Color Code]], 5, 2)))</f>
        <v>200 , 105 , 65</v>
      </c>
      <c r="D15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114.29785649783639</v>
      </c>
      <c r="E1556" t="str">
        <f>Table14[[#This Row],[Color Code]] &amp; " - " &amp;Table14[[#This Row],[Color Name]]</f>
        <v>C86941 - 9922</v>
      </c>
    </row>
    <row r="1557" spans="1:5" x14ac:dyDescent="0.35">
      <c r="A1557" s="17" t="s">
        <v>3440</v>
      </c>
      <c r="B1557" t="s">
        <v>5702</v>
      </c>
      <c r="C1557" s="9" t="str">
        <f>_xlfn.CONCAT(HEX2DEC(MID(Table14[[#This Row],[Color Code]], 1, 2))," , ",HEX2DEC(MID(Table14[[#This Row],[Color Code]], 3, 2))," , ",HEX2DEC(MID(Table14[[#This Row],[Color Code]], 5, 2)))</f>
        <v>200 , 115 , 58</v>
      </c>
      <c r="D15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114.33722053644648</v>
      </c>
      <c r="E1557" t="str">
        <f>Table14[[#This Row],[Color Code]] &amp; " - " &amp;Table14[[#This Row],[Color Name]]</f>
        <v>C8733A - 9942</v>
      </c>
    </row>
    <row r="1558" spans="1:5" x14ac:dyDescent="0.35">
      <c r="A1558" s="17" t="s">
        <v>3428</v>
      </c>
      <c r="B1558" t="s">
        <v>5689</v>
      </c>
      <c r="C1558" s="9" t="str">
        <f>_xlfn.CONCAT(HEX2DEC(MID(Table14[[#This Row],[Color Code]], 1, 2))," , ",HEX2DEC(MID(Table14[[#This Row],[Color Code]], 3, 2))," , ",HEX2DEC(MID(Table14[[#This Row],[Color Code]], 5, 2)))</f>
        <v>155 , 99 , 78</v>
      </c>
      <c r="D15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114.34159348198712</v>
      </c>
      <c r="E1558" t="str">
        <f>Table14[[#This Row],[Color Code]] &amp; " - " &amp;Table14[[#This Row],[Color Name]]</f>
        <v>9B634E - 9929</v>
      </c>
    </row>
    <row r="1559" spans="1:5" x14ac:dyDescent="0.35">
      <c r="A1559" s="17" t="s">
        <v>4527</v>
      </c>
      <c r="B1559" t="s">
        <v>6210</v>
      </c>
      <c r="C1559" s="9" t="str">
        <f>_xlfn.CONCAT(HEX2DEC(MID(Table14[[#This Row],[Color Code]], 1, 2))," , ",HEX2DEC(MID(Table14[[#This Row],[Color Code]], 3, 2))," , ",HEX2DEC(MID(Table14[[#This Row],[Color Code]], 5, 2)))</f>
        <v>113 , 115 , 98</v>
      </c>
      <c r="D15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114.41153787970862</v>
      </c>
      <c r="E1559" t="str">
        <f>Table14[[#This Row],[Color Code]] &amp; " - " &amp;Table14[[#This Row],[Color Name]]</f>
        <v>717362 - 8398</v>
      </c>
    </row>
    <row r="1560" spans="1:5" x14ac:dyDescent="0.35">
      <c r="A1560" s="17" t="s">
        <v>3413</v>
      </c>
      <c r="B1560" t="s">
        <v>5673</v>
      </c>
      <c r="C1560" s="9" t="str">
        <f>_xlfn.CONCAT(HEX2DEC(MID(Table14[[#This Row],[Color Code]], 1, 2))," , ",HEX2DEC(MID(Table14[[#This Row],[Color Code]], 3, 2))," , ",HEX2DEC(MID(Table14[[#This Row],[Color Code]], 5, 2)))</f>
        <v>197 , 116 , 57</v>
      </c>
      <c r="D15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114.49890829173874</v>
      </c>
      <c r="E1560" t="str">
        <f>Table14[[#This Row],[Color Code]] &amp; " - " &amp;Table14[[#This Row],[Color Name]]</f>
        <v>C57439 - 9913</v>
      </c>
    </row>
    <row r="1561" spans="1:5" x14ac:dyDescent="0.35">
      <c r="A1561" s="17" t="s">
        <v>4131</v>
      </c>
      <c r="B1561" t="s">
        <v>6483</v>
      </c>
      <c r="C1561" s="9" t="str">
        <f>_xlfn.CONCAT(HEX2DEC(MID(Table14[[#This Row],[Color Code]], 1, 2))," , ",HEX2DEC(MID(Table14[[#This Row],[Color Code]], 3, 2))," , ",HEX2DEC(MID(Table14[[#This Row],[Color Code]], 5, 2)))</f>
        <v>130 , 103 , 91</v>
      </c>
      <c r="D15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114.56002793295748</v>
      </c>
      <c r="E1561" t="str">
        <f>Table14[[#This Row],[Color Code]] &amp; " - " &amp;Table14[[#This Row],[Color Name]]</f>
        <v>82675B - 8646</v>
      </c>
    </row>
    <row r="1562" spans="1:5" x14ac:dyDescent="0.35">
      <c r="A1562" s="17" t="s">
        <v>3364</v>
      </c>
      <c r="B1562" t="s">
        <v>5623</v>
      </c>
      <c r="C1562" s="9" t="str">
        <f>_xlfn.CONCAT(HEX2DEC(MID(Table14[[#This Row],[Color Code]], 1, 2))," , ",HEX2DEC(MID(Table14[[#This Row],[Color Code]], 3, 2))," , ",HEX2DEC(MID(Table14[[#This Row],[Color Code]], 5, 2)))</f>
        <v>254 , 183 , 59</v>
      </c>
      <c r="D15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114.56002793295748</v>
      </c>
      <c r="E1562" t="str">
        <f>Table14[[#This Row],[Color Code]] &amp; " - " &amp;Table14[[#This Row],[Color Name]]</f>
        <v>FEB73B - 9892</v>
      </c>
    </row>
    <row r="1563" spans="1:5" x14ac:dyDescent="0.35">
      <c r="A1563" s="17" t="s">
        <v>3237</v>
      </c>
      <c r="B1563" t="s">
        <v>5495</v>
      </c>
      <c r="C1563" s="9" t="str">
        <f>_xlfn.CONCAT(HEX2DEC(MID(Table14[[#This Row],[Color Code]], 1, 2))," , ",HEX2DEC(MID(Table14[[#This Row],[Color Code]], 3, 2))," , ",HEX2DEC(MID(Table14[[#This Row],[Color Code]], 5, 2)))</f>
        <v>178 , 146 , 45</v>
      </c>
      <c r="D15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114.61675270221191</v>
      </c>
      <c r="E1563" t="str">
        <f>Table14[[#This Row],[Color Code]] &amp; " - " &amp;Table14[[#This Row],[Color Name]]</f>
        <v>B2922D - 9865</v>
      </c>
    </row>
    <row r="1564" spans="1:5" x14ac:dyDescent="0.35">
      <c r="A1564" s="17" t="s">
        <v>4304</v>
      </c>
      <c r="B1564" t="s">
        <v>6675</v>
      </c>
      <c r="C1564" s="9" t="str">
        <f>_xlfn.CONCAT(HEX2DEC(MID(Table14[[#This Row],[Color Code]], 1, 2))," , ",HEX2DEC(MID(Table14[[#This Row],[Color Code]], 3, 2))," , ",HEX2DEC(MID(Table14[[#This Row],[Color Code]], 5, 2)))</f>
        <v>231 , 162 , 48</v>
      </c>
      <c r="D15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114.62547709824373</v>
      </c>
      <c r="E1564" t="str">
        <f>Table14[[#This Row],[Color Code]] &amp; " - " &amp;Table14[[#This Row],[Color Name]]</f>
        <v>E7A230 - X169</v>
      </c>
    </row>
    <row r="1565" spans="1:5" x14ac:dyDescent="0.35">
      <c r="A1565" s="17" t="s">
        <v>3533</v>
      </c>
      <c r="B1565" t="s">
        <v>5801</v>
      </c>
      <c r="C1565" s="9" t="str">
        <f>_xlfn.CONCAT(HEX2DEC(MID(Table14[[#This Row],[Color Code]], 1, 2))," , ",HEX2DEC(MID(Table14[[#This Row],[Color Code]], 3, 2))," , ",HEX2DEC(MID(Table14[[#This Row],[Color Code]], 5, 2)))</f>
        <v>180 , 82 , 89</v>
      </c>
      <c r="D15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114.66908912169835</v>
      </c>
      <c r="E1565" t="str">
        <f>Table14[[#This Row],[Color Code]] &amp; " - " &amp;Table14[[#This Row],[Color Name]]</f>
        <v>B45259 - 9994</v>
      </c>
    </row>
    <row r="1566" spans="1:5" x14ac:dyDescent="0.35">
      <c r="A1566" s="17" t="s">
        <v>2465</v>
      </c>
      <c r="B1566" t="s">
        <v>4657</v>
      </c>
      <c r="C1566" s="9" t="str">
        <f>_xlfn.CONCAT(HEX2DEC(MID(Table14[[#This Row],[Color Code]], 1, 2))," , ",HEX2DEC(MID(Table14[[#This Row],[Color Code]], 3, 2))," , ",HEX2DEC(MID(Table14[[#This Row],[Color Code]], 5, 2)))</f>
        <v>247 , 241 , 231</v>
      </c>
      <c r="D15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114.70396680150168</v>
      </c>
      <c r="E1566" t="str">
        <f>Table14[[#This Row],[Color Code]] &amp; " - " &amp;Table14[[#This Row],[Color Name]]</f>
        <v>F7F1E7 - L146</v>
      </c>
    </row>
    <row r="1567" spans="1:5" x14ac:dyDescent="0.35">
      <c r="A1567" s="17" t="s">
        <v>3400</v>
      </c>
      <c r="B1567" t="s">
        <v>5659</v>
      </c>
      <c r="C1567" s="9" t="str">
        <f>_xlfn.CONCAT(HEX2DEC(MID(Table14[[#This Row],[Color Code]], 1, 2))," , ",HEX2DEC(MID(Table14[[#This Row],[Color Code]], 3, 2))," , ",HEX2DEC(MID(Table14[[#This Row],[Color Code]], 5, 2)))</f>
        <v>211 , 126 , 53</v>
      </c>
      <c r="D15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114.74319151914854</v>
      </c>
      <c r="E1567" t="str">
        <f>Table14[[#This Row],[Color Code]] &amp; " - " &amp;Table14[[#This Row],[Color Name]]</f>
        <v>D37E35 - 9905</v>
      </c>
    </row>
    <row r="1568" spans="1:5" x14ac:dyDescent="0.35">
      <c r="A1568" s="17" t="s">
        <v>3757</v>
      </c>
      <c r="B1568" t="s">
        <v>6048</v>
      </c>
      <c r="C1568" s="9" t="str">
        <f>_xlfn.CONCAT(HEX2DEC(MID(Table14[[#This Row],[Color Code]], 1, 2))," , ",HEX2DEC(MID(Table14[[#This Row],[Color Code]], 3, 2))," , ",HEX2DEC(MID(Table14[[#This Row],[Color Code]], 5, 2)))</f>
        <v>99 , 116 , 122</v>
      </c>
      <c r="D15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114.97391008398384</v>
      </c>
      <c r="E1568" t="str">
        <f>Table14[[#This Row],[Color Code]] &amp; " - " &amp;Table14[[#This Row],[Color Name]]</f>
        <v>63747A - K096</v>
      </c>
    </row>
    <row r="1569" spans="1:5" x14ac:dyDescent="0.35">
      <c r="A1569" s="17" t="s">
        <v>3559</v>
      </c>
      <c r="B1569" t="s">
        <v>5828</v>
      </c>
      <c r="C1569" s="9" t="str">
        <f>_xlfn.CONCAT(HEX2DEC(MID(Table14[[#This Row],[Color Code]], 1, 2))," , ",HEX2DEC(MID(Table14[[#This Row],[Color Code]], 3, 2))," , ",HEX2DEC(MID(Table14[[#This Row],[Color Code]], 5, 2)))</f>
        <v>172 , 86 , 85</v>
      </c>
      <c r="D15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114.9826073804208</v>
      </c>
      <c r="E1569" t="str">
        <f>Table14[[#This Row],[Color Code]] &amp; " - " &amp;Table14[[#This Row],[Color Name]]</f>
        <v>AC5655 - K002</v>
      </c>
    </row>
    <row r="1570" spans="1:5" x14ac:dyDescent="0.35">
      <c r="A1570" s="17" t="s">
        <v>3506</v>
      </c>
      <c r="B1570" t="s">
        <v>5773</v>
      </c>
      <c r="C1570" s="9" t="str">
        <f>_xlfn.CONCAT(HEX2DEC(MID(Table14[[#This Row],[Color Code]], 1, 2))," , ",HEX2DEC(MID(Table14[[#This Row],[Color Code]], 3, 2))," , ",HEX2DEC(MID(Table14[[#This Row],[Color Code]], 5, 2)))</f>
        <v>181 , 95 , 73</v>
      </c>
      <c r="D15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115.08692367076287</v>
      </c>
      <c r="E1570" t="str">
        <f>Table14[[#This Row],[Color Code]] &amp; " - " &amp;Table14[[#This Row],[Color Name]]</f>
        <v>B55F49 - 9973</v>
      </c>
    </row>
    <row r="1571" spans="1:5" x14ac:dyDescent="0.35">
      <c r="A1571" s="17" t="s">
        <v>4317</v>
      </c>
      <c r="B1571" t="s">
        <v>6688</v>
      </c>
      <c r="C1571" s="9" t="str">
        <f>_xlfn.CONCAT(HEX2DEC(MID(Table14[[#This Row],[Color Code]], 1, 2))," , ",HEX2DEC(MID(Table14[[#This Row],[Color Code]], 3, 2))," , ",HEX2DEC(MID(Table14[[#This Row],[Color Code]], 5, 2)))</f>
        <v>234 , 182 , 48</v>
      </c>
      <c r="D15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115.16075720487426</v>
      </c>
      <c r="E1571" t="str">
        <f>Table14[[#This Row],[Color Code]] &amp; " - " &amp;Table14[[#This Row],[Color Name]]</f>
        <v>EAB630 - X215</v>
      </c>
    </row>
    <row r="1572" spans="1:5" x14ac:dyDescent="0.35">
      <c r="A1572" s="17" t="s">
        <v>4555</v>
      </c>
      <c r="B1572" t="s">
        <v>6474</v>
      </c>
      <c r="C1572" s="9" t="str">
        <f>_xlfn.CONCAT(HEX2DEC(MID(Table14[[#This Row],[Color Code]], 1, 2))," , ",HEX2DEC(MID(Table14[[#This Row],[Color Code]], 3, 2))," , ",HEX2DEC(MID(Table14[[#This Row],[Color Code]], 5, 2)))</f>
        <v>147 , 96 , 84</v>
      </c>
      <c r="D15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115.35597080342222</v>
      </c>
      <c r="E1572" t="str">
        <f>Table14[[#This Row],[Color Code]] &amp; " - " &amp;Table14[[#This Row],[Color Name]]</f>
        <v>936054 - 8638</v>
      </c>
    </row>
    <row r="1573" spans="1:5" x14ac:dyDescent="0.35">
      <c r="A1573" s="17" t="s">
        <v>2503</v>
      </c>
      <c r="B1573" t="s">
        <v>4697</v>
      </c>
      <c r="C1573" s="9" t="str">
        <f>_xlfn.CONCAT(HEX2DEC(MID(Table14[[#This Row],[Color Code]], 1, 2))," , ",HEX2DEC(MID(Table14[[#This Row],[Color Code]], 3, 2))," , ",HEX2DEC(MID(Table14[[#This Row],[Color Code]], 5, 2)))</f>
        <v>246 , 243 , 231</v>
      </c>
      <c r="D15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115.39497389401325</v>
      </c>
      <c r="E1573" t="str">
        <f>Table14[[#This Row],[Color Code]] &amp; " - " &amp;Table14[[#This Row],[Color Name]]</f>
        <v>F6F3E7 - L154</v>
      </c>
    </row>
    <row r="1574" spans="1:5" x14ac:dyDescent="0.35">
      <c r="A1574" s="17" t="s">
        <v>3436</v>
      </c>
      <c r="B1574" t="s">
        <v>5698</v>
      </c>
      <c r="C1574" s="9" t="str">
        <f>_xlfn.CONCAT(HEX2DEC(MID(Table14[[#This Row],[Color Code]], 1, 2))," , ",HEX2DEC(MID(Table14[[#This Row],[Color Code]], 3, 2))," , ",HEX2DEC(MID(Table14[[#This Row],[Color Code]], 5, 2)))</f>
        <v>169 , 93 , 77</v>
      </c>
      <c r="D15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115.48592987892508</v>
      </c>
      <c r="E1574" t="str">
        <f>Table14[[#This Row],[Color Code]] &amp; " - " &amp;Table14[[#This Row],[Color Name]]</f>
        <v>A95D4D - 9938</v>
      </c>
    </row>
    <row r="1575" spans="1:5" x14ac:dyDescent="0.35">
      <c r="A1575" s="17" t="s">
        <v>3238</v>
      </c>
      <c r="B1575" t="s">
        <v>5496</v>
      </c>
      <c r="C1575" s="9" t="str">
        <f>_xlfn.CONCAT(HEX2DEC(MID(Table14[[#This Row],[Color Code]], 1, 2))," , ",HEX2DEC(MID(Table14[[#This Row],[Color Code]], 3, 2))," , ",HEX2DEC(MID(Table14[[#This Row],[Color Code]], 5, 2)))</f>
        <v>149 , 129 , 58</v>
      </c>
      <c r="D15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115.6460116043783</v>
      </c>
      <c r="E1575" t="str">
        <f>Table14[[#This Row],[Color Code]] &amp; " - " &amp;Table14[[#This Row],[Color Name]]</f>
        <v>95813A - 9866</v>
      </c>
    </row>
    <row r="1576" spans="1:5" x14ac:dyDescent="0.35">
      <c r="A1576" s="17" t="s">
        <v>3035</v>
      </c>
      <c r="B1576" t="s">
        <v>5279</v>
      </c>
      <c r="C1576" s="9" t="str">
        <f>_xlfn.CONCAT(HEX2DEC(MID(Table14[[#This Row],[Color Code]], 1, 2))," , ",HEX2DEC(MID(Table14[[#This Row],[Color Code]], 3, 2))," , ",HEX2DEC(MID(Table14[[#This Row],[Color Code]], 5, 2)))</f>
        <v>107 , 165 , 77</v>
      </c>
      <c r="D15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115.79723658188048</v>
      </c>
      <c r="E1576" t="str">
        <f>Table14[[#This Row],[Color Code]] &amp; " - " &amp;Table14[[#This Row],[Color Name]]</f>
        <v>6BA54D - 9768</v>
      </c>
    </row>
    <row r="1577" spans="1:5" x14ac:dyDescent="0.35">
      <c r="A1577" s="17" t="s">
        <v>3779</v>
      </c>
      <c r="B1577" t="s">
        <v>6074</v>
      </c>
      <c r="C1577" s="9" t="str">
        <f>_xlfn.CONCAT(HEX2DEC(MID(Table14[[#This Row],[Color Code]], 1, 2))," , ",HEX2DEC(MID(Table14[[#This Row],[Color Code]], 3, 2))," , ",HEX2DEC(MID(Table14[[#This Row],[Color Code]], 5, 2)))</f>
        <v>106 , 111 , 111</v>
      </c>
      <c r="D15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115.8792474949678</v>
      </c>
      <c r="E1577" t="str">
        <f>Table14[[#This Row],[Color Code]] &amp; " - " &amp;Table14[[#This Row],[Color Name]]</f>
        <v>6A6F6F - 8287</v>
      </c>
    </row>
    <row r="1578" spans="1:5" x14ac:dyDescent="0.35">
      <c r="A1578" s="17" t="s">
        <v>4245</v>
      </c>
      <c r="B1578" t="s">
        <v>6611</v>
      </c>
      <c r="C1578" s="9" t="str">
        <f>_xlfn.CONCAT(HEX2DEC(MID(Table14[[#This Row],[Color Code]], 1, 2))," , ",HEX2DEC(MID(Table14[[#This Row],[Color Code]], 3, 2))," , ",HEX2DEC(MID(Table14[[#This Row],[Color Code]], 5, 2)))</f>
        <v>119 , 107 , 96</v>
      </c>
      <c r="D15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115.90513362228612</v>
      </c>
      <c r="E1578" t="str">
        <f>Table14[[#This Row],[Color Code]] &amp; " - " &amp;Table14[[#This Row],[Color Name]]</f>
        <v>776B60 - 8758</v>
      </c>
    </row>
    <row r="1579" spans="1:5" x14ac:dyDescent="0.35">
      <c r="A1579" s="17" t="s">
        <v>2734</v>
      </c>
      <c r="B1579" t="s">
        <v>4945</v>
      </c>
      <c r="C1579" s="9" t="str">
        <f>_xlfn.CONCAT(HEX2DEC(MID(Table14[[#This Row],[Color Code]], 1, 2))," , ",HEX2DEC(MID(Table14[[#This Row],[Color Code]], 3, 2))," , ",HEX2DEC(MID(Table14[[#This Row],[Color Code]], 5, 2)))</f>
        <v>89 , 129 , 182</v>
      </c>
      <c r="D15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115.99137898999219</v>
      </c>
      <c r="E1579" t="str">
        <f>Table14[[#This Row],[Color Code]] &amp; " - " &amp;Table14[[#This Row],[Color Name]]</f>
        <v>5981B6 - 9637</v>
      </c>
    </row>
    <row r="1580" spans="1:5" x14ac:dyDescent="0.35">
      <c r="A1580" s="17" t="s">
        <v>3451</v>
      </c>
      <c r="B1580" t="s">
        <v>5715</v>
      </c>
      <c r="C1580" s="9" t="str">
        <f>_xlfn.CONCAT(HEX2DEC(MID(Table14[[#This Row],[Color Code]], 1, 2))," , ",HEX2DEC(MID(Table14[[#This Row],[Color Code]], 3, 2))," , ",HEX2DEC(MID(Table14[[#This Row],[Color Code]], 5, 2)))</f>
        <v>212 , 110 , 61</v>
      </c>
      <c r="D15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116.02154972245458</v>
      </c>
      <c r="E1580" t="str">
        <f>Table14[[#This Row],[Color Code]] &amp; " - " &amp;Table14[[#This Row],[Color Name]]</f>
        <v>D46E3D - 9949</v>
      </c>
    </row>
    <row r="1581" spans="1:5" x14ac:dyDescent="0.35">
      <c r="A1581" s="17" t="s">
        <v>2495</v>
      </c>
      <c r="B1581" t="s">
        <v>4689</v>
      </c>
      <c r="C1581" s="9" t="str">
        <f>_xlfn.CONCAT(HEX2DEC(MID(Table14[[#This Row],[Color Code]], 1, 2))," , ",HEX2DEC(MID(Table14[[#This Row],[Color Code]], 3, 2))," , ",HEX2DEC(MID(Table14[[#This Row],[Color Code]], 5, 2)))</f>
        <v>246 , 243 , 232</v>
      </c>
      <c r="D15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116.05602095539895</v>
      </c>
      <c r="E1581" t="str">
        <f>Table14[[#This Row],[Color Code]] &amp; " - " &amp;Table14[[#This Row],[Color Name]]</f>
        <v>F6F3E8 - L152</v>
      </c>
    </row>
    <row r="1582" spans="1:5" x14ac:dyDescent="0.35">
      <c r="A1582" s="17" t="s">
        <v>4567</v>
      </c>
      <c r="B1582" t="s">
        <v>6586</v>
      </c>
      <c r="C1582" s="9" t="str">
        <f>_xlfn.CONCAT(HEX2DEC(MID(Table14[[#This Row],[Color Code]], 1, 2))," , ",HEX2DEC(MID(Table14[[#This Row],[Color Code]], 3, 2))," , ",HEX2DEC(MID(Table14[[#This Row],[Color Code]], 5, 2)))</f>
        <v>117 , 104 , 102</v>
      </c>
      <c r="D15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116.081867662439</v>
      </c>
      <c r="E1582" t="str">
        <f>Table14[[#This Row],[Color Code]] &amp; " - " &amp;Table14[[#This Row],[Color Name]]</f>
        <v>756866 - K279</v>
      </c>
    </row>
    <row r="1583" spans="1:5" x14ac:dyDescent="0.35">
      <c r="A1583" s="17" t="s">
        <v>4309</v>
      </c>
      <c r="B1583" t="s">
        <v>6680</v>
      </c>
      <c r="C1583" s="9" t="str">
        <f>_xlfn.CONCAT(HEX2DEC(MID(Table14[[#This Row],[Color Code]], 1, 2))," , ",HEX2DEC(MID(Table14[[#This Row],[Color Code]], 3, 2))," , ",HEX2DEC(MID(Table14[[#This Row],[Color Code]], 5, 2)))</f>
        <v>237 , 177 , 48</v>
      </c>
      <c r="D15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116.09478885807063</v>
      </c>
      <c r="E1583" t="str">
        <f>Table14[[#This Row],[Color Code]] &amp; " - " &amp;Table14[[#This Row],[Color Name]]</f>
        <v>EDB130 - X218</v>
      </c>
    </row>
    <row r="1584" spans="1:5" x14ac:dyDescent="0.35">
      <c r="A1584" s="17" t="s">
        <v>4146</v>
      </c>
      <c r="B1584" t="s">
        <v>6499</v>
      </c>
      <c r="C1584" s="9" t="str">
        <f>_xlfn.CONCAT(HEX2DEC(MID(Table14[[#This Row],[Color Code]], 1, 2))," , ",HEX2DEC(MID(Table14[[#This Row],[Color Code]], 3, 2))," , ",HEX2DEC(MID(Table14[[#This Row],[Color Code]], 5, 2)))</f>
        <v>166 , 91 , 79</v>
      </c>
      <c r="D15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116.22392180614109</v>
      </c>
      <c r="E1584" t="str">
        <f>Table14[[#This Row],[Color Code]] &amp; " - " &amp;Table14[[#This Row],[Color Name]]</f>
        <v>A65B4F - 8670</v>
      </c>
    </row>
    <row r="1585" spans="1:5" x14ac:dyDescent="0.35">
      <c r="A1585" s="17" t="s">
        <v>3923</v>
      </c>
      <c r="B1585" t="s">
        <v>6251</v>
      </c>
      <c r="C1585" s="9" t="str">
        <f>_xlfn.CONCAT(HEX2DEC(MID(Table14[[#This Row],[Color Code]], 1, 2))," , ",HEX2DEC(MID(Table14[[#This Row],[Color Code]], 3, 2))," , ",HEX2DEC(MID(Table14[[#This Row],[Color Code]], 5, 2)))</f>
        <v>116 , 108 , 98</v>
      </c>
      <c r="D15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116.24973118248489</v>
      </c>
      <c r="E1585" t="str">
        <f>Table14[[#This Row],[Color Code]] &amp; " - " &amp;Table14[[#This Row],[Color Name]]</f>
        <v>746C62 - 8438</v>
      </c>
    </row>
    <row r="1586" spans="1:5" x14ac:dyDescent="0.35">
      <c r="A1586" s="17" t="s">
        <v>4082</v>
      </c>
      <c r="B1586" t="s">
        <v>6428</v>
      </c>
      <c r="C1586" s="9" t="str">
        <f>_xlfn.CONCAT(HEX2DEC(MID(Table14[[#This Row],[Color Code]], 1, 2))," , ",HEX2DEC(MID(Table14[[#This Row],[Color Code]], 3, 2))," , ",HEX2DEC(MID(Table14[[#This Row],[Color Code]], 5, 2)))</f>
        <v>161 , 102 , 70</v>
      </c>
      <c r="D15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116.25403218813531</v>
      </c>
      <c r="E1586" t="str">
        <f>Table14[[#This Row],[Color Code]] &amp; " - " &amp;Table14[[#This Row],[Color Name]]</f>
        <v>A16646 - 8589</v>
      </c>
    </row>
    <row r="1587" spans="1:5" x14ac:dyDescent="0.35">
      <c r="A1587" s="17" t="s">
        <v>3909</v>
      </c>
      <c r="B1587" t="s">
        <v>6234</v>
      </c>
      <c r="C1587" s="9" t="str">
        <f>_xlfn.CONCAT(HEX2DEC(MID(Table14[[#This Row],[Color Code]], 1, 2))," , ",HEX2DEC(MID(Table14[[#This Row],[Color Code]], 3, 2))," , ",HEX2DEC(MID(Table14[[#This Row],[Color Code]], 5, 2)))</f>
        <v>114 , 111 , 97</v>
      </c>
      <c r="D15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116.37869220780924</v>
      </c>
      <c r="E1587" t="str">
        <f>Table14[[#This Row],[Color Code]] &amp; " - " &amp;Table14[[#This Row],[Color Name]]</f>
        <v>726F61 - 8422</v>
      </c>
    </row>
    <row r="1588" spans="1:5" x14ac:dyDescent="0.35">
      <c r="A1588" s="17" t="s">
        <v>3939</v>
      </c>
      <c r="B1588" t="s">
        <v>6267</v>
      </c>
      <c r="C1588" s="9" t="str">
        <f>_xlfn.CONCAT(HEX2DEC(MID(Table14[[#This Row],[Color Code]], 1, 2))," , ",HEX2DEC(MID(Table14[[#This Row],[Color Code]], 3, 2))," , ",HEX2DEC(MID(Table14[[#This Row],[Color Code]], 5, 2)))</f>
        <v>118 , 109 , 94</v>
      </c>
      <c r="D15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116.41735265844177</v>
      </c>
      <c r="E1588" t="str">
        <f>Table14[[#This Row],[Color Code]] &amp; " - " &amp;Table14[[#This Row],[Color Name]]</f>
        <v>766D5E - 8462</v>
      </c>
    </row>
    <row r="1589" spans="1:5" x14ac:dyDescent="0.35">
      <c r="A1589" s="17" t="s">
        <v>3206</v>
      </c>
      <c r="B1589" t="s">
        <v>5464</v>
      </c>
      <c r="C1589" s="9" t="str">
        <f>_xlfn.CONCAT(HEX2DEC(MID(Table14[[#This Row],[Color Code]], 1, 2))," , ",HEX2DEC(MID(Table14[[#This Row],[Color Code]], 3, 2))," , ",HEX2DEC(MID(Table14[[#This Row],[Color Code]], 5, 2)))</f>
        <v>127 , 118 , 77</v>
      </c>
      <c r="D15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116.43882514007088</v>
      </c>
      <c r="E1589" t="str">
        <f>Table14[[#This Row],[Color Code]] &amp; " - " &amp;Table14[[#This Row],[Color Name]]</f>
        <v>7F764D - 0254</v>
      </c>
    </row>
    <row r="1590" spans="1:5" x14ac:dyDescent="0.35">
      <c r="A1590" s="17" t="s">
        <v>3363</v>
      </c>
      <c r="B1590" t="s">
        <v>5622</v>
      </c>
      <c r="C1590" s="9" t="str">
        <f>_xlfn.CONCAT(HEX2DEC(MID(Table14[[#This Row],[Color Code]], 1, 2))," , ",HEX2DEC(MID(Table14[[#This Row],[Color Code]], 3, 2))," , ",HEX2DEC(MID(Table14[[#This Row],[Color Code]], 5, 2)))</f>
        <v>254 , 187 , 57</v>
      </c>
      <c r="D15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116.58473313431737</v>
      </c>
      <c r="E1590" t="str">
        <f>Table14[[#This Row],[Color Code]] &amp; " - " &amp;Table14[[#This Row],[Color Name]]</f>
        <v>FEBB39 - 7942</v>
      </c>
    </row>
    <row r="1591" spans="1:5" x14ac:dyDescent="0.35">
      <c r="A1591" s="17" t="s">
        <v>4327</v>
      </c>
      <c r="B1591" t="s">
        <v>6698</v>
      </c>
      <c r="C1591" s="9" t="str">
        <f>_xlfn.CONCAT(HEX2DEC(MID(Table14[[#This Row],[Color Code]], 1, 2))," , ",HEX2DEC(MID(Table14[[#This Row],[Color Code]], 3, 2))," , ",HEX2DEC(MID(Table14[[#This Row],[Color Code]], 5, 2)))</f>
        <v>204 , 174 , 39</v>
      </c>
      <c r="D15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116.62332528272378</v>
      </c>
      <c r="E1591" t="str">
        <f>Table14[[#This Row],[Color Code]] &amp; " - " &amp;Table14[[#This Row],[Color Name]]</f>
        <v>CCAE27 - 7829</v>
      </c>
    </row>
    <row r="1592" spans="1:5" x14ac:dyDescent="0.35">
      <c r="A1592" s="17" t="s">
        <v>4333</v>
      </c>
      <c r="B1592" t="s">
        <v>6705</v>
      </c>
      <c r="C1592" s="9" t="str">
        <f>_xlfn.CONCAT(HEX2DEC(MID(Table14[[#This Row],[Color Code]], 1, 2))," , ",HEX2DEC(MID(Table14[[#This Row],[Color Code]], 3, 2))," , ",HEX2DEC(MID(Table14[[#This Row],[Color Code]], 5, 2)))</f>
        <v>173 , 179 , 40</v>
      </c>
      <c r="D15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116.62761251093156</v>
      </c>
      <c r="E1592" t="str">
        <f>Table14[[#This Row],[Color Code]] &amp; " - " &amp;Table14[[#This Row],[Color Name]]</f>
        <v>ADB328 - 7741</v>
      </c>
    </row>
    <row r="1593" spans="1:5" x14ac:dyDescent="0.35">
      <c r="A1593" s="17" t="s">
        <v>3880</v>
      </c>
      <c r="B1593" t="s">
        <v>6202</v>
      </c>
      <c r="C1593" s="9" t="str">
        <f>_xlfn.CONCAT(HEX2DEC(MID(Table14[[#This Row],[Color Code]], 1, 2))," , ",HEX2DEC(MID(Table14[[#This Row],[Color Code]], 3, 2))," , ",HEX2DEC(MID(Table14[[#This Row],[Color Code]], 5, 2)))</f>
        <v>109 , 114 , 100</v>
      </c>
      <c r="D15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116.76900273617139</v>
      </c>
      <c r="E1593" t="str">
        <f>Table14[[#This Row],[Color Code]] &amp; " - " &amp;Table14[[#This Row],[Color Name]]</f>
        <v>6D7264 - 8390</v>
      </c>
    </row>
    <row r="1594" spans="1:5" x14ac:dyDescent="0.35">
      <c r="A1594" s="17" t="s">
        <v>2511</v>
      </c>
      <c r="B1594" t="s">
        <v>4705</v>
      </c>
      <c r="C1594" s="9" t="str">
        <f>_xlfn.CONCAT(HEX2DEC(MID(Table14[[#This Row],[Color Code]], 1, 2))," , ",HEX2DEC(MID(Table14[[#This Row],[Color Code]], 3, 2))," , ",HEX2DEC(MID(Table14[[#This Row],[Color Code]], 5, 2)))</f>
        <v>243 , 242 , 236</v>
      </c>
      <c r="D15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116.83749398202616</v>
      </c>
      <c r="E1594" t="str">
        <f>Table14[[#This Row],[Color Code]] &amp; " - " &amp;Table14[[#This Row],[Color Name]]</f>
        <v>F3F2EC - L161</v>
      </c>
    </row>
    <row r="1595" spans="1:5" x14ac:dyDescent="0.35">
      <c r="A1595" s="17" t="s">
        <v>3226</v>
      </c>
      <c r="B1595" t="s">
        <v>5484</v>
      </c>
      <c r="C1595" s="9" t="str">
        <f>_xlfn.CONCAT(HEX2DEC(MID(Table14[[#This Row],[Color Code]], 1, 2))," , ",HEX2DEC(MID(Table14[[#This Row],[Color Code]], 3, 2))," , ",HEX2DEC(MID(Table14[[#This Row],[Color Code]], 5, 2)))</f>
        <v>163 , 134 , 49</v>
      </c>
      <c r="D15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117.2945011498834</v>
      </c>
      <c r="E1595" t="str">
        <f>Table14[[#This Row],[Color Code]] &amp; " - " &amp;Table14[[#This Row],[Color Name]]</f>
        <v>A38631 - 9859</v>
      </c>
    </row>
    <row r="1596" spans="1:5" x14ac:dyDescent="0.35">
      <c r="A1596" s="17" t="s">
        <v>2860</v>
      </c>
      <c r="B1596" t="s">
        <v>5078</v>
      </c>
      <c r="C1596" s="9" t="str">
        <f>_xlfn.CONCAT(HEX2DEC(MID(Table14[[#This Row],[Color Code]], 1, 2))," , ",HEX2DEC(MID(Table14[[#This Row],[Color Code]], 3, 2))," , ",HEX2DEC(MID(Table14[[#This Row],[Color Code]], 5, 2)))</f>
        <v>81 , 174 , 193</v>
      </c>
      <c r="D15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117.32859838931002</v>
      </c>
      <c r="E1596" t="str">
        <f>Table14[[#This Row],[Color Code]] &amp; " - " &amp;Table14[[#This Row],[Color Name]]</f>
        <v>51AEC1 - 7431</v>
      </c>
    </row>
    <row r="1597" spans="1:5" x14ac:dyDescent="0.35">
      <c r="A1597" s="17" t="s">
        <v>4287</v>
      </c>
      <c r="B1597" t="s">
        <v>6658</v>
      </c>
      <c r="C1597" s="9" t="str">
        <f>_xlfn.CONCAT(HEX2DEC(MID(Table14[[#This Row],[Color Code]], 1, 2))," , ",HEX2DEC(MID(Table14[[#This Row],[Color Code]], 3, 2))," , ",HEX2DEC(MID(Table14[[#This Row],[Color Code]], 5, 2)))</f>
        <v>225 , 117 , 58</v>
      </c>
      <c r="D15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117.73699503554522</v>
      </c>
      <c r="E1597" t="str">
        <f>Table14[[#This Row],[Color Code]] &amp; " - " &amp;Table14[[#This Row],[Color Name]]</f>
        <v>E1753A - X112</v>
      </c>
    </row>
    <row r="1598" spans="1:5" x14ac:dyDescent="0.35">
      <c r="A1598" s="17" t="s">
        <v>3922</v>
      </c>
      <c r="B1598" t="s">
        <v>6250</v>
      </c>
      <c r="C1598" s="9" t="str">
        <f>_xlfn.CONCAT(HEX2DEC(MID(Table14[[#This Row],[Color Code]], 1, 2))," , ",HEX2DEC(MID(Table14[[#This Row],[Color Code]], 3, 2))," , ",HEX2DEC(MID(Table14[[#This Row],[Color Code]], 5, 2)))</f>
        <v>112 , 108 , 100</v>
      </c>
      <c r="D15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117.957619508025</v>
      </c>
      <c r="E1598" t="str">
        <f>Table14[[#This Row],[Color Code]] &amp; " - " &amp;Table14[[#This Row],[Color Name]]</f>
        <v>706C64 - K162</v>
      </c>
    </row>
    <row r="1599" spans="1:5" x14ac:dyDescent="0.35">
      <c r="A1599" s="17" t="s">
        <v>3813</v>
      </c>
      <c r="B1599" t="s">
        <v>6122</v>
      </c>
      <c r="C1599" s="9" t="str">
        <f>_xlfn.CONCAT(HEX2DEC(MID(Table14[[#This Row],[Color Code]], 1, 2))," , ",HEX2DEC(MID(Table14[[#This Row],[Color Code]], 3, 2))," , ",HEX2DEC(MID(Table14[[#This Row],[Color Code]], 5, 2)))</f>
        <v>106 , 110 , 107</v>
      </c>
      <c r="D15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118.00423721205946</v>
      </c>
      <c r="E1599" t="str">
        <f>Table14[[#This Row],[Color Code]] &amp; " - " &amp;Table14[[#This Row],[Color Name]]</f>
        <v>6A6E6B - K127</v>
      </c>
    </row>
    <row r="1600" spans="1:5" x14ac:dyDescent="0.35">
      <c r="A1600" s="17" t="s">
        <v>4547</v>
      </c>
      <c r="B1600" t="s">
        <v>6388</v>
      </c>
      <c r="C1600" s="9" t="str">
        <f>_xlfn.CONCAT(HEX2DEC(MID(Table14[[#This Row],[Color Code]], 1, 2))," , ",HEX2DEC(MID(Table14[[#This Row],[Color Code]], 3, 2))," , ",HEX2DEC(MID(Table14[[#This Row],[Color Code]], 5, 2)))</f>
        <v>137 , 102 , 80</v>
      </c>
      <c r="D16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118.23282116231516</v>
      </c>
      <c r="E1600" t="str">
        <f>Table14[[#This Row],[Color Code]] &amp; " - " &amp;Table14[[#This Row],[Color Name]]</f>
        <v>896650 - 8573</v>
      </c>
    </row>
    <row r="1601" spans="1:5" x14ac:dyDescent="0.35">
      <c r="A1601" s="17" t="s">
        <v>3660</v>
      </c>
      <c r="B1601" t="s">
        <v>5932</v>
      </c>
      <c r="C1601" s="9" t="str">
        <f>_xlfn.CONCAT(HEX2DEC(MID(Table14[[#This Row],[Color Code]], 1, 2))," , ",HEX2DEC(MID(Table14[[#This Row],[Color Code]], 3, 2))," , ",HEX2DEC(MID(Table14[[#This Row],[Color Code]], 5, 2)))</f>
        <v>137 , 76 , 121</v>
      </c>
      <c r="D16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118.2455073142316</v>
      </c>
      <c r="E1601" t="str">
        <f>Table14[[#This Row],[Color Code]] &amp; " - " &amp;Table14[[#This Row],[Color Name]]</f>
        <v>894C79 - K040</v>
      </c>
    </row>
    <row r="1602" spans="1:5" x14ac:dyDescent="0.35">
      <c r="A1602" s="17" t="s">
        <v>3504</v>
      </c>
      <c r="B1602" t="s">
        <v>5771</v>
      </c>
      <c r="C1602" s="9" t="str">
        <f>_xlfn.CONCAT(HEX2DEC(MID(Table14[[#This Row],[Color Code]], 1, 2))," , ",HEX2DEC(MID(Table14[[#This Row],[Color Code]], 3, 2))," , ",HEX2DEC(MID(Table14[[#This Row],[Color Code]], 5, 2)))</f>
        <v>185 , 88 , 75</v>
      </c>
      <c r="D16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118.39763511151733</v>
      </c>
      <c r="E1602" t="str">
        <f>Table14[[#This Row],[Color Code]] &amp; " - " &amp;Table14[[#This Row],[Color Name]]</f>
        <v>B9584B - 8029</v>
      </c>
    </row>
    <row r="1603" spans="1:5" x14ac:dyDescent="0.35">
      <c r="A1603" s="17" t="s">
        <v>3340</v>
      </c>
      <c r="B1603" t="s">
        <v>5599</v>
      </c>
      <c r="C1603" s="9" t="str">
        <f>_xlfn.CONCAT(HEX2DEC(MID(Table14[[#This Row],[Color Code]], 1, 2))," , ",HEX2DEC(MID(Table14[[#This Row],[Color Code]], 3, 2))," , ",HEX2DEC(MID(Table14[[#This Row],[Color Code]], 5, 2)))</f>
        <v>237 , 164 , 46</v>
      </c>
      <c r="D16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118.43563652887589</v>
      </c>
      <c r="E1603" t="str">
        <f>Table14[[#This Row],[Color Code]] &amp; " - " &amp;Table14[[#This Row],[Color Name]]</f>
        <v>EDA42E - 9889</v>
      </c>
    </row>
    <row r="1604" spans="1:5" x14ac:dyDescent="0.35">
      <c r="A1604" s="17" t="s">
        <v>2644</v>
      </c>
      <c r="B1604" t="s">
        <v>4846</v>
      </c>
      <c r="C1604" s="9" t="str">
        <f>_xlfn.CONCAT(HEX2DEC(MID(Table14[[#This Row],[Color Code]], 1, 2))," , ",HEX2DEC(MID(Table14[[#This Row],[Color Code]], 3, 2))," , ",HEX2DEC(MID(Table14[[#This Row],[Color Code]], 5, 2)))</f>
        <v>112 , 91 , 131</v>
      </c>
      <c r="D16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118.45674315968678</v>
      </c>
      <c r="E1604" t="str">
        <f>Table14[[#This Row],[Color Code]] &amp; " - " &amp;Table14[[#This Row],[Color Name]]</f>
        <v>705B83 - 9613</v>
      </c>
    </row>
    <row r="1605" spans="1:5" x14ac:dyDescent="0.35">
      <c r="A1605" s="17" t="s">
        <v>2829</v>
      </c>
      <c r="B1605" t="s">
        <v>5045</v>
      </c>
      <c r="C1605" s="9" t="str">
        <f>_xlfn.CONCAT(HEX2DEC(MID(Table14[[#This Row],[Color Code]], 1, 2))," , ",HEX2DEC(MID(Table14[[#This Row],[Color Code]], 3, 2))," , ",HEX2DEC(MID(Table14[[#This Row],[Color Code]], 5, 2)))</f>
        <v>87 , 185 , 209</v>
      </c>
      <c r="D16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118.49472562101657</v>
      </c>
      <c r="E1605" t="str">
        <f>Table14[[#This Row],[Color Code]] &amp; " - " &amp;Table14[[#This Row],[Color Name]]</f>
        <v>57B9D1 - 7408</v>
      </c>
    </row>
    <row r="1606" spans="1:5" x14ac:dyDescent="0.35">
      <c r="A1606" s="17" t="s">
        <v>4391</v>
      </c>
      <c r="B1606" t="s">
        <v>6775</v>
      </c>
      <c r="C1606" s="9" t="str">
        <f>_xlfn.CONCAT(HEX2DEC(MID(Table14[[#This Row],[Color Code]], 1, 2))," , ",HEX2DEC(MID(Table14[[#This Row],[Color Code]], 3, 2))," , ",HEX2DEC(MID(Table14[[#This Row],[Color Code]], 5, 2)))</f>
        <v>167 , 77 , 93</v>
      </c>
      <c r="D16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118.62967588255478</v>
      </c>
      <c r="E1606" t="str">
        <f>Table14[[#This Row],[Color Code]] &amp; " - " &amp;Table14[[#This Row],[Color Name]]</f>
        <v>A74D5D - X126</v>
      </c>
    </row>
    <row r="1607" spans="1:5" x14ac:dyDescent="0.35">
      <c r="A1607" s="17" t="s">
        <v>3558</v>
      </c>
      <c r="B1607" t="s">
        <v>5827</v>
      </c>
      <c r="C1607" s="9" t="str">
        <f>_xlfn.CONCAT(HEX2DEC(MID(Table14[[#This Row],[Color Code]], 1, 2))," , ",HEX2DEC(MID(Table14[[#This Row],[Color Code]], 3, 2))," , ",HEX2DEC(MID(Table14[[#This Row],[Color Code]], 5, 2)))</f>
        <v>177 , 85 , 79</v>
      </c>
      <c r="D16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118.7476315553283</v>
      </c>
      <c r="E1607" t="str">
        <f>Table14[[#This Row],[Color Code]] &amp; " - " &amp;Table14[[#This Row],[Color Name]]</f>
        <v>B1554F - 0509</v>
      </c>
    </row>
    <row r="1608" spans="1:5" x14ac:dyDescent="0.35">
      <c r="A1608" s="17" t="s">
        <v>4576</v>
      </c>
      <c r="B1608" t="s">
        <v>6700</v>
      </c>
      <c r="C1608" s="9" t="str">
        <f>_xlfn.CONCAT(HEX2DEC(MID(Table14[[#This Row],[Color Code]], 1, 2))," , ",HEX2DEC(MID(Table14[[#This Row],[Color Code]], 3, 2))," , ",HEX2DEC(MID(Table14[[#This Row],[Color Code]], 5, 2)))</f>
        <v>145 , 131 , 55</v>
      </c>
      <c r="D16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118.93275410920239</v>
      </c>
      <c r="E1608" t="str">
        <f>Table14[[#This Row],[Color Code]] &amp; " - " &amp;Table14[[#This Row],[Color Name]]</f>
        <v>918337 - X224</v>
      </c>
    </row>
    <row r="1609" spans="1:5" x14ac:dyDescent="0.35">
      <c r="A1609" s="17" t="s">
        <v>4520</v>
      </c>
      <c r="B1609" t="s">
        <v>6153</v>
      </c>
      <c r="C1609" s="9" t="str">
        <f>_xlfn.CONCAT(HEX2DEC(MID(Table14[[#This Row],[Color Code]], 1, 2))," , ",HEX2DEC(MID(Table14[[#This Row],[Color Code]], 3, 2))," , ",HEX2DEC(MID(Table14[[#This Row],[Color Code]], 5, 2)))</f>
        <v>97 , 117 , 113</v>
      </c>
      <c r="D16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118.9663818059539</v>
      </c>
      <c r="E1609" t="str">
        <f>Table14[[#This Row],[Color Code]] &amp; " - " &amp;Table14[[#This Row],[Color Name]]</f>
        <v>617571 - 8342</v>
      </c>
    </row>
    <row r="1610" spans="1:5" x14ac:dyDescent="0.35">
      <c r="A1610" s="17" t="s">
        <v>3581</v>
      </c>
      <c r="B1610" t="s">
        <v>5850</v>
      </c>
      <c r="C1610" s="9" t="str">
        <f>_xlfn.CONCAT(HEX2DEC(MID(Table14[[#This Row],[Color Code]], 1, 2))," , ",HEX2DEC(MID(Table14[[#This Row],[Color Code]], 3, 2))," , ",HEX2DEC(MID(Table14[[#This Row],[Color Code]], 5, 2)))</f>
        <v>176 , 76 , 91</v>
      </c>
      <c r="D16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118.9663818059539</v>
      </c>
      <c r="E1610" t="str">
        <f>Table14[[#This Row],[Color Code]] &amp; " - " &amp;Table14[[#This Row],[Color Name]]</f>
        <v>B04C5B - K006</v>
      </c>
    </row>
    <row r="1611" spans="1:5" x14ac:dyDescent="0.35">
      <c r="A1611" s="17" t="s">
        <v>4446</v>
      </c>
      <c r="B1611" t="s">
        <v>5214</v>
      </c>
      <c r="C1611" s="9" t="str">
        <f>_xlfn.CONCAT(HEX2DEC(MID(Table14[[#This Row],[Color Code]], 1, 2))," , ",HEX2DEC(MID(Table14[[#This Row],[Color Code]], 3, 2))," , ",HEX2DEC(MID(Table14[[#This Row],[Color Code]], 5, 2)))</f>
        <v>88 , 135 , 113</v>
      </c>
      <c r="D16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119.07980517283357</v>
      </c>
      <c r="E1611" t="str">
        <f>Table14[[#This Row],[Color Code]] &amp; " - " &amp;Table14[[#This Row],[Color Name]]</f>
        <v>588771 - 7558</v>
      </c>
    </row>
    <row r="1612" spans="1:5" x14ac:dyDescent="0.35">
      <c r="A1612" s="17" t="s">
        <v>3507</v>
      </c>
      <c r="B1612" t="s">
        <v>5774</v>
      </c>
      <c r="C1612" s="9" t="str">
        <f>_xlfn.CONCAT(HEX2DEC(MID(Table14[[#This Row],[Color Code]], 1, 2))," , ",HEX2DEC(MID(Table14[[#This Row],[Color Code]], 3, 2))," , ",HEX2DEC(MID(Table14[[#This Row],[Color Code]], 5, 2)))</f>
        <v>165 , 90 , 76</v>
      </c>
      <c r="D16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119.14277149705725</v>
      </c>
      <c r="E1612" t="str">
        <f>Table14[[#This Row],[Color Code]] &amp; " - " &amp;Table14[[#This Row],[Color Name]]</f>
        <v>A55A4C - 9974</v>
      </c>
    </row>
    <row r="1613" spans="1:5" x14ac:dyDescent="0.35">
      <c r="A1613" s="17" t="s">
        <v>4290</v>
      </c>
      <c r="B1613" t="s">
        <v>6661</v>
      </c>
      <c r="C1613" s="9" t="str">
        <f>_xlfn.CONCAT(HEX2DEC(MID(Table14[[#This Row],[Color Code]], 1, 2))," , ",HEX2DEC(MID(Table14[[#This Row],[Color Code]], 3, 2))," , ",HEX2DEC(MID(Table14[[#This Row],[Color Code]], 5, 2)))</f>
        <v>252 , 167 , 52</v>
      </c>
      <c r="D16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119.46966142079754</v>
      </c>
      <c r="E1613" t="str">
        <f>Table14[[#This Row],[Color Code]] &amp; " - " &amp;Table14[[#This Row],[Color Name]]</f>
        <v>FCA734 - X170</v>
      </c>
    </row>
    <row r="1614" spans="1:5" x14ac:dyDescent="0.35">
      <c r="A1614" s="17" t="s">
        <v>4383</v>
      </c>
      <c r="B1614" t="s">
        <v>6767</v>
      </c>
      <c r="C1614" s="9" t="str">
        <f>_xlfn.CONCAT(HEX2DEC(MID(Table14[[#This Row],[Color Code]], 1, 2))," , ",HEX2DEC(MID(Table14[[#This Row],[Color Code]], 3, 2))," , ",HEX2DEC(MID(Table14[[#This Row],[Color Code]], 5, 2)))</f>
        <v>166 , 70 , 104</v>
      </c>
      <c r="D16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119.59096955874219</v>
      </c>
      <c r="E1614" t="str">
        <f>Table14[[#This Row],[Color Code]] &amp; " - " &amp;Table14[[#This Row],[Color Name]]</f>
        <v>A64668 - X132</v>
      </c>
    </row>
    <row r="1615" spans="1:5" x14ac:dyDescent="0.35">
      <c r="A1615" s="17" t="s">
        <v>2731</v>
      </c>
      <c r="B1615" t="s">
        <v>4942</v>
      </c>
      <c r="C1615" s="9" t="str">
        <f>_xlfn.CONCAT(HEX2DEC(MID(Table14[[#This Row],[Color Code]], 1, 2))," , ",HEX2DEC(MID(Table14[[#This Row],[Color Code]], 3, 2))," , ",HEX2DEC(MID(Table14[[#This Row],[Color Code]], 5, 2)))</f>
        <v>98 , 107 , 125</v>
      </c>
      <c r="D16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119.83321743156193</v>
      </c>
      <c r="E1615" t="str">
        <f>Table14[[#This Row],[Color Code]] &amp; " - " &amp;Table14[[#This Row],[Color Name]]</f>
        <v>626B7D - 7230</v>
      </c>
    </row>
    <row r="1616" spans="1:5" x14ac:dyDescent="0.35">
      <c r="A1616" s="17" t="s">
        <v>3834</v>
      </c>
      <c r="B1616" t="s">
        <v>6147</v>
      </c>
      <c r="C1616" s="9" t="str">
        <f>_xlfn.CONCAT(HEX2DEC(MID(Table14[[#This Row],[Color Code]], 1, 2))," , ",HEX2DEC(MID(Table14[[#This Row],[Color Code]], 3, 2))," , ",HEX2DEC(MID(Table14[[#This Row],[Color Code]], 5, 2)))</f>
        <v>100 , 112 , 111</v>
      </c>
      <c r="D16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119.87076374162301</v>
      </c>
      <c r="E1616" t="str">
        <f>Table14[[#This Row],[Color Code]] &amp; " - " &amp;Table14[[#This Row],[Color Name]]</f>
        <v>64706F - 8334</v>
      </c>
    </row>
    <row r="1617" spans="1:5" x14ac:dyDescent="0.35">
      <c r="A1617" s="17" t="s">
        <v>3414</v>
      </c>
      <c r="B1617" t="s">
        <v>5674</v>
      </c>
      <c r="C1617" s="9" t="str">
        <f>_xlfn.CONCAT(HEX2DEC(MID(Table14[[#This Row],[Color Code]], 1, 2))," , ",HEX2DEC(MID(Table14[[#This Row],[Color Code]], 3, 2))," , ",HEX2DEC(MID(Table14[[#This Row],[Color Code]], 5, 2)))</f>
        <v>168 , 102 , 63</v>
      </c>
      <c r="D16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119.87076374162301</v>
      </c>
      <c r="E1617" t="str">
        <f>Table14[[#This Row],[Color Code]] &amp; " - " &amp;Table14[[#This Row],[Color Name]]</f>
        <v>A8663F - 9914</v>
      </c>
    </row>
    <row r="1618" spans="1:5" x14ac:dyDescent="0.35">
      <c r="A1618" s="17" t="s">
        <v>3984</v>
      </c>
      <c r="B1618" t="s">
        <v>6324</v>
      </c>
      <c r="C1618" s="9" t="str">
        <f>_xlfn.CONCAT(HEX2DEC(MID(Table14[[#This Row],[Color Code]], 1, 2))," , ",HEX2DEC(MID(Table14[[#This Row],[Color Code]], 3, 2))," , ",HEX2DEC(MID(Table14[[#This Row],[Color Code]], 5, 2)))</f>
        <v>133 , 108 , 75</v>
      </c>
      <c r="D16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119.87493482792806</v>
      </c>
      <c r="E1618" t="str">
        <f>Table14[[#This Row],[Color Code]] &amp; " - " &amp;Table14[[#This Row],[Color Name]]</f>
        <v>856C4B - 8509</v>
      </c>
    </row>
    <row r="1619" spans="1:5" x14ac:dyDescent="0.35">
      <c r="A1619" s="17" t="s">
        <v>4408</v>
      </c>
      <c r="B1619" t="s">
        <v>4852</v>
      </c>
      <c r="C1619" s="9" t="str">
        <f>_xlfn.CONCAT(HEX2DEC(MID(Table14[[#This Row],[Color Code]], 1, 2))," , ",HEX2DEC(MID(Table14[[#This Row],[Color Code]], 3, 2))," , ",HEX2DEC(MID(Table14[[#This Row],[Color Code]], 5, 2)))</f>
        <v>101 , 97 , 149</v>
      </c>
      <c r="D16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120.00416659433121</v>
      </c>
      <c r="E1619" t="str">
        <f>Table14[[#This Row],[Color Code]] &amp; " - " &amp;Table14[[#This Row],[Color Name]]</f>
        <v>656195 - 9619</v>
      </c>
    </row>
    <row r="1620" spans="1:5" x14ac:dyDescent="0.35">
      <c r="A1620" s="17" t="s">
        <v>3478</v>
      </c>
      <c r="B1620" t="s">
        <v>5743</v>
      </c>
      <c r="C1620" s="9" t="str">
        <f>_xlfn.CONCAT(HEX2DEC(MID(Table14[[#This Row],[Color Code]], 1, 2))," , ",HEX2DEC(MID(Table14[[#This Row],[Color Code]], 3, 2))," , ",HEX2DEC(MID(Table14[[#This Row],[Color Code]], 5, 2)))</f>
        <v>158 , 92 , 75</v>
      </c>
      <c r="D16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120.18735374406077</v>
      </c>
      <c r="E1620" t="str">
        <f>Table14[[#This Row],[Color Code]] &amp; " - " &amp;Table14[[#This Row],[Color Name]]</f>
        <v>9E5C4B - 9956</v>
      </c>
    </row>
    <row r="1621" spans="1:5" x14ac:dyDescent="0.35">
      <c r="A1621" s="17" t="s">
        <v>4525</v>
      </c>
      <c r="B1621" t="s">
        <v>6179</v>
      </c>
      <c r="C1621" s="9" t="str">
        <f>_xlfn.CONCAT(HEX2DEC(MID(Table14[[#This Row],[Color Code]], 1, 2))," , ",HEX2DEC(MID(Table14[[#This Row],[Color Code]], 3, 2))," , ",HEX2DEC(MID(Table14[[#This Row],[Color Code]], 5, 2)))</f>
        <v>103 , 113 , 103</v>
      </c>
      <c r="D16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120.28715642162301</v>
      </c>
      <c r="E1621" t="str">
        <f>Table14[[#This Row],[Color Code]] &amp; " - " &amp;Table14[[#This Row],[Color Name]]</f>
        <v>677167 - 8366</v>
      </c>
    </row>
    <row r="1622" spans="1:5" x14ac:dyDescent="0.35">
      <c r="A1622" s="17" t="s">
        <v>3903</v>
      </c>
      <c r="B1622" t="s">
        <v>6228</v>
      </c>
      <c r="C1622" s="9" t="str">
        <f>_xlfn.CONCAT(HEX2DEC(MID(Table14[[#This Row],[Color Code]], 1, 2))," , ",HEX2DEC(MID(Table14[[#This Row],[Color Code]], 3, 2))," , ",HEX2DEC(MID(Table14[[#This Row],[Color Code]], 5, 2)))</f>
        <v>108 , 115 , 93</v>
      </c>
      <c r="D16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120.41594578792295</v>
      </c>
      <c r="E1622" t="str">
        <f>Table14[[#This Row],[Color Code]] &amp; " - " &amp;Table14[[#This Row],[Color Name]]</f>
        <v>6C735D - K159</v>
      </c>
    </row>
    <row r="1623" spans="1:5" x14ac:dyDescent="0.35">
      <c r="A1623" s="17" t="s">
        <v>2720</v>
      </c>
      <c r="B1623" t="s">
        <v>4928</v>
      </c>
      <c r="C1623" s="9" t="str">
        <f>_xlfn.CONCAT(HEX2DEC(MID(Table14[[#This Row],[Color Code]], 1, 2))," , ",HEX2DEC(MID(Table14[[#This Row],[Color Code]], 3, 2))," , ",HEX2DEC(MID(Table14[[#This Row],[Color Code]], 5, 2)))</f>
        <v>93 , 107 , 166</v>
      </c>
      <c r="D16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120.60679914499016</v>
      </c>
      <c r="E1623" t="str">
        <f>Table14[[#This Row],[Color Code]] &amp; " - " &amp;Table14[[#This Row],[Color Name]]</f>
        <v>5D6BA6 - 9633</v>
      </c>
    </row>
    <row r="1624" spans="1:5" x14ac:dyDescent="0.35">
      <c r="A1624" s="17" t="s">
        <v>4285</v>
      </c>
      <c r="B1624" t="s">
        <v>6656</v>
      </c>
      <c r="C1624" s="9" t="str">
        <f>_xlfn.CONCAT(HEX2DEC(MID(Table14[[#This Row],[Color Code]], 1, 2))," , ",HEX2DEC(MID(Table14[[#This Row],[Color Code]], 3, 2))," , ",HEX2DEC(MID(Table14[[#This Row],[Color Code]], 5, 2)))</f>
        <v>249 , 148 , 52</v>
      </c>
      <c r="D16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120.77665337307538</v>
      </c>
      <c r="E1624" t="str">
        <f>Table14[[#This Row],[Color Code]] &amp; " - " &amp;Table14[[#This Row],[Color Name]]</f>
        <v>F99434 - X221</v>
      </c>
    </row>
    <row r="1625" spans="1:5" x14ac:dyDescent="0.35">
      <c r="A1625" s="17" t="s">
        <v>3707</v>
      </c>
      <c r="B1625" t="s">
        <v>5995</v>
      </c>
      <c r="C1625" s="9" t="str">
        <f>_xlfn.CONCAT(HEX2DEC(MID(Table14[[#This Row],[Color Code]], 1, 2))," , ",HEX2DEC(MID(Table14[[#This Row],[Color Code]], 3, 2))," , ",HEX2DEC(MID(Table14[[#This Row],[Color Code]], 5, 2)))</f>
        <v>107 , 104 , 106</v>
      </c>
      <c r="D16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121.10739036078682</v>
      </c>
      <c r="E1625" t="str">
        <f>Table14[[#This Row],[Color Code]] &amp; " - " &amp;Table14[[#This Row],[Color Name]]</f>
        <v>6B686A - K081</v>
      </c>
    </row>
    <row r="1626" spans="1:5" x14ac:dyDescent="0.35">
      <c r="A1626" s="17" t="s">
        <v>4488</v>
      </c>
      <c r="B1626" t="s">
        <v>5977</v>
      </c>
      <c r="C1626" s="9" t="str">
        <f>_xlfn.CONCAT(HEX2DEC(MID(Table14[[#This Row],[Color Code]], 1, 2))," , ",HEX2DEC(MID(Table14[[#This Row],[Color Code]], 3, 2))," , ",HEX2DEC(MID(Table14[[#This Row],[Color Code]], 5, 2)))</f>
        <v>113 , 103 , 98</v>
      </c>
      <c r="D16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121.13628688382354</v>
      </c>
      <c r="E1626" t="str">
        <f>Table14[[#This Row],[Color Code]] &amp; " - " &amp;Table14[[#This Row],[Color Name]]</f>
        <v>716762 - K072</v>
      </c>
    </row>
    <row r="1627" spans="1:5" x14ac:dyDescent="0.35">
      <c r="A1627" s="17" t="s">
        <v>4301</v>
      </c>
      <c r="B1627" t="s">
        <v>6672</v>
      </c>
      <c r="C1627" s="9" t="str">
        <f>_xlfn.CONCAT(HEX2DEC(MID(Table14[[#This Row],[Color Code]], 1, 2))," , ",HEX2DEC(MID(Table14[[#This Row],[Color Code]], 3, 2))," , ",HEX2DEC(MID(Table14[[#This Row],[Color Code]], 5, 2)))</f>
        <v>249 , 173 , 48</v>
      </c>
      <c r="D16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121.25180411028943</v>
      </c>
      <c r="E1627" t="str">
        <f>Table14[[#This Row],[Color Code]] &amp; " - " &amp;Table14[[#This Row],[Color Name]]</f>
        <v>F9AD30 - X219</v>
      </c>
    </row>
    <row r="1628" spans="1:5" x14ac:dyDescent="0.35">
      <c r="A1628" s="17" t="s">
        <v>4396</v>
      </c>
      <c r="B1628" t="s">
        <v>6782</v>
      </c>
      <c r="C1628" s="9" t="str">
        <f>_xlfn.CONCAT(HEX2DEC(MID(Table14[[#This Row],[Color Code]], 1, 2))," , ",HEX2DEC(MID(Table14[[#This Row],[Color Code]], 3, 2))," , ",HEX2DEC(MID(Table14[[#This Row],[Color Code]], 5, 2)))</f>
        <v>170 , 75 , 90</v>
      </c>
      <c r="D16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121.28066622508305</v>
      </c>
      <c r="E1628" t="str">
        <f>Table14[[#This Row],[Color Code]] &amp; " - " &amp;Table14[[#This Row],[Color Name]]</f>
        <v>AA4B5A - X203</v>
      </c>
    </row>
    <row r="1629" spans="1:5" x14ac:dyDescent="0.35">
      <c r="A1629" s="17" t="s">
        <v>4363</v>
      </c>
      <c r="B1629" t="s">
        <v>6742</v>
      </c>
      <c r="C1629" s="9" t="str">
        <f>_xlfn.CONCAT(HEX2DEC(MID(Table14[[#This Row],[Color Code]], 1, 2))," , ",HEX2DEC(MID(Table14[[#This Row],[Color Code]], 3, 2))," , ",HEX2DEC(MID(Table14[[#This Row],[Color Code]], 5, 2)))</f>
        <v>85 , 163 , 211</v>
      </c>
      <c r="D16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121.36309158883519</v>
      </c>
      <c r="E1629" t="str">
        <f>Table14[[#This Row],[Color Code]] &amp; " - " &amp;Table14[[#This Row],[Color Name]]</f>
        <v>55A3D3 - 7327</v>
      </c>
    </row>
    <row r="1630" spans="1:5" x14ac:dyDescent="0.35">
      <c r="A1630" s="17" t="s">
        <v>3135</v>
      </c>
      <c r="B1630" t="s">
        <v>5391</v>
      </c>
      <c r="C1630" s="9" t="str">
        <f>_xlfn.CONCAT(HEX2DEC(MID(Table14[[#This Row],[Color Code]], 1, 2))," , ",HEX2DEC(MID(Table14[[#This Row],[Color Code]], 3, 2))," , ",HEX2DEC(MID(Table14[[#This Row],[Color Code]], 5, 2)))</f>
        <v>130 , 136 , 58</v>
      </c>
      <c r="D16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121.54834429147935</v>
      </c>
      <c r="E1630" t="str">
        <f>Table14[[#This Row],[Color Code]] &amp; " - " &amp;Table14[[#This Row],[Color Name]]</f>
        <v>82883A - 9823</v>
      </c>
    </row>
    <row r="1631" spans="1:5" x14ac:dyDescent="0.35">
      <c r="A1631" s="17" t="s">
        <v>4215</v>
      </c>
      <c r="B1631" t="s">
        <v>6575</v>
      </c>
      <c r="C1631" s="9" t="str">
        <f>_xlfn.CONCAT(HEX2DEC(MID(Table14[[#This Row],[Color Code]], 1, 2))," , ",HEX2DEC(MID(Table14[[#This Row],[Color Code]], 3, 2))," , ",HEX2DEC(MID(Table14[[#This Row],[Color Code]], 5, 2)))</f>
        <v>124 , 98 , 90</v>
      </c>
      <c r="D16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121.56479753612885</v>
      </c>
      <c r="E1631" t="str">
        <f>Table14[[#This Row],[Color Code]] &amp; " - " &amp;Table14[[#This Row],[Color Name]]</f>
        <v>7C625A - K268</v>
      </c>
    </row>
    <row r="1632" spans="1:5" x14ac:dyDescent="0.35">
      <c r="A1632" s="17" t="s">
        <v>4303</v>
      </c>
      <c r="B1632" t="s">
        <v>6674</v>
      </c>
      <c r="C1632" s="9" t="str">
        <f>_xlfn.CONCAT(HEX2DEC(MID(Table14[[#This Row],[Color Code]], 1, 2))," , ",HEX2DEC(MID(Table14[[#This Row],[Color Code]], 3, 2))," , ",HEX2DEC(MID(Table14[[#This Row],[Color Code]], 5, 2)))</f>
        <v>237 , 171 , 42</v>
      </c>
      <c r="D16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121.69634341261039</v>
      </c>
      <c r="E1632" t="str">
        <f>Table14[[#This Row],[Color Code]] &amp; " - " &amp;Table14[[#This Row],[Color Name]]</f>
        <v>EDAB2A - 7901</v>
      </c>
    </row>
    <row r="1633" spans="1:5" x14ac:dyDescent="0.35">
      <c r="A1633" s="17" t="s">
        <v>4269</v>
      </c>
      <c r="B1633" t="s">
        <v>6640</v>
      </c>
      <c r="C1633" s="9" t="str">
        <f>_xlfn.CONCAT(HEX2DEC(MID(Table14[[#This Row],[Color Code]], 1, 2))," , ",HEX2DEC(MID(Table14[[#This Row],[Color Code]], 3, 2))," , ",HEX2DEC(MID(Table14[[#This Row],[Color Code]], 5, 2)))</f>
        <v>232 , 101 , 67</v>
      </c>
      <c r="D16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121.73742234826561</v>
      </c>
      <c r="E1633" t="str">
        <f>Table14[[#This Row],[Color Code]] &amp; " - " &amp;Table14[[#This Row],[Color Name]]</f>
        <v>E86543 - 8021</v>
      </c>
    </row>
    <row r="1634" spans="1:5" x14ac:dyDescent="0.35">
      <c r="A1634" s="17" t="s">
        <v>4054</v>
      </c>
      <c r="B1634" t="s">
        <v>6397</v>
      </c>
      <c r="C1634" s="9" t="str">
        <f>_xlfn.CONCAT(HEX2DEC(MID(Table14[[#This Row],[Color Code]], 1, 2))," , ",HEX2DEC(MID(Table14[[#This Row],[Color Code]], 3, 2))," , ",HEX2DEC(MID(Table14[[#This Row],[Color Code]], 5, 2)))</f>
        <v>156 , 105 , 62</v>
      </c>
      <c r="D16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121.8400590938793</v>
      </c>
      <c r="E1634" t="str">
        <f>Table14[[#This Row],[Color Code]] &amp; " - " &amp;Table14[[#This Row],[Color Name]]</f>
        <v>9C693E - K190</v>
      </c>
    </row>
    <row r="1635" spans="1:5" x14ac:dyDescent="0.35">
      <c r="A1635" s="17" t="s">
        <v>4286</v>
      </c>
      <c r="B1635" t="s">
        <v>6657</v>
      </c>
      <c r="C1635" s="9" t="str">
        <f>_xlfn.CONCAT(HEX2DEC(MID(Table14[[#This Row],[Color Code]], 1, 2))," , ",HEX2DEC(MID(Table14[[#This Row],[Color Code]], 3, 2))," , ",HEX2DEC(MID(Table14[[#This Row],[Color Code]], 5, 2)))</f>
        <v>243 , 137 , 51</v>
      </c>
      <c r="D16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121.90570126126177</v>
      </c>
      <c r="E1635" t="str">
        <f>Table14[[#This Row],[Color Code]] &amp; " - " &amp;Table14[[#This Row],[Color Name]]</f>
        <v>F38933 - X111</v>
      </c>
    </row>
    <row r="1636" spans="1:5" x14ac:dyDescent="0.35">
      <c r="A1636" s="17" t="s">
        <v>3960</v>
      </c>
      <c r="B1636" t="s">
        <v>6293</v>
      </c>
      <c r="C1636" s="9" t="str">
        <f>_xlfn.CONCAT(HEX2DEC(MID(Table14[[#This Row],[Color Code]], 1, 2))," , ",HEX2DEC(MID(Table14[[#This Row],[Color Code]], 3, 2))," , ",HEX2DEC(MID(Table14[[#This Row],[Color Code]], 5, 2)))</f>
        <v>143 , 116 , 60</v>
      </c>
      <c r="D16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122.09422590769803</v>
      </c>
      <c r="E1636" t="str">
        <f>Table14[[#This Row],[Color Code]] &amp; " - " &amp;Table14[[#This Row],[Color Name]]</f>
        <v>8F743C - K166</v>
      </c>
    </row>
    <row r="1637" spans="1:5" x14ac:dyDescent="0.35">
      <c r="A1637" s="17" t="s">
        <v>4216</v>
      </c>
      <c r="B1637" t="s">
        <v>6576</v>
      </c>
      <c r="C1637" s="9" t="str">
        <f>_xlfn.CONCAT(HEX2DEC(MID(Table14[[#This Row],[Color Code]], 1, 2))," , ",HEX2DEC(MID(Table14[[#This Row],[Color Code]], 3, 2))," , ",HEX2DEC(MID(Table14[[#This Row],[Color Code]], 5, 2)))</f>
        <v>121 , 98 , 92</v>
      </c>
      <c r="D16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122.22520198387892</v>
      </c>
      <c r="E1637" t="str">
        <f>Table14[[#This Row],[Color Code]] &amp; " - " &amp;Table14[[#This Row],[Color Name]]</f>
        <v>79625C - K269</v>
      </c>
    </row>
    <row r="1638" spans="1:5" x14ac:dyDescent="0.35">
      <c r="A1638" s="17" t="s">
        <v>3054</v>
      </c>
      <c r="B1638" t="s">
        <v>5301</v>
      </c>
      <c r="C1638" s="9" t="str">
        <f>_xlfn.CONCAT(HEX2DEC(MID(Table14[[#This Row],[Color Code]], 1, 2))," , ",HEX2DEC(MID(Table14[[#This Row],[Color Code]], 3, 2))," , ",HEX2DEC(MID(Table14[[#This Row],[Color Code]], 5, 2)))</f>
        <v>123 , 141 , 60</v>
      </c>
      <c r="D16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122.23747379588634</v>
      </c>
      <c r="E1638" t="str">
        <f>Table14[[#This Row],[Color Code]] &amp; " - " &amp;Table14[[#This Row],[Color Name]]</f>
        <v>7B8D3C - 9782</v>
      </c>
    </row>
    <row r="1639" spans="1:5" x14ac:dyDescent="0.35">
      <c r="A1639" s="17" t="s">
        <v>3408</v>
      </c>
      <c r="B1639" t="s">
        <v>5667</v>
      </c>
      <c r="C1639" s="9" t="str">
        <f>_xlfn.CONCAT(HEX2DEC(MID(Table14[[#This Row],[Color Code]], 1, 2))," , ",HEX2DEC(MID(Table14[[#This Row],[Color Code]], 3, 2))," , ",HEX2DEC(MID(Table14[[#This Row],[Color Code]], 5, 2)))</f>
        <v>185 , 105 , 55</v>
      </c>
      <c r="D16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122.266103233889</v>
      </c>
      <c r="E1639" t="str">
        <f>Table14[[#This Row],[Color Code]] &amp; " - " &amp;Table14[[#This Row],[Color Name]]</f>
        <v>B96937 - 9907</v>
      </c>
    </row>
    <row r="1640" spans="1:5" x14ac:dyDescent="0.35">
      <c r="A1640" s="17" t="s">
        <v>3497</v>
      </c>
      <c r="B1640" t="s">
        <v>5764</v>
      </c>
      <c r="C1640" s="9" t="str">
        <f>_xlfn.CONCAT(HEX2DEC(MID(Table14[[#This Row],[Color Code]], 1, 2))," , ",HEX2DEC(MID(Table14[[#This Row],[Color Code]], 3, 2))," , ",HEX2DEC(MID(Table14[[#This Row],[Color Code]], 5, 2)))</f>
        <v>184 , 96 , 62</v>
      </c>
      <c r="D16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122.28654872879518</v>
      </c>
      <c r="E1640" t="str">
        <f>Table14[[#This Row],[Color Code]] &amp; " - " &amp;Table14[[#This Row],[Color Name]]</f>
        <v>B8603E - 9971</v>
      </c>
    </row>
    <row r="1641" spans="1:5" x14ac:dyDescent="0.35">
      <c r="A1641" s="17" t="s">
        <v>4238</v>
      </c>
      <c r="B1641" t="s">
        <v>6603</v>
      </c>
      <c r="C1641" s="9" t="str">
        <f>_xlfn.CONCAT(HEX2DEC(MID(Table14[[#This Row],[Color Code]], 1, 2))," , ",HEX2DEC(MID(Table14[[#This Row],[Color Code]], 3, 2))," , ",HEX2DEC(MID(Table14[[#This Row],[Color Code]], 5, 2)))</f>
        <v>116 , 101 , 94</v>
      </c>
      <c r="D16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122.36421045387414</v>
      </c>
      <c r="E1641" t="str">
        <f>Table14[[#This Row],[Color Code]] &amp; " - " &amp;Table14[[#This Row],[Color Name]]</f>
        <v>74655E - 8750</v>
      </c>
    </row>
    <row r="1642" spans="1:5" x14ac:dyDescent="0.35">
      <c r="A1642" s="17" t="s">
        <v>3144</v>
      </c>
      <c r="B1642" t="s">
        <v>5400</v>
      </c>
      <c r="C1642" s="9" t="str">
        <f>_xlfn.CONCAT(HEX2DEC(MID(Table14[[#This Row],[Color Code]], 1, 2))," , ",HEX2DEC(MID(Table14[[#This Row],[Color Code]], 3, 2))," , ",HEX2DEC(MID(Table14[[#This Row],[Color Code]], 5, 2)))</f>
        <v>116 , 125 , 73</v>
      </c>
      <c r="D16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122.47448713915891</v>
      </c>
      <c r="E1642" t="str">
        <f>Table14[[#This Row],[Color Code]] &amp; " - " &amp;Table14[[#This Row],[Color Name]]</f>
        <v>747D49 - 9831</v>
      </c>
    </row>
    <row r="1643" spans="1:5" x14ac:dyDescent="0.35">
      <c r="A1643" s="17" t="s">
        <v>4270</v>
      </c>
      <c r="B1643" t="s">
        <v>6641</v>
      </c>
      <c r="C1643" s="9" t="str">
        <f>_xlfn.CONCAT(HEX2DEC(MID(Table14[[#This Row],[Color Code]], 1, 2))," , ",HEX2DEC(MID(Table14[[#This Row],[Color Code]], 3, 2))," , ",HEX2DEC(MID(Table14[[#This Row],[Color Code]], 5, 2)))</f>
        <v>219 , 88 , 73</v>
      </c>
      <c r="D16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122.56426885516024</v>
      </c>
      <c r="E1643" t="str">
        <f>Table14[[#This Row],[Color Code]] &amp; " - " &amp;Table14[[#This Row],[Color Name]]</f>
        <v>DB5849 - 8045</v>
      </c>
    </row>
    <row r="1644" spans="1:5" x14ac:dyDescent="0.35">
      <c r="A1644" s="17" t="s">
        <v>3369</v>
      </c>
      <c r="B1644" t="s">
        <v>5628</v>
      </c>
      <c r="C1644" s="9" t="str">
        <f>_xlfn.CONCAT(HEX2DEC(MID(Table14[[#This Row],[Color Code]], 1, 2))," , ",HEX2DEC(MID(Table14[[#This Row],[Color Code]], 3, 2))," , ",HEX2DEC(MID(Table14[[#This Row],[Color Code]], 5, 2)))</f>
        <v>162 , 101 , 62</v>
      </c>
      <c r="D16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122.57650672131263</v>
      </c>
      <c r="E1644" t="str">
        <f>Table14[[#This Row],[Color Code]] &amp; " - " &amp;Table14[[#This Row],[Color Name]]</f>
        <v>A2653E - 9901</v>
      </c>
    </row>
    <row r="1645" spans="1:5" x14ac:dyDescent="0.35">
      <c r="A1645" s="17" t="s">
        <v>3227</v>
      </c>
      <c r="B1645" t="s">
        <v>5485</v>
      </c>
      <c r="C1645" s="9" t="str">
        <f>_xlfn.CONCAT(HEX2DEC(MID(Table14[[#This Row],[Color Code]], 1, 2))," , ",HEX2DEC(MID(Table14[[#This Row],[Color Code]], 3, 2))," , ",HEX2DEC(MID(Table14[[#This Row],[Color Code]], 5, 2)))</f>
        <v>147 , 122 , 54</v>
      </c>
      <c r="D16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122.61729078722952</v>
      </c>
      <c r="E1645" t="str">
        <f>Table14[[#This Row],[Color Code]] &amp; " - " &amp;Table14[[#This Row],[Color Name]]</f>
        <v>937A36 - 9860</v>
      </c>
    </row>
    <row r="1646" spans="1:5" x14ac:dyDescent="0.35">
      <c r="A1646" s="17" t="s">
        <v>3475</v>
      </c>
      <c r="B1646" t="s">
        <v>5740</v>
      </c>
      <c r="C1646" s="9" t="str">
        <f>_xlfn.CONCAT(HEX2DEC(MID(Table14[[#This Row],[Color Code]], 1, 2))," , ",HEX2DEC(MID(Table14[[#This Row],[Color Code]], 3, 2))," , ",HEX2DEC(MID(Table14[[#This Row],[Color Code]], 5, 2)))</f>
        <v>150 , 92 , 75</v>
      </c>
      <c r="D16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122.69066794177949</v>
      </c>
      <c r="E1646" t="str">
        <f>Table14[[#This Row],[Color Code]] &amp; " - " &amp;Table14[[#This Row],[Color Name]]</f>
        <v>965C4B - 9953</v>
      </c>
    </row>
    <row r="1647" spans="1:5" x14ac:dyDescent="0.35">
      <c r="A1647" s="17" t="s">
        <v>4282</v>
      </c>
      <c r="B1647" t="s">
        <v>6653</v>
      </c>
      <c r="C1647" s="9" t="str">
        <f>_xlfn.CONCAT(HEX2DEC(MID(Table14[[#This Row],[Color Code]], 1, 2))," , ",HEX2DEC(MID(Table14[[#This Row],[Color Code]], 3, 2))," , ",HEX2DEC(MID(Table14[[#This Row],[Color Code]], 5, 2)))</f>
        <v>251 , 156 , 49</v>
      </c>
      <c r="D16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122.79250791477467</v>
      </c>
      <c r="E1647" t="str">
        <f>Table14[[#This Row],[Color Code]] &amp; " - " &amp;Table14[[#This Row],[Color Name]]</f>
        <v>FB9C31 - X110</v>
      </c>
    </row>
    <row r="1648" spans="1:5" x14ac:dyDescent="0.35">
      <c r="A1648" s="17" t="s">
        <v>3198</v>
      </c>
      <c r="B1648" t="s">
        <v>5456</v>
      </c>
      <c r="C1648" s="9" t="str">
        <f>_xlfn.CONCAT(HEX2DEC(MID(Table14[[#This Row],[Color Code]], 1, 2))," , ",HEX2DEC(MID(Table14[[#This Row],[Color Code]], 3, 2))," , ",HEX2DEC(MID(Table14[[#This Row],[Color Code]], 5, 2)))</f>
        <v>118 , 114 , 78</v>
      </c>
      <c r="D16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122.98780427343192</v>
      </c>
      <c r="E1648" t="str">
        <f>Table14[[#This Row],[Color Code]] &amp; " - " &amp;Table14[[#This Row],[Color Name]]</f>
        <v>76724E - 7781</v>
      </c>
    </row>
    <row r="1649" spans="1:5" x14ac:dyDescent="0.35">
      <c r="A1649" s="17" t="s">
        <v>4463</v>
      </c>
      <c r="B1649" t="s">
        <v>5512</v>
      </c>
      <c r="C1649" s="9" t="str">
        <f>_xlfn.CONCAT(HEX2DEC(MID(Table14[[#This Row],[Color Code]], 1, 2))," , ",HEX2DEC(MID(Table14[[#This Row],[Color Code]], 3, 2))," , ",HEX2DEC(MID(Table14[[#This Row],[Color Code]], 5, 2)))</f>
        <v>129 , 115 , 68</v>
      </c>
      <c r="D16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123.03657992645927</v>
      </c>
      <c r="E1649" t="str">
        <f>Table14[[#This Row],[Color Code]] &amp; " - " &amp;Table14[[#This Row],[Color Name]]</f>
        <v>817344 - 7845</v>
      </c>
    </row>
    <row r="1650" spans="1:5" x14ac:dyDescent="0.35">
      <c r="A1650" s="17" t="s">
        <v>3517</v>
      </c>
      <c r="B1650" t="s">
        <v>5785</v>
      </c>
      <c r="C1650" s="9" t="str">
        <f>_xlfn.CONCAT(HEX2DEC(MID(Table14[[#This Row],[Color Code]], 1, 2))," , ",HEX2DEC(MID(Table14[[#This Row],[Color Code]], 3, 2))," , ",HEX2DEC(MID(Table14[[#This Row],[Color Code]], 5, 2)))</f>
        <v>162 , 81 , 81</v>
      </c>
      <c r="D16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123.3369368842927</v>
      </c>
      <c r="E1650" t="str">
        <f>Table14[[#This Row],[Color Code]] &amp; " - " &amp;Table14[[#This Row],[Color Name]]</f>
        <v>A25151 - 9984</v>
      </c>
    </row>
    <row r="1651" spans="1:5" x14ac:dyDescent="0.35">
      <c r="A1651" s="17" t="s">
        <v>2853</v>
      </c>
      <c r="B1651" t="s">
        <v>5070</v>
      </c>
      <c r="C1651" s="9" t="str">
        <f>_xlfn.CONCAT(HEX2DEC(MID(Table14[[#This Row],[Color Code]], 1, 2))," , ",HEX2DEC(MID(Table14[[#This Row],[Color Code]], 3, 2))," , ",HEX2DEC(MID(Table14[[#This Row],[Color Code]], 5, 2)))</f>
        <v>81 , 125 , 135</v>
      </c>
      <c r="D16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123.37341690980274</v>
      </c>
      <c r="E1651" t="str">
        <f>Table14[[#This Row],[Color Code]] &amp; " - " &amp;Table14[[#This Row],[Color Name]]</f>
        <v>517D87 - 7414</v>
      </c>
    </row>
    <row r="1652" spans="1:5" x14ac:dyDescent="0.35">
      <c r="A1652" s="17" t="s">
        <v>4154</v>
      </c>
      <c r="B1652" t="s">
        <v>6507</v>
      </c>
      <c r="C1652" s="9" t="str">
        <f>_xlfn.CONCAT(HEX2DEC(MID(Table14[[#This Row],[Color Code]], 1, 2))," , ",HEX2DEC(MID(Table14[[#This Row],[Color Code]], 3, 2))," , ",HEX2DEC(MID(Table14[[#This Row],[Color Code]], 5, 2)))</f>
        <v>159 , 87 , 75</v>
      </c>
      <c r="D16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123.42204017111368</v>
      </c>
      <c r="E1652" t="str">
        <f>Table14[[#This Row],[Color Code]] &amp; " - " &amp;Table14[[#This Row],[Color Name]]</f>
        <v>9F574B - K229</v>
      </c>
    </row>
    <row r="1653" spans="1:5" x14ac:dyDescent="0.35">
      <c r="A1653" s="17" t="s">
        <v>3422</v>
      </c>
      <c r="B1653" t="s">
        <v>5683</v>
      </c>
      <c r="C1653" s="9" t="str">
        <f>_xlfn.CONCAT(HEX2DEC(MID(Table14[[#This Row],[Color Code]], 1, 2))," , ",HEX2DEC(MID(Table14[[#This Row],[Color Code]], 3, 2))," , ",HEX2DEC(MID(Table14[[#This Row],[Color Code]], 5, 2)))</f>
        <v>175 , 94 , 63</v>
      </c>
      <c r="D16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123.74974747448982</v>
      </c>
      <c r="E1653" t="str">
        <f>Table14[[#This Row],[Color Code]] &amp; " - " &amp;Table14[[#This Row],[Color Name]]</f>
        <v>AF5E3F - 9923</v>
      </c>
    </row>
    <row r="1654" spans="1:5" x14ac:dyDescent="0.35">
      <c r="A1654" s="17" t="s">
        <v>4418</v>
      </c>
      <c r="B1654" t="s">
        <v>4991</v>
      </c>
      <c r="C1654" s="9" t="str">
        <f>_xlfn.CONCAT(HEX2DEC(MID(Table14[[#This Row],[Color Code]], 1, 2))," , ",HEX2DEC(MID(Table14[[#This Row],[Color Code]], 3, 2))," , ",HEX2DEC(MID(Table14[[#This Row],[Color Code]], 5, 2)))</f>
        <v>86 , 115 , 133</v>
      </c>
      <c r="D16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123.77398757412641</v>
      </c>
      <c r="E1654" t="str">
        <f>Table14[[#This Row],[Color Code]] &amp; " - " &amp;Table14[[#This Row],[Color Name]]</f>
        <v>567385 - 9182</v>
      </c>
    </row>
    <row r="1655" spans="1:5" x14ac:dyDescent="0.35">
      <c r="A1655" s="17" t="s">
        <v>4277</v>
      </c>
      <c r="B1655" t="s">
        <v>6648</v>
      </c>
      <c r="C1655" s="9" t="str">
        <f>_xlfn.CONCAT(HEX2DEC(MID(Table14[[#This Row],[Color Code]], 1, 2))," , ",HEX2DEC(MID(Table14[[#This Row],[Color Code]], 3, 2))," , ",HEX2DEC(MID(Table14[[#This Row],[Color Code]], 5, 2)))</f>
        <v>221 , 101 , 60</v>
      </c>
      <c r="D16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123.8628273534881</v>
      </c>
      <c r="E1655" t="str">
        <f>Table14[[#This Row],[Color Code]] &amp; " - " &amp;Table14[[#This Row],[Color Name]]</f>
        <v>DD653C - X113</v>
      </c>
    </row>
    <row r="1656" spans="1:5" x14ac:dyDescent="0.35">
      <c r="A1656" s="17" t="s">
        <v>4402</v>
      </c>
      <c r="B1656" t="s">
        <v>4814</v>
      </c>
      <c r="C1656" s="9" t="str">
        <f>_xlfn.CONCAT(HEX2DEC(MID(Table14[[#This Row],[Color Code]], 1, 2))," , ",HEX2DEC(MID(Table14[[#This Row],[Color Code]], 3, 2))," , ",HEX2DEC(MID(Table14[[#This Row],[Color Code]], 5, 2)))</f>
        <v>118 , 83 , 117</v>
      </c>
      <c r="D16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124.03225386970922</v>
      </c>
      <c r="E1656" t="str">
        <f>Table14[[#This Row],[Color Code]] &amp; " - " &amp;Table14[[#This Row],[Color Name]]</f>
        <v>765375 - 9591</v>
      </c>
    </row>
    <row r="1657" spans="1:5" x14ac:dyDescent="0.35">
      <c r="A1657" s="17" t="s">
        <v>4392</v>
      </c>
      <c r="B1657" t="s">
        <v>6776</v>
      </c>
      <c r="C1657" s="9" t="str">
        <f>_xlfn.CONCAT(HEX2DEC(MID(Table14[[#This Row],[Color Code]], 1, 2))," , ",HEX2DEC(MID(Table14[[#This Row],[Color Code]], 3, 2))," , ",HEX2DEC(MID(Table14[[#This Row],[Color Code]], 5, 2)))</f>
        <v>162 , 73 , 91</v>
      </c>
      <c r="D16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124.09673645990857</v>
      </c>
      <c r="E1657" t="str">
        <f>Table14[[#This Row],[Color Code]] &amp; " - " &amp;Table14[[#This Row],[Color Name]]</f>
        <v>A2495B - X125</v>
      </c>
    </row>
    <row r="1658" spans="1:5" x14ac:dyDescent="0.35">
      <c r="A1658" s="17" t="s">
        <v>2815</v>
      </c>
      <c r="B1658" t="s">
        <v>5031</v>
      </c>
      <c r="C1658" s="9" t="str">
        <f>_xlfn.CONCAT(HEX2DEC(MID(Table14[[#This Row],[Color Code]], 1, 2))," , ",HEX2DEC(MID(Table14[[#This Row],[Color Code]], 3, 2))," , ",HEX2DEC(MID(Table14[[#This Row],[Color Code]], 5, 2)))</f>
        <v>87 , 116 , 125</v>
      </c>
      <c r="D16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124.12090879461043</v>
      </c>
      <c r="E1658" t="str">
        <f>Table14[[#This Row],[Color Code]] &amp; " - " &amp;Table14[[#This Row],[Color Name]]</f>
        <v>57747D - 7382</v>
      </c>
    </row>
    <row r="1659" spans="1:5" x14ac:dyDescent="0.35">
      <c r="A1659" s="17" t="s">
        <v>4522</v>
      </c>
      <c r="B1659" t="s">
        <v>6160</v>
      </c>
      <c r="C1659" s="9" t="str">
        <f>_xlfn.CONCAT(HEX2DEC(MID(Table14[[#This Row],[Color Code]], 1, 2))," , ",HEX2DEC(MID(Table14[[#This Row],[Color Code]], 3, 2))," , ",HEX2DEC(MID(Table14[[#This Row],[Color Code]], 5, 2)))</f>
        <v>99 , 113 , 101</v>
      </c>
      <c r="D16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124.1329931968129</v>
      </c>
      <c r="E1659" t="str">
        <f>Table14[[#This Row],[Color Code]] &amp; " - " &amp;Table14[[#This Row],[Color Name]]</f>
        <v>637165 - K137</v>
      </c>
    </row>
    <row r="1660" spans="1:5" x14ac:dyDescent="0.35">
      <c r="A1660" s="17" t="s">
        <v>3070</v>
      </c>
      <c r="B1660" t="s">
        <v>5320</v>
      </c>
      <c r="C1660" s="9" t="str">
        <f>_xlfn.CONCAT(HEX2DEC(MID(Table14[[#This Row],[Color Code]], 1, 2))," , ",HEX2DEC(MID(Table14[[#This Row],[Color Code]], 3, 2))," , ",HEX2DEC(MID(Table14[[#This Row],[Color Code]], 5, 2)))</f>
        <v>109 , 139 , 70</v>
      </c>
      <c r="D16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124.1370210694618</v>
      </c>
      <c r="E1660" t="str">
        <f>Table14[[#This Row],[Color Code]] &amp; " - " &amp;Table14[[#This Row],[Color Name]]</f>
        <v>6D8B46 - 7669</v>
      </c>
    </row>
    <row r="1661" spans="1:5" x14ac:dyDescent="0.35">
      <c r="A1661" s="17" t="s">
        <v>4458</v>
      </c>
      <c r="B1661" t="s">
        <v>5368</v>
      </c>
      <c r="C1661" s="9" t="str">
        <f>_xlfn.CONCAT(HEX2DEC(MID(Table14[[#This Row],[Color Code]], 1, 2))," , ",HEX2DEC(MID(Table14[[#This Row],[Color Code]], 3, 2))," , ",HEX2DEC(MID(Table14[[#This Row],[Color Code]], 5, 2)))</f>
        <v>114 , 133 , 68</v>
      </c>
      <c r="D16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124.16521251944927</v>
      </c>
      <c r="E1661" t="str">
        <f>Table14[[#This Row],[Color Code]] &amp; " - " &amp;Table14[[#This Row],[Color Name]]</f>
        <v>728544 - 9800</v>
      </c>
    </row>
    <row r="1662" spans="1:5" x14ac:dyDescent="0.35">
      <c r="A1662" s="17" t="s">
        <v>4357</v>
      </c>
      <c r="B1662" t="s">
        <v>6734</v>
      </c>
      <c r="C1662" s="9" t="str">
        <f>_xlfn.CONCAT(HEX2DEC(MID(Table14[[#This Row],[Color Code]], 1, 2))," , ",HEX2DEC(MID(Table14[[#This Row],[Color Code]], 3, 2))," , ",HEX2DEC(MID(Table14[[#This Row],[Color Code]], 5, 2)))</f>
        <v>75 , 161 , 195</v>
      </c>
      <c r="D16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124.43873994861889</v>
      </c>
      <c r="E1662" t="str">
        <f>Table14[[#This Row],[Color Code]] &amp; " - " &amp;Table14[[#This Row],[Color Name]]</f>
        <v>4BA1C3 - 7359</v>
      </c>
    </row>
    <row r="1663" spans="1:5" x14ac:dyDescent="0.35">
      <c r="A1663" s="17" t="s">
        <v>4275</v>
      </c>
      <c r="B1663" t="s">
        <v>6646</v>
      </c>
      <c r="C1663" s="9" t="str">
        <f>_xlfn.CONCAT(HEX2DEC(MID(Table14[[#This Row],[Color Code]], 1, 2))," , ",HEX2DEC(MID(Table14[[#This Row],[Color Code]], 3, 2))," , ",HEX2DEC(MID(Table14[[#This Row],[Color Code]], 5, 2)))</f>
        <v>242 , 124 , 53</v>
      </c>
      <c r="D16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124.51907484397722</v>
      </c>
      <c r="E1663" t="str">
        <f>Table14[[#This Row],[Color Code]] &amp; " - " &amp;Table14[[#This Row],[Color Name]]</f>
        <v>F27C35 - X206</v>
      </c>
    </row>
    <row r="1664" spans="1:5" x14ac:dyDescent="0.35">
      <c r="A1664" s="17" t="s">
        <v>3222</v>
      </c>
      <c r="B1664" t="s">
        <v>5480</v>
      </c>
      <c r="C1664" s="9" t="str">
        <f>_xlfn.CONCAT(HEX2DEC(MID(Table14[[#This Row],[Color Code]], 1, 2))," , ",HEX2DEC(MID(Table14[[#This Row],[Color Code]], 3, 2))," , ",HEX2DEC(MID(Table14[[#This Row],[Color Code]], 5, 2)))</f>
        <v>128 , 126 , 60</v>
      </c>
      <c r="D16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124.58731877683218</v>
      </c>
      <c r="E1664" t="str">
        <f>Table14[[#This Row],[Color Code]] &amp; " - " &amp;Table14[[#This Row],[Color Name]]</f>
        <v>807E3C - 9855</v>
      </c>
    </row>
    <row r="1665" spans="1:5" x14ac:dyDescent="0.35">
      <c r="A1665" s="17" t="s">
        <v>3441</v>
      </c>
      <c r="B1665" t="s">
        <v>5703</v>
      </c>
      <c r="C1665" s="9" t="str">
        <f>_xlfn.CONCAT(HEX2DEC(MID(Table14[[#This Row],[Color Code]], 1, 2))," , ",HEX2DEC(MID(Table14[[#This Row],[Color Code]], 3, 2))," , ",HEX2DEC(MID(Table14[[#This Row],[Color Code]], 5, 2)))</f>
        <v>173 , 99 , 58</v>
      </c>
      <c r="D16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124.683599563054</v>
      </c>
      <c r="E1665" t="str">
        <f>Table14[[#This Row],[Color Code]] &amp; " - " &amp;Table14[[#This Row],[Color Name]]</f>
        <v>AD633A - 9943</v>
      </c>
    </row>
    <row r="1666" spans="1:5" x14ac:dyDescent="0.35">
      <c r="A1666" s="17" t="s">
        <v>4341</v>
      </c>
      <c r="B1666" t="s">
        <v>6713</v>
      </c>
      <c r="C1666" s="9" t="str">
        <f>_xlfn.CONCAT(HEX2DEC(MID(Table14[[#This Row],[Color Code]], 1, 2))," , ",HEX2DEC(MID(Table14[[#This Row],[Color Code]], 3, 2))," , ",HEX2DEC(MID(Table14[[#This Row],[Color Code]], 5, 2)))</f>
        <v>122 , 168 , 52</v>
      </c>
      <c r="D16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124.73171208638162</v>
      </c>
      <c r="E1666" t="str">
        <f>Table14[[#This Row],[Color Code]] &amp; " - " &amp;Table14[[#This Row],[Color Name]]</f>
        <v>7AA834 - X159</v>
      </c>
    </row>
    <row r="1667" spans="1:5" x14ac:dyDescent="0.35">
      <c r="A1667" s="17" t="s">
        <v>4390</v>
      </c>
      <c r="B1667" t="s">
        <v>6774</v>
      </c>
      <c r="C1667" s="9" t="str">
        <f>_xlfn.CONCAT(HEX2DEC(MID(Table14[[#This Row],[Color Code]], 1, 2))," , ",HEX2DEC(MID(Table14[[#This Row],[Color Code]], 3, 2))," , ",HEX2DEC(MID(Table14[[#This Row],[Color Code]], 5, 2)))</f>
        <v>192 , 71 , 86</v>
      </c>
      <c r="D16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124.80785231707178</v>
      </c>
      <c r="E1667" t="str">
        <f>Table14[[#This Row],[Color Code]] &amp; " - " &amp;Table14[[#This Row],[Color Name]]</f>
        <v>C04756 - X202</v>
      </c>
    </row>
    <row r="1668" spans="1:5" x14ac:dyDescent="0.35">
      <c r="A1668" s="17" t="s">
        <v>4453</v>
      </c>
      <c r="B1668" t="s">
        <v>5309</v>
      </c>
      <c r="C1668" s="9" t="str">
        <f>_xlfn.CONCAT(HEX2DEC(MID(Table14[[#This Row],[Color Code]], 1, 2))," , ",HEX2DEC(MID(Table14[[#This Row],[Color Code]], 3, 2))," , ",HEX2DEC(MID(Table14[[#This Row],[Color Code]], 5, 2)))</f>
        <v>118 , 128 , 66</v>
      </c>
      <c r="D16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124.92397688194208</v>
      </c>
      <c r="E1668" t="str">
        <f>Table14[[#This Row],[Color Code]] &amp; " - " &amp;Table14[[#This Row],[Color Name]]</f>
        <v>768042 - 9790</v>
      </c>
    </row>
    <row r="1669" spans="1:5" x14ac:dyDescent="0.35">
      <c r="A1669" s="17" t="s">
        <v>2645</v>
      </c>
      <c r="B1669" t="s">
        <v>4847</v>
      </c>
      <c r="C1669" s="9" t="str">
        <f>_xlfn.CONCAT(HEX2DEC(MID(Table14[[#This Row],[Color Code]], 1, 2))," , ",HEX2DEC(MID(Table14[[#This Row],[Color Code]], 3, 2))," , ",HEX2DEC(MID(Table14[[#This Row],[Color Code]], 5, 2)))</f>
        <v>104 , 91 , 125</v>
      </c>
      <c r="D16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125.29964086141668</v>
      </c>
      <c r="E1669" t="str">
        <f>Table14[[#This Row],[Color Code]] &amp; " - " &amp;Table14[[#This Row],[Color Name]]</f>
        <v>685B7D - 9614</v>
      </c>
    </row>
    <row r="1670" spans="1:5" x14ac:dyDescent="0.35">
      <c r="A1670" s="17" t="s">
        <v>3257</v>
      </c>
      <c r="B1670" t="s">
        <v>5516</v>
      </c>
      <c r="C1670" s="9" t="str">
        <f>_xlfn.CONCAT(HEX2DEC(MID(Table14[[#This Row],[Color Code]], 1, 2))," , ",HEX2DEC(MID(Table14[[#This Row],[Color Code]], 3, 2))," , ",HEX2DEC(MID(Table14[[#This Row],[Color Code]], 5, 2)))</f>
        <v>208 , 166 , 31</v>
      </c>
      <c r="D16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125.35150577476124</v>
      </c>
      <c r="E1670" t="str">
        <f>Table14[[#This Row],[Color Code]] &amp; " - " &amp;Table14[[#This Row],[Color Name]]</f>
        <v>D0A61F - 9868</v>
      </c>
    </row>
    <row r="1671" spans="1:5" x14ac:dyDescent="0.35">
      <c r="A1671" s="17" t="s">
        <v>3228</v>
      </c>
      <c r="B1671" t="s">
        <v>5486</v>
      </c>
      <c r="C1671" s="9" t="str">
        <f>_xlfn.CONCAT(HEX2DEC(MID(Table14[[#This Row],[Color Code]], 1, 2))," , ",HEX2DEC(MID(Table14[[#This Row],[Color Code]], 3, 2))," , ",HEX2DEC(MID(Table14[[#This Row],[Color Code]], 5, 2)))</f>
        <v>132 , 119 , 60</v>
      </c>
      <c r="D16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125.54282137979854</v>
      </c>
      <c r="E1671" t="str">
        <f>Table14[[#This Row],[Color Code]] &amp; " - " &amp;Table14[[#This Row],[Color Name]]</f>
        <v>84773C - 9861</v>
      </c>
    </row>
    <row r="1672" spans="1:5" x14ac:dyDescent="0.35">
      <c r="A1672" s="17" t="s">
        <v>2747</v>
      </c>
      <c r="B1672" t="s">
        <v>4959</v>
      </c>
      <c r="C1672" s="9" t="str">
        <f>_xlfn.CONCAT(HEX2DEC(MID(Table14[[#This Row],[Color Code]], 1, 2))," , ",HEX2DEC(MID(Table14[[#This Row],[Color Code]], 3, 2))," , ",HEX2DEC(MID(Table14[[#This Row],[Color Code]], 5, 2)))</f>
        <v>80 , 123 , 178</v>
      </c>
      <c r="D16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125.60652849274993</v>
      </c>
      <c r="E1672" t="str">
        <f>Table14[[#This Row],[Color Code]] &amp; " - " &amp;Table14[[#This Row],[Color Name]]</f>
        <v>507BB2 - 7246</v>
      </c>
    </row>
    <row r="1673" spans="1:5" x14ac:dyDescent="0.35">
      <c r="A1673" s="17" t="s">
        <v>4516</v>
      </c>
      <c r="B1673" t="s">
        <v>6139</v>
      </c>
      <c r="C1673" s="9" t="str">
        <f>_xlfn.CONCAT(HEX2DEC(MID(Table14[[#This Row],[Color Code]], 1, 2))," , ",HEX2DEC(MID(Table14[[#This Row],[Color Code]], 3, 2))," , ",HEX2DEC(MID(Table14[[#This Row],[Color Code]], 5, 2)))</f>
        <v>104 , 105 , 99</v>
      </c>
      <c r="D16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125.61846997953764</v>
      </c>
      <c r="E1673" t="str">
        <f>Table14[[#This Row],[Color Code]] &amp; " - " &amp;Table14[[#This Row],[Color Name]]</f>
        <v>686963 - 8326</v>
      </c>
    </row>
    <row r="1674" spans="1:5" x14ac:dyDescent="0.35">
      <c r="A1674" s="17" t="s">
        <v>2907</v>
      </c>
      <c r="B1674" t="s">
        <v>5134</v>
      </c>
      <c r="C1674" s="9" t="str">
        <f>_xlfn.CONCAT(HEX2DEC(MID(Table14[[#This Row],[Color Code]], 1, 2))," , ",HEX2DEC(MID(Table14[[#This Row],[Color Code]], 3, 2))," , ",HEX2DEC(MID(Table14[[#This Row],[Color Code]], 5, 2)))</f>
        <v>75 , 136 , 131</v>
      </c>
      <c r="D16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125.64234954823155</v>
      </c>
      <c r="E1674" t="str">
        <f>Table14[[#This Row],[Color Code]] &amp; " - " &amp;Table14[[#This Row],[Color Name]]</f>
        <v>4B8883 - 7486</v>
      </c>
    </row>
    <row r="1675" spans="1:5" x14ac:dyDescent="0.35">
      <c r="A1675" s="17" t="s">
        <v>3043</v>
      </c>
      <c r="B1675" t="s">
        <v>5288</v>
      </c>
      <c r="C1675" s="9" t="str">
        <f>_xlfn.CONCAT(HEX2DEC(MID(Table14[[#This Row],[Color Code]], 1, 2))," , ",HEX2DEC(MID(Table14[[#This Row],[Color Code]], 3, 2))," , ",HEX2DEC(MID(Table14[[#This Row],[Color Code]], 5, 2)))</f>
        <v>116 , 171 , 55</v>
      </c>
      <c r="D16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125.66622457924007</v>
      </c>
      <c r="E1675" t="str">
        <f>Table14[[#This Row],[Color Code]] &amp; " - " &amp;Table14[[#This Row],[Color Name]]</f>
        <v>74AB37 - 7661</v>
      </c>
    </row>
    <row r="1676" spans="1:5" x14ac:dyDescent="0.35">
      <c r="A1676" s="17" t="s">
        <v>4397</v>
      </c>
      <c r="B1676" t="s">
        <v>6783</v>
      </c>
      <c r="C1676" s="9" t="str">
        <f>_xlfn.CONCAT(HEX2DEC(MID(Table14[[#This Row],[Color Code]], 1, 2))," , ",HEX2DEC(MID(Table14[[#This Row],[Color Code]], 3, 2))," , ",HEX2DEC(MID(Table14[[#This Row],[Color Code]], 5, 2)))</f>
        <v>153 , 74 , 91</v>
      </c>
      <c r="D16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125.76963067449948</v>
      </c>
      <c r="E1676" t="str">
        <f>Table14[[#This Row],[Color Code]] &amp; " - " &amp;Table14[[#This Row],[Color Name]]</f>
        <v>994A5B - X200</v>
      </c>
    </row>
    <row r="1677" spans="1:5" x14ac:dyDescent="0.35">
      <c r="A1677" s="17" t="s">
        <v>2736</v>
      </c>
      <c r="B1677" t="s">
        <v>4947</v>
      </c>
      <c r="C1677" s="9" t="str">
        <f>_xlfn.CONCAT(HEX2DEC(MID(Table14[[#This Row],[Color Code]], 1, 2))," , ",HEX2DEC(MID(Table14[[#This Row],[Color Code]], 3, 2))," , ",HEX2DEC(MID(Table14[[#This Row],[Color Code]], 5, 2)))</f>
        <v>84 , 112 , 169</v>
      </c>
      <c r="D16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125.81335382223939</v>
      </c>
      <c r="E1677" t="str">
        <f>Table14[[#This Row],[Color Code]] &amp; " - " &amp;Table14[[#This Row],[Color Name]]</f>
        <v>5470A9 - 9639</v>
      </c>
    </row>
    <row r="1678" spans="1:5" x14ac:dyDescent="0.35">
      <c r="A1678" s="17" t="s">
        <v>4038</v>
      </c>
      <c r="B1678" t="s">
        <v>6380</v>
      </c>
      <c r="C1678" s="9" t="str">
        <f>_xlfn.CONCAT(HEX2DEC(MID(Table14[[#This Row],[Color Code]], 1, 2))," , ",HEX2DEC(MID(Table14[[#This Row],[Color Code]], 3, 2))," , ",HEX2DEC(MID(Table14[[#This Row],[Color Code]], 5, 2)))</f>
        <v>134 , 98 , 74</v>
      </c>
      <c r="D16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125.91266814741081</v>
      </c>
      <c r="E1678" t="str">
        <f>Table14[[#This Row],[Color Code]] &amp; " - " &amp;Table14[[#This Row],[Color Name]]</f>
        <v>86624A - 8565</v>
      </c>
    </row>
    <row r="1679" spans="1:5" x14ac:dyDescent="0.35">
      <c r="A1679" s="17" t="s">
        <v>3551</v>
      </c>
      <c r="B1679" t="s">
        <v>5820</v>
      </c>
      <c r="C1679" s="9" t="str">
        <f>_xlfn.CONCAT(HEX2DEC(MID(Table14[[#This Row],[Color Code]], 1, 2))," , ",HEX2DEC(MID(Table14[[#This Row],[Color Code]], 3, 2))," , ",HEX2DEC(MID(Table14[[#This Row],[Color Code]], 5, 2)))</f>
        <v>170 , 77 , 79</v>
      </c>
      <c r="D16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125.95237195067031</v>
      </c>
      <c r="E1679" t="str">
        <f>Table14[[#This Row],[Color Code]] &amp; " - " &amp;Table14[[#This Row],[Color Name]]</f>
        <v>AA4D4F - K001</v>
      </c>
    </row>
    <row r="1680" spans="1:5" x14ac:dyDescent="0.35">
      <c r="A1680" s="17" t="s">
        <v>4259</v>
      </c>
      <c r="B1680" t="s">
        <v>6629</v>
      </c>
      <c r="C1680" s="9" t="str">
        <f>_xlfn.CONCAT(HEX2DEC(MID(Table14[[#This Row],[Color Code]], 1, 2))," , ",HEX2DEC(MID(Table14[[#This Row],[Color Code]], 3, 2))," , ",HEX2DEC(MID(Table14[[#This Row],[Color Code]], 5, 2)))</f>
        <v>206 , 74 , 81</v>
      </c>
      <c r="D16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125.98809467564783</v>
      </c>
      <c r="E1680" t="str">
        <f>Table14[[#This Row],[Color Code]] &amp; " - " &amp;Table14[[#This Row],[Color Name]]</f>
        <v>CE4A51 - X179</v>
      </c>
    </row>
    <row r="1681" spans="1:5" x14ac:dyDescent="0.35">
      <c r="A1681" s="17" t="s">
        <v>3952</v>
      </c>
      <c r="B1681" t="s">
        <v>6283</v>
      </c>
      <c r="C1681" s="9" t="str">
        <f>_xlfn.CONCAT(HEX2DEC(MID(Table14[[#This Row],[Color Code]], 1, 2))," , ",HEX2DEC(MID(Table14[[#This Row],[Color Code]], 3, 2))," , ",HEX2DEC(MID(Table14[[#This Row],[Color Code]], 5, 2)))</f>
        <v>120 , 106 , 78</v>
      </c>
      <c r="D16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125.99206324209474</v>
      </c>
      <c r="E1681" t="str">
        <f>Table14[[#This Row],[Color Code]] &amp; " - " &amp;Table14[[#This Row],[Color Name]]</f>
        <v>786A4E - 8477</v>
      </c>
    </row>
    <row r="1682" spans="1:5" x14ac:dyDescent="0.35">
      <c r="A1682" s="17" t="s">
        <v>3393</v>
      </c>
      <c r="B1682" t="s">
        <v>5652</v>
      </c>
      <c r="C1682" s="9" t="str">
        <f>_xlfn.CONCAT(HEX2DEC(MID(Table14[[#This Row],[Color Code]], 1, 2))," , ",HEX2DEC(MID(Table14[[#This Row],[Color Code]], 3, 2))," , ",HEX2DEC(MID(Table14[[#This Row],[Color Code]], 5, 2)))</f>
        <v>169 , 99 , 57</v>
      </c>
      <c r="D16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126.13088440187835</v>
      </c>
      <c r="E1682" t="str">
        <f>Table14[[#This Row],[Color Code]] &amp; " - " &amp;Table14[[#This Row],[Color Name]]</f>
        <v>A96339 - 9904</v>
      </c>
    </row>
    <row r="1683" spans="1:5" x14ac:dyDescent="0.35">
      <c r="A1683" s="17" t="s">
        <v>2777</v>
      </c>
      <c r="B1683" t="s">
        <v>4990</v>
      </c>
      <c r="C1683" s="9" t="str">
        <f>_xlfn.CONCAT(HEX2DEC(MID(Table14[[#This Row],[Color Code]], 1, 2))," , ",HEX2DEC(MID(Table14[[#This Row],[Color Code]], 3, 2))," , ",HEX2DEC(MID(Table14[[#This Row],[Color Code]], 5, 2)))</f>
        <v>82 , 115 , 140</v>
      </c>
      <c r="D16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126.19429464123962</v>
      </c>
      <c r="E1683" t="str">
        <f>Table14[[#This Row],[Color Code]] &amp; " - " &amp;Table14[[#This Row],[Color Name]]</f>
        <v>52738C - 7302</v>
      </c>
    </row>
    <row r="1684" spans="1:5" x14ac:dyDescent="0.35">
      <c r="A1684" s="17" t="s">
        <v>3528</v>
      </c>
      <c r="B1684" t="s">
        <v>5796</v>
      </c>
      <c r="C1684" s="9" t="str">
        <f>_xlfn.CONCAT(HEX2DEC(MID(Table14[[#This Row],[Color Code]], 1, 2))," , ",HEX2DEC(MID(Table14[[#This Row],[Color Code]], 3, 2))," , ",HEX2DEC(MID(Table14[[#This Row],[Color Code]], 5, 2)))</f>
        <v>154 , 84 , 76</v>
      </c>
      <c r="D16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126.35663813191613</v>
      </c>
      <c r="E1684" t="str">
        <f>Table14[[#This Row],[Color Code]] &amp; " - " &amp;Table14[[#This Row],[Color Name]]</f>
        <v>9A544C - 9989</v>
      </c>
    </row>
    <row r="1685" spans="1:5" x14ac:dyDescent="0.35">
      <c r="A1685" s="17" t="s">
        <v>4548</v>
      </c>
      <c r="B1685" t="s">
        <v>6399</v>
      </c>
      <c r="C1685" s="9" t="str">
        <f>_xlfn.CONCAT(HEX2DEC(MID(Table14[[#This Row],[Color Code]], 1, 2))," , ",HEX2DEC(MID(Table14[[#This Row],[Color Code]], 3, 2))," , ",HEX2DEC(MID(Table14[[#This Row],[Color Code]], 5, 2)))</f>
        <v>137 , 99 , 70</v>
      </c>
      <c r="D16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126.59383871263246</v>
      </c>
      <c r="E1685" t="str">
        <f>Table14[[#This Row],[Color Code]] &amp; " - " &amp;Table14[[#This Row],[Color Name]]</f>
        <v>896346 - K192</v>
      </c>
    </row>
    <row r="1686" spans="1:5" x14ac:dyDescent="0.35">
      <c r="A1686" s="17" t="s">
        <v>4274</v>
      </c>
      <c r="B1686" t="s">
        <v>6645</v>
      </c>
      <c r="C1686" s="9" t="str">
        <f>_xlfn.CONCAT(HEX2DEC(MID(Table14[[#This Row],[Color Code]], 1, 2))," , ",HEX2DEC(MID(Table14[[#This Row],[Color Code]], 3, 2))," , ",HEX2DEC(MID(Table14[[#This Row],[Color Code]], 5, 2)))</f>
        <v>245 , 126 , 51</v>
      </c>
      <c r="D16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126.59383871263246</v>
      </c>
      <c r="E1686" t="str">
        <f>Table14[[#This Row],[Color Code]] &amp; " - " &amp;Table14[[#This Row],[Color Name]]</f>
        <v>F57E33 - 7973</v>
      </c>
    </row>
    <row r="1687" spans="1:5" x14ac:dyDescent="0.35">
      <c r="A1687" s="17" t="s">
        <v>2819</v>
      </c>
      <c r="B1687" t="s">
        <v>5035</v>
      </c>
      <c r="C1687" s="9" t="str">
        <f>_xlfn.CONCAT(HEX2DEC(MID(Table14[[#This Row],[Color Code]], 1, 2))," , ",HEX2DEC(MID(Table14[[#This Row],[Color Code]], 3, 2))," , ",HEX2DEC(MID(Table14[[#This Row],[Color Code]], 5, 2)))</f>
        <v>85 , 186 , 222</v>
      </c>
      <c r="D16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126.72410978184064</v>
      </c>
      <c r="E1687" t="str">
        <f>Table14[[#This Row],[Color Code]] &amp; " - " &amp;Table14[[#This Row],[Color Name]]</f>
        <v>55BADE - 9665</v>
      </c>
    </row>
    <row r="1688" spans="1:5" x14ac:dyDescent="0.35">
      <c r="A1688" s="17" t="s">
        <v>4072</v>
      </c>
      <c r="B1688" t="s">
        <v>6417</v>
      </c>
      <c r="C1688" s="9" t="str">
        <f>_xlfn.CONCAT(HEX2DEC(MID(Table14[[#This Row],[Color Code]], 1, 2))," , ",HEX2DEC(MID(Table14[[#This Row],[Color Code]], 3, 2))," , ",HEX2DEC(MID(Table14[[#This Row],[Color Code]], 5, 2)))</f>
        <v>126 , 98 , 79</v>
      </c>
      <c r="D16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126.73200069437868</v>
      </c>
      <c r="E1688" t="str">
        <f>Table14[[#This Row],[Color Code]] &amp; " - " &amp;Table14[[#This Row],[Color Name]]</f>
        <v>7E624F - K208</v>
      </c>
    </row>
    <row r="1689" spans="1:5" x14ac:dyDescent="0.35">
      <c r="A1689" s="17" t="s">
        <v>4557</v>
      </c>
      <c r="B1689" t="s">
        <v>6490</v>
      </c>
      <c r="C1689" s="9" t="str">
        <f>_xlfn.CONCAT(HEX2DEC(MID(Table14[[#This Row],[Color Code]], 1, 2))," , ",HEX2DEC(MID(Table14[[#This Row],[Color Code]], 3, 2))," , ",HEX2DEC(MID(Table14[[#This Row],[Color Code]], 5, 2)))</f>
        <v>117 , 97 , 89</v>
      </c>
      <c r="D16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126.74778104566565</v>
      </c>
      <c r="E1689" t="str">
        <f>Table14[[#This Row],[Color Code]] &amp; " - " &amp;Table14[[#This Row],[Color Name]]</f>
        <v>756159 - 8654</v>
      </c>
    </row>
    <row r="1690" spans="1:5" x14ac:dyDescent="0.35">
      <c r="A1690" s="17" t="s">
        <v>4395</v>
      </c>
      <c r="B1690" t="s">
        <v>6781</v>
      </c>
      <c r="C1690" s="9" t="str">
        <f>_xlfn.CONCAT(HEX2DEC(MID(Table14[[#This Row],[Color Code]], 1, 2))," , ",HEX2DEC(MID(Table14[[#This Row],[Color Code]], 3, 2))," , ",HEX2DEC(MID(Table14[[#This Row],[Color Code]], 5, 2)))</f>
        <v>162 , 75 , 83</v>
      </c>
      <c r="D16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126.82271089990152</v>
      </c>
      <c r="E1690" t="str">
        <f>Table14[[#This Row],[Color Code]] &amp; " - " &amp;Table14[[#This Row],[Color Name]]</f>
        <v>A24B53 - X199</v>
      </c>
    </row>
    <row r="1691" spans="1:5" x14ac:dyDescent="0.35">
      <c r="A1691" s="17" t="s">
        <v>3084</v>
      </c>
      <c r="B1691" t="s">
        <v>5336</v>
      </c>
      <c r="C1691" s="9" t="str">
        <f>_xlfn.CONCAT(HEX2DEC(MID(Table14[[#This Row],[Color Code]], 1, 2))," , ",HEX2DEC(MID(Table14[[#This Row],[Color Code]], 3, 2))," , ",HEX2DEC(MID(Table14[[#This Row],[Color Code]], 5, 2)))</f>
        <v>110 , 115 , 79</v>
      </c>
      <c r="D16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126.88577540449521</v>
      </c>
      <c r="E1691" t="str">
        <f>Table14[[#This Row],[Color Code]] &amp; " - " &amp;Table14[[#This Row],[Color Name]]</f>
        <v>6E734F - 7685</v>
      </c>
    </row>
    <row r="1692" spans="1:5" x14ac:dyDescent="0.35">
      <c r="A1692" s="17" t="s">
        <v>4432</v>
      </c>
      <c r="B1692" t="s">
        <v>5149</v>
      </c>
      <c r="C1692" s="9" t="str">
        <f>_xlfn.CONCAT(HEX2DEC(MID(Table14[[#This Row],[Color Code]], 1, 2))," , ",HEX2DEC(MID(Table14[[#This Row],[Color Code]], 3, 2))," , ",HEX2DEC(MID(Table14[[#This Row],[Color Code]], 5, 2)))</f>
        <v>68 , 150 , 145</v>
      </c>
      <c r="D16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126.88971589533961</v>
      </c>
      <c r="E1692" t="str">
        <f>Table14[[#This Row],[Color Code]] &amp; " - " &amp;Table14[[#This Row],[Color Name]]</f>
        <v>449691 - 9716</v>
      </c>
    </row>
    <row r="1693" spans="1:5" x14ac:dyDescent="0.35">
      <c r="A1693" s="17" t="s">
        <v>4276</v>
      </c>
      <c r="B1693" t="s">
        <v>6647</v>
      </c>
      <c r="C1693" s="9" t="str">
        <f>_xlfn.CONCAT(HEX2DEC(MID(Table14[[#This Row],[Color Code]], 1, 2))," , ",HEX2DEC(MID(Table14[[#This Row],[Color Code]], 3, 2))," , ",HEX2DEC(MID(Table14[[#This Row],[Color Code]], 5, 2)))</f>
        <v>239 , 111 , 56</v>
      </c>
      <c r="D16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126.90941651429968</v>
      </c>
      <c r="E1693" t="str">
        <f>Table14[[#This Row],[Color Code]] &amp; " - " &amp;Table14[[#This Row],[Color Name]]</f>
        <v>EF6F38 - X114</v>
      </c>
    </row>
    <row r="1694" spans="1:5" x14ac:dyDescent="0.35">
      <c r="A1694" s="17" t="s">
        <v>3459</v>
      </c>
      <c r="B1694" t="s">
        <v>5724</v>
      </c>
      <c r="C1694" s="9" t="str">
        <f>_xlfn.CONCAT(HEX2DEC(MID(Table14[[#This Row],[Color Code]], 1, 2))," , ",HEX2DEC(MID(Table14[[#This Row],[Color Code]], 3, 2))," , ",HEX2DEC(MID(Table14[[#This Row],[Color Code]], 5, 2)))</f>
        <v>183 , 96 , 56</v>
      </c>
      <c r="D16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126.97637575549241</v>
      </c>
      <c r="E1694" t="str">
        <f>Table14[[#This Row],[Color Code]] &amp; " - " &amp;Table14[[#This Row],[Color Name]]</f>
        <v>B76038 - 9951</v>
      </c>
    </row>
    <row r="1695" spans="1:5" x14ac:dyDescent="0.35">
      <c r="A1695" s="17" t="s">
        <v>2950</v>
      </c>
      <c r="B1695" t="s">
        <v>5183</v>
      </c>
      <c r="C1695" s="9" t="str">
        <f>_xlfn.CONCAT(HEX2DEC(MID(Table14[[#This Row],[Color Code]], 1, 2))," , ",HEX2DEC(MID(Table14[[#This Row],[Color Code]], 3, 2))," , ",HEX2DEC(MID(Table14[[#This Row],[Color Code]], 5, 2)))</f>
        <v>78 , 133 , 118</v>
      </c>
      <c r="D16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</v>
      </c>
      <c r="E1695" t="str">
        <f>Table14[[#This Row],[Color Code]] &amp; " - " &amp;Table14[[#This Row],[Color Name]]</f>
        <v>4E8576 - 7542</v>
      </c>
    </row>
    <row r="1696" spans="1:5" x14ac:dyDescent="0.35">
      <c r="A1696" s="17" t="s">
        <v>4295</v>
      </c>
      <c r="B1696" t="s">
        <v>6666</v>
      </c>
      <c r="C1696" s="9" t="str">
        <f>_xlfn.CONCAT(HEX2DEC(MID(Table14[[#This Row],[Color Code]], 1, 2))," , ",HEX2DEC(MID(Table14[[#This Row],[Color Code]], 3, 2))," , ",HEX2DEC(MID(Table14[[#This Row],[Color Code]], 5, 2)))</f>
        <v>239 , 159 , 38</v>
      </c>
      <c r="D16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127.09838708654017</v>
      </c>
      <c r="E1696" t="str">
        <f>Table14[[#This Row],[Color Code]] &amp; " - " &amp;Table14[[#This Row],[Color Name]]</f>
        <v>EF9F26 - 7917</v>
      </c>
    </row>
    <row r="1697" spans="1:5" x14ac:dyDescent="0.35">
      <c r="A1697" s="17" t="s">
        <v>4342</v>
      </c>
      <c r="B1697" t="s">
        <v>6714</v>
      </c>
      <c r="C1697" s="9" t="str">
        <f>_xlfn.CONCAT(HEX2DEC(MID(Table14[[#This Row],[Color Code]], 1, 2))," , ",HEX2DEC(MID(Table14[[#This Row],[Color Code]], 3, 2))," , ",HEX2DEC(MID(Table14[[#This Row],[Color Code]], 5, 2)))</f>
        <v>76 , 176 , 103</v>
      </c>
      <c r="D16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127.12592182556632</v>
      </c>
      <c r="E1697" t="str">
        <f>Table14[[#This Row],[Color Code]] &amp; " - " &amp;Table14[[#This Row],[Color Name]]</f>
        <v>4CB067 - X176</v>
      </c>
    </row>
    <row r="1698" spans="1:5" x14ac:dyDescent="0.35">
      <c r="A1698" s="17" t="s">
        <v>4509</v>
      </c>
      <c r="B1698" t="s">
        <v>6106</v>
      </c>
      <c r="C1698" s="9" t="str">
        <f>_xlfn.CONCAT(HEX2DEC(MID(Table14[[#This Row],[Color Code]], 1, 2))," , ",HEX2DEC(MID(Table14[[#This Row],[Color Code]], 3, 2))," , ",HEX2DEC(MID(Table14[[#This Row],[Color Code]], 5, 2)))</f>
        <v>103 , 102 , 101</v>
      </c>
      <c r="D16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127.14558584551806</v>
      </c>
      <c r="E1698" t="str">
        <f>Table14[[#This Row],[Color Code]] &amp; " - " &amp;Table14[[#This Row],[Color Name]]</f>
        <v>676665 - K112</v>
      </c>
    </row>
    <row r="1699" spans="1:5" x14ac:dyDescent="0.35">
      <c r="A1699" s="17" t="s">
        <v>4261</v>
      </c>
      <c r="B1699" t="s">
        <v>6631</v>
      </c>
      <c r="C1699" s="9" t="str">
        <f>_xlfn.CONCAT(HEX2DEC(MID(Table14[[#This Row],[Color Code]], 1, 2))," , ",HEX2DEC(MID(Table14[[#This Row],[Color Code]], 3, 2))," , ",HEX2DEC(MID(Table14[[#This Row],[Color Code]], 5, 2)))</f>
        <v>185 , 74 , 78</v>
      </c>
      <c r="D16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127.19669807035086</v>
      </c>
      <c r="E1699" t="str">
        <f>Table14[[#This Row],[Color Code]] &amp; " - " &amp;Table14[[#This Row],[Color Name]]</f>
        <v>B94A4E - X122</v>
      </c>
    </row>
    <row r="1700" spans="1:5" x14ac:dyDescent="0.35">
      <c r="A1700" s="17" t="s">
        <v>4398</v>
      </c>
      <c r="B1700" t="s">
        <v>6784</v>
      </c>
      <c r="C1700" s="9" t="str">
        <f>_xlfn.CONCAT(HEX2DEC(MID(Table14[[#This Row],[Color Code]], 1, 2))," , ",HEX2DEC(MID(Table14[[#This Row],[Color Code]], 3, 2))," , ",HEX2DEC(MID(Table14[[#This Row],[Color Code]], 5, 2)))</f>
        <v>158 , 73 , 87</v>
      </c>
      <c r="D17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127.21635115031401</v>
      </c>
      <c r="E1700" t="str">
        <f>Table14[[#This Row],[Color Code]] &amp; " - " &amp;Table14[[#This Row],[Color Name]]</f>
        <v>9E4957 - X201</v>
      </c>
    </row>
    <row r="1701" spans="1:5" x14ac:dyDescent="0.35">
      <c r="A1701" s="17" t="s">
        <v>4324</v>
      </c>
      <c r="B1701" t="s">
        <v>6695</v>
      </c>
      <c r="C1701" s="9" t="str">
        <f>_xlfn.CONCAT(HEX2DEC(MID(Table14[[#This Row],[Color Code]], 1, 2))," , ",HEX2DEC(MID(Table14[[#This Row],[Color Code]], 3, 2))," , ",HEX2DEC(MID(Table14[[#This Row],[Color Code]], 5, 2)))</f>
        <v>254 , 197 , 46</v>
      </c>
      <c r="D17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127.31457104353767</v>
      </c>
      <c r="E1701" t="str">
        <f>Table14[[#This Row],[Color Code]] &amp; " - " &amp;Table14[[#This Row],[Color Name]]</f>
        <v>FEC52E - X104</v>
      </c>
    </row>
    <row r="1702" spans="1:5" x14ac:dyDescent="0.35">
      <c r="A1702" s="17" t="s">
        <v>4064</v>
      </c>
      <c r="B1702" t="s">
        <v>6408</v>
      </c>
      <c r="C1702" s="9" t="str">
        <f>_xlfn.CONCAT(HEX2DEC(MID(Table14[[#This Row],[Color Code]], 1, 2))," , ",HEX2DEC(MID(Table14[[#This Row],[Color Code]], 3, 2))," , ",HEX2DEC(MID(Table14[[#This Row],[Color Code]], 5, 2)))</f>
        <v>146 , 93 , 69</v>
      </c>
      <c r="D17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127.4205634895718</v>
      </c>
      <c r="E1702" t="str">
        <f>Table14[[#This Row],[Color Code]] &amp; " - " &amp;Table14[[#This Row],[Color Name]]</f>
        <v>925D45 - K201</v>
      </c>
    </row>
    <row r="1703" spans="1:5" x14ac:dyDescent="0.35">
      <c r="A1703" s="17" t="s">
        <v>3048</v>
      </c>
      <c r="B1703" t="s">
        <v>5293</v>
      </c>
      <c r="C1703" s="9" t="str">
        <f>_xlfn.CONCAT(HEX2DEC(MID(Table14[[#This Row],[Color Code]], 1, 2))," , ",HEX2DEC(MID(Table14[[#This Row],[Color Code]], 3, 2))," , ",HEX2DEC(MID(Table14[[#This Row],[Color Code]], 5, 2)))</f>
        <v>107 , 161 , 61</v>
      </c>
      <c r="D17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127.50294114254777</v>
      </c>
      <c r="E1703" t="str">
        <f>Table14[[#This Row],[Color Code]] &amp; " - " &amp;Table14[[#This Row],[Color Name]]</f>
        <v>6BA13D - 9774</v>
      </c>
    </row>
    <row r="1704" spans="1:5" x14ac:dyDescent="0.35">
      <c r="A1704" s="17" t="s">
        <v>4542</v>
      </c>
      <c r="B1704" t="s">
        <v>6303</v>
      </c>
      <c r="C1704" s="9" t="str">
        <f>_xlfn.CONCAT(HEX2DEC(MID(Table14[[#This Row],[Color Code]], 1, 2))," , ",HEX2DEC(MID(Table14[[#This Row],[Color Code]], 3, 2))," , ",HEX2DEC(MID(Table14[[#This Row],[Color Code]], 5, 2)))</f>
        <v>129 , 105 , 69</v>
      </c>
      <c r="D17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127.534309109353</v>
      </c>
      <c r="E1704" t="str">
        <f>Table14[[#This Row],[Color Code]] &amp; " - " &amp;Table14[[#This Row],[Color Name]]</f>
        <v>816945 - K176</v>
      </c>
    </row>
    <row r="1705" spans="1:5" x14ac:dyDescent="0.35">
      <c r="A1705" s="17" t="s">
        <v>3582</v>
      </c>
      <c r="B1705" t="s">
        <v>5851</v>
      </c>
      <c r="C1705" s="9" t="str">
        <f>_xlfn.CONCAT(HEX2DEC(MID(Table14[[#This Row],[Color Code]], 1, 2))," , ",HEX2DEC(MID(Table14[[#This Row],[Color Code]], 3, 2))," , ",HEX2DEC(MID(Table14[[#This Row],[Color Code]], 5, 2)))</f>
        <v>154 , 73 , 88</v>
      </c>
      <c r="D17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127.81627439414747</v>
      </c>
      <c r="E1705" t="str">
        <f>Table14[[#This Row],[Color Code]] &amp; " - " &amp;Table14[[#This Row],[Color Name]]</f>
        <v>9A4958 - K007</v>
      </c>
    </row>
    <row r="1706" spans="1:5" x14ac:dyDescent="0.35">
      <c r="A1706" s="17" t="s">
        <v>3567</v>
      </c>
      <c r="B1706" t="s">
        <v>5836</v>
      </c>
      <c r="C1706" s="9" t="str">
        <f>_xlfn.CONCAT(HEX2DEC(MID(Table14[[#This Row],[Color Code]], 1, 2))," , ",HEX2DEC(MID(Table14[[#This Row],[Color Code]], 3, 2))," , ",HEX2DEC(MID(Table14[[#This Row],[Color Code]], 5, 2)))</f>
        <v>172 , 79 , 73</v>
      </c>
      <c r="D17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127.82800945019835</v>
      </c>
      <c r="E1706" t="str">
        <f>Table14[[#This Row],[Color Code]] &amp; " - " &amp;Table14[[#This Row],[Color Name]]</f>
        <v>AC4F49 - 9405</v>
      </c>
    </row>
    <row r="1707" spans="1:5" x14ac:dyDescent="0.35">
      <c r="A1707" s="17" t="s">
        <v>4431</v>
      </c>
      <c r="B1707" t="s">
        <v>5127</v>
      </c>
      <c r="C1707" s="9" t="str">
        <f>_xlfn.CONCAT(HEX2DEC(MID(Table14[[#This Row],[Color Code]], 1, 2))," , ",HEX2DEC(MID(Table14[[#This Row],[Color Code]], 3, 2))," , ",HEX2DEC(MID(Table14[[#This Row],[Color Code]], 5, 2)))</f>
        <v>84 , 118 , 117</v>
      </c>
      <c r="D17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127.89448776237387</v>
      </c>
      <c r="E1707" t="str">
        <f>Table14[[#This Row],[Color Code]] &amp; " - " &amp;Table14[[#This Row],[Color Name]]</f>
        <v>547675 - 7478</v>
      </c>
    </row>
    <row r="1708" spans="1:5" x14ac:dyDescent="0.35">
      <c r="A1708" s="17" t="s">
        <v>4336</v>
      </c>
      <c r="B1708" t="s">
        <v>6708</v>
      </c>
      <c r="C1708" s="9" t="str">
        <f>_xlfn.CONCAT(HEX2DEC(MID(Table14[[#This Row],[Color Code]], 1, 2))," , ",HEX2DEC(MID(Table14[[#This Row],[Color Code]], 3, 2))," , ",HEX2DEC(MID(Table14[[#This Row],[Color Code]], 5, 2)))</f>
        <v>101 , 132 , 76</v>
      </c>
      <c r="D17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127.94920867281672</v>
      </c>
      <c r="E1708" t="str">
        <f>Table14[[#This Row],[Color Code]] &amp; " - " &amp;Table14[[#This Row],[Color Name]]</f>
        <v>65844C - X158</v>
      </c>
    </row>
    <row r="1709" spans="1:5" x14ac:dyDescent="0.35">
      <c r="A1709" s="17" t="s">
        <v>4097</v>
      </c>
      <c r="B1709" t="s">
        <v>6444</v>
      </c>
      <c r="C1709" s="9" t="str">
        <f>_xlfn.CONCAT(HEX2DEC(MID(Table14[[#This Row],[Color Code]], 1, 2))," , ",HEX2DEC(MID(Table14[[#This Row],[Color Code]], 3, 2))," , ",HEX2DEC(MID(Table14[[#This Row],[Color Code]], 5, 2)))</f>
        <v>157 , 86 , 70</v>
      </c>
      <c r="D17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127.94920867281672</v>
      </c>
      <c r="E1709" t="str">
        <f>Table14[[#This Row],[Color Code]] &amp; " - " &amp;Table14[[#This Row],[Color Name]]</f>
        <v>9D5646 - 8605</v>
      </c>
    </row>
    <row r="1710" spans="1:5" x14ac:dyDescent="0.35">
      <c r="A1710" s="17" t="s">
        <v>2834</v>
      </c>
      <c r="B1710" t="s">
        <v>5050</v>
      </c>
      <c r="C1710" s="9" t="str">
        <f>_xlfn.CONCAT(HEX2DEC(MID(Table14[[#This Row],[Color Code]], 1, 2))," , ",HEX2DEC(MID(Table14[[#This Row],[Color Code]], 3, 2))," , ",HEX2DEC(MID(Table14[[#This Row],[Color Code]], 5, 2)))</f>
        <v>73 , 182 , 202</v>
      </c>
      <c r="D17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128.13664581219535</v>
      </c>
      <c r="E1710" t="str">
        <f>Table14[[#This Row],[Color Code]] &amp; " - " &amp;Table14[[#This Row],[Color Name]]</f>
        <v>49B6CA - 9671</v>
      </c>
    </row>
    <row r="1711" spans="1:5" x14ac:dyDescent="0.35">
      <c r="A1711" s="17" t="s">
        <v>3366</v>
      </c>
      <c r="B1711" t="s">
        <v>5625</v>
      </c>
      <c r="C1711" s="9" t="str">
        <f>_xlfn.CONCAT(HEX2DEC(MID(Table14[[#This Row],[Color Code]], 1, 2))," , ",HEX2DEC(MID(Table14[[#This Row],[Color Code]], 3, 2))," , ",HEX2DEC(MID(Table14[[#This Row],[Color Code]], 5, 2)))</f>
        <v>232 , 145 , 37</v>
      </c>
      <c r="D17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128.15615474880636</v>
      </c>
      <c r="E1711" t="str">
        <f>Table14[[#This Row],[Color Code]] &amp; " - " &amp;Table14[[#This Row],[Color Name]]</f>
        <v>E89125 - 9898</v>
      </c>
    </row>
    <row r="1712" spans="1:5" x14ac:dyDescent="0.35">
      <c r="A1712" s="17" t="s">
        <v>4401</v>
      </c>
      <c r="B1712" t="s">
        <v>4807</v>
      </c>
      <c r="C1712" s="9" t="str">
        <f>_xlfn.CONCAT(HEX2DEC(MID(Table14[[#This Row],[Color Code]], 1, 2))," , ",HEX2DEC(MID(Table14[[#This Row],[Color Code]], 3, 2))," , ",HEX2DEC(MID(Table14[[#This Row],[Color Code]], 5, 2)))</f>
        <v>153 , 66 , 100</v>
      </c>
      <c r="D17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128.16785868539742</v>
      </c>
      <c r="E1712" t="str">
        <f>Table14[[#This Row],[Color Code]] &amp; " - " &amp;Table14[[#This Row],[Color Name]]</f>
        <v>994264 - 9421</v>
      </c>
    </row>
    <row r="1713" spans="1:5" x14ac:dyDescent="0.35">
      <c r="A1713" s="17" t="s">
        <v>3753</v>
      </c>
      <c r="B1713" t="s">
        <v>6043</v>
      </c>
      <c r="C1713" s="9" t="str">
        <f>_xlfn.CONCAT(HEX2DEC(MID(Table14[[#This Row],[Color Code]], 1, 2))," , ",HEX2DEC(MID(Table14[[#This Row],[Color Code]], 3, 2))," , ",HEX2DEC(MID(Table14[[#This Row],[Color Code]], 5, 2)))</f>
        <v>94 , 105 , 111</v>
      </c>
      <c r="D17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128.21856339859684</v>
      </c>
      <c r="E1713" t="str">
        <f>Table14[[#This Row],[Color Code]] &amp; " - " &amp;Table14[[#This Row],[Color Name]]</f>
        <v>5E696F - 8262</v>
      </c>
    </row>
    <row r="1714" spans="1:5" x14ac:dyDescent="0.35">
      <c r="A1714" s="17" t="s">
        <v>2953</v>
      </c>
      <c r="B1714" t="s">
        <v>5186</v>
      </c>
      <c r="C1714" s="9" t="str">
        <f>_xlfn.CONCAT(HEX2DEC(MID(Table14[[#This Row],[Color Code]], 1, 2))," , ",HEX2DEC(MID(Table14[[#This Row],[Color Code]], 3, 2))," , ",HEX2DEC(MID(Table14[[#This Row],[Color Code]], 5, 2)))</f>
        <v>64 , 167 , 156</v>
      </c>
      <c r="D17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128.25365491868058</v>
      </c>
      <c r="E1714" t="str">
        <f>Table14[[#This Row],[Color Code]] &amp; " - " &amp;Table14[[#This Row],[Color Name]]</f>
        <v>40A79C - 9727</v>
      </c>
    </row>
    <row r="1715" spans="1:5" x14ac:dyDescent="0.35">
      <c r="A1715" s="17" t="s">
        <v>4586</v>
      </c>
      <c r="B1715" t="s">
        <v>6760</v>
      </c>
      <c r="C1715" s="9" t="str">
        <f>_xlfn.CONCAT(HEX2DEC(MID(Table14[[#This Row],[Color Code]], 1, 2))," , ",HEX2DEC(MID(Table14[[#This Row],[Color Code]], 3, 2))," , ",HEX2DEC(MID(Table14[[#This Row],[Color Code]], 5, 2)))</f>
        <v>136 , 71 , 105</v>
      </c>
      <c r="D17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128.26534995859171</v>
      </c>
      <c r="E1715" t="str">
        <f>Table14[[#This Row],[Color Code]] &amp; " - " &amp;Table14[[#This Row],[Color Name]]</f>
        <v>884769 - X137</v>
      </c>
    </row>
    <row r="1716" spans="1:5" x14ac:dyDescent="0.35">
      <c r="A1716" s="17" t="s">
        <v>3574</v>
      </c>
      <c r="B1716" t="s">
        <v>5843</v>
      </c>
      <c r="C1716" s="9" t="str">
        <f>_xlfn.CONCAT(HEX2DEC(MID(Table14[[#This Row],[Color Code]], 1, 2))," , ",HEX2DEC(MID(Table14[[#This Row],[Color Code]], 3, 2))," , ",HEX2DEC(MID(Table14[[#This Row],[Color Code]], 5, 2)))</f>
        <v>175 , 73 , 79</v>
      </c>
      <c r="D17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128.33160171991932</v>
      </c>
      <c r="E1716" t="str">
        <f>Table14[[#This Row],[Color Code]] &amp; " - " &amp;Table14[[#This Row],[Color Name]]</f>
        <v>AF494F - K003</v>
      </c>
    </row>
    <row r="1717" spans="1:5" x14ac:dyDescent="0.35">
      <c r="A1717" s="17" t="s">
        <v>4306</v>
      </c>
      <c r="B1717" t="s">
        <v>6677</v>
      </c>
      <c r="C1717" s="9" t="str">
        <f>_xlfn.CONCAT(HEX2DEC(MID(Table14[[#This Row],[Color Code]], 1, 2))," , ",HEX2DEC(MID(Table14[[#This Row],[Color Code]], 3, 2))," , ",HEX2DEC(MID(Table14[[#This Row],[Color Code]], 5, 2)))</f>
        <v>254 , 194 , 44</v>
      </c>
      <c r="D17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128.55349081219072</v>
      </c>
      <c r="E1717" t="str">
        <f>Table14[[#This Row],[Color Code]] &amp; " - " &amp;Table14[[#This Row],[Color Name]]</f>
        <v>FEC22C - X216</v>
      </c>
    </row>
    <row r="1718" spans="1:5" x14ac:dyDescent="0.35">
      <c r="A1718" s="17" t="s">
        <v>3535</v>
      </c>
      <c r="B1718" t="s">
        <v>5803</v>
      </c>
      <c r="C1718" s="9" t="str">
        <f>_xlfn.CONCAT(HEX2DEC(MID(Table14[[#This Row],[Color Code]], 1, 2))," , ",HEX2DEC(MID(Table14[[#This Row],[Color Code]], 3, 2))," , ",HEX2DEC(MID(Table14[[#This Row],[Color Code]], 5, 2)))</f>
        <v>142 , 80 , 84</v>
      </c>
      <c r="D17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128.70897404610139</v>
      </c>
      <c r="E1718" t="str">
        <f>Table14[[#This Row],[Color Code]] &amp; " - " &amp;Table14[[#This Row],[Color Name]]</f>
        <v>8E5054 - 9996</v>
      </c>
    </row>
    <row r="1719" spans="1:5" x14ac:dyDescent="0.35">
      <c r="A1719" s="17" t="s">
        <v>4447</v>
      </c>
      <c r="B1719" t="s">
        <v>5221</v>
      </c>
      <c r="C1719" s="9" t="str">
        <f>_xlfn.CONCAT(HEX2DEC(MID(Table14[[#This Row],[Color Code]], 1, 2))," , ",HEX2DEC(MID(Table14[[#This Row],[Color Code]], 3, 2))," , ",HEX2DEC(MID(Table14[[#This Row],[Color Code]], 5, 2)))</f>
        <v>82 , 130 , 105</v>
      </c>
      <c r="D17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128.93796958227628</v>
      </c>
      <c r="E1719" t="str">
        <f>Table14[[#This Row],[Color Code]] &amp; " - " &amp;Table14[[#This Row],[Color Name]]</f>
        <v>528269 - 9747</v>
      </c>
    </row>
    <row r="1720" spans="1:5" x14ac:dyDescent="0.35">
      <c r="A1720" s="17" t="s">
        <v>3508</v>
      </c>
      <c r="B1720" t="s">
        <v>5775</v>
      </c>
      <c r="C1720" s="9" t="str">
        <f>_xlfn.CONCAT(HEX2DEC(MID(Table14[[#This Row],[Color Code]], 1, 2))," , ",HEX2DEC(MID(Table14[[#This Row],[Color Code]], 3, 2))," , ",HEX2DEC(MID(Table14[[#This Row],[Color Code]], 5, 2)))</f>
        <v>163 , 84 , 68</v>
      </c>
      <c r="D17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129.19365309487924</v>
      </c>
      <c r="E1720" t="str">
        <f>Table14[[#This Row],[Color Code]] &amp; " - " &amp;Table14[[#This Row],[Color Name]]</f>
        <v>A35444 - 9975</v>
      </c>
    </row>
    <row r="1721" spans="1:5" x14ac:dyDescent="0.35">
      <c r="A1721" s="17" t="s">
        <v>4065</v>
      </c>
      <c r="B1721" t="s">
        <v>6409</v>
      </c>
      <c r="C1721" s="9" t="str">
        <f>_xlfn.CONCAT(HEX2DEC(MID(Table14[[#This Row],[Color Code]], 1, 2))," , ",HEX2DEC(MID(Table14[[#This Row],[Color Code]], 3, 2))," , ",HEX2DEC(MID(Table14[[#This Row],[Color Code]], 5, 2)))</f>
        <v>135 , 93 , 73</v>
      </c>
      <c r="D17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129.21687196337791</v>
      </c>
      <c r="E1721" t="str">
        <f>Table14[[#This Row],[Color Code]] &amp; " - " &amp;Table14[[#This Row],[Color Name]]</f>
        <v>875D49 - K202</v>
      </c>
    </row>
    <row r="1722" spans="1:5" x14ac:dyDescent="0.35">
      <c r="A1722" s="17" t="s">
        <v>4585</v>
      </c>
      <c r="B1722" t="s">
        <v>6750</v>
      </c>
      <c r="C1722" s="9" t="str">
        <f>_xlfn.CONCAT(HEX2DEC(MID(Table14[[#This Row],[Color Code]], 1, 2))," , ",HEX2DEC(MID(Table14[[#This Row],[Color Code]], 3, 2))," , ",HEX2DEC(MID(Table14[[#This Row],[Color Code]], 5, 2)))</f>
        <v>105 , 82 , 131</v>
      </c>
      <c r="D17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129.59166639873106</v>
      </c>
      <c r="E1722" t="str">
        <f>Table14[[#This Row],[Color Code]] &amp; " - " &amp;Table14[[#This Row],[Color Name]]</f>
        <v>695283 - X186</v>
      </c>
    </row>
    <row r="1723" spans="1:5" x14ac:dyDescent="0.35">
      <c r="A1723" s="17" t="s">
        <v>4501</v>
      </c>
      <c r="B1723" t="s">
        <v>6083</v>
      </c>
      <c r="C1723" s="9" t="str">
        <f>_xlfn.CONCAT(HEX2DEC(MID(Table14[[#This Row],[Color Code]], 1, 2))," , ",HEX2DEC(MID(Table14[[#This Row],[Color Code]], 3, 2))," , ",HEX2DEC(MID(Table14[[#This Row],[Color Code]], 5, 2)))</f>
        <v>102 , 101 , 98</v>
      </c>
      <c r="D17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129.71121771072848</v>
      </c>
      <c r="E1723" t="str">
        <f>Table14[[#This Row],[Color Code]] &amp; " - " &amp;Table14[[#This Row],[Color Name]]</f>
        <v>666562 - 8294</v>
      </c>
    </row>
    <row r="1724" spans="1:5" x14ac:dyDescent="0.35">
      <c r="A1724" s="17" t="s">
        <v>4004</v>
      </c>
      <c r="B1724" t="s">
        <v>6344</v>
      </c>
      <c r="C1724" s="9" t="str">
        <f>_xlfn.CONCAT(HEX2DEC(MID(Table14[[#This Row],[Color Code]], 1, 2))," , ",HEX2DEC(MID(Table14[[#This Row],[Color Code]], 3, 2))," , ",HEX2DEC(MID(Table14[[#This Row],[Color Code]], 5, 2)))</f>
        <v>125 , 100 , 73</v>
      </c>
      <c r="D17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129.76131935210893</v>
      </c>
      <c r="E1724" t="str">
        <f>Table14[[#This Row],[Color Code]] &amp; " - " &amp;Table14[[#This Row],[Color Name]]</f>
        <v>7D6449 - K185</v>
      </c>
    </row>
    <row r="1725" spans="1:5" x14ac:dyDescent="0.35">
      <c r="A1725" s="17" t="s">
        <v>4479</v>
      </c>
      <c r="B1725" t="s">
        <v>5948</v>
      </c>
      <c r="C1725" s="9" t="str">
        <f>_xlfn.CONCAT(HEX2DEC(MID(Table14[[#This Row],[Color Code]], 1, 2))," , ",HEX2DEC(MID(Table14[[#This Row],[Color Code]], 3, 2))," , ",HEX2DEC(MID(Table14[[#This Row],[Color Code]], 5, 2)))</f>
        <v>113 , 85 , 105</v>
      </c>
      <c r="D17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129.77287852244012</v>
      </c>
      <c r="E1725" t="str">
        <f>Table14[[#This Row],[Color Code]] &amp; " - " &amp;Table14[[#This Row],[Color Name]]</f>
        <v>715569 - K052</v>
      </c>
    </row>
    <row r="1726" spans="1:5" x14ac:dyDescent="0.35">
      <c r="A1726" s="17" t="s">
        <v>4515</v>
      </c>
      <c r="B1726" t="s">
        <v>6131</v>
      </c>
      <c r="C1726" s="9" t="str">
        <f>_xlfn.CONCAT(HEX2DEC(MID(Table14[[#This Row],[Color Code]], 1, 2))," , ",HEX2DEC(MID(Table14[[#This Row],[Color Code]], 3, 2))," , ",HEX2DEC(MID(Table14[[#This Row],[Color Code]], 5, 2)))</f>
        <v>97 , 104 , 102</v>
      </c>
      <c r="D17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129.9038105676658</v>
      </c>
      <c r="E1726" t="str">
        <f>Table14[[#This Row],[Color Code]] &amp; " - " &amp;Table14[[#This Row],[Color Name]]</f>
        <v>616866 - 8310</v>
      </c>
    </row>
    <row r="1727" spans="1:5" x14ac:dyDescent="0.35">
      <c r="A1727" s="17" t="s">
        <v>4230</v>
      </c>
      <c r="B1727" t="s">
        <v>6595</v>
      </c>
      <c r="C1727" s="9" t="str">
        <f>_xlfn.CONCAT(HEX2DEC(MID(Table14[[#This Row],[Color Code]], 1, 2))," , ",HEX2DEC(MID(Table14[[#This Row],[Color Code]], 3, 2))," , ",HEX2DEC(MID(Table14[[#This Row],[Color Code]], 5, 2)))</f>
        <v>113 , 94 , 91</v>
      </c>
      <c r="D17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129.99230746471116</v>
      </c>
      <c r="E1727" t="str">
        <f>Table14[[#This Row],[Color Code]] &amp; " - " &amp;Table14[[#This Row],[Color Name]]</f>
        <v>715E5B - 8742</v>
      </c>
    </row>
    <row r="1728" spans="1:5" x14ac:dyDescent="0.35">
      <c r="A1728" s="17" t="s">
        <v>3510</v>
      </c>
      <c r="B1728" t="s">
        <v>5778</v>
      </c>
      <c r="C1728" s="9" t="str">
        <f>_xlfn.CONCAT(HEX2DEC(MID(Table14[[#This Row],[Color Code]], 1, 2))," , ",HEX2DEC(MID(Table14[[#This Row],[Color Code]], 3, 2))," , ",HEX2DEC(MID(Table14[[#This Row],[Color Code]], 5, 2)))</f>
        <v>144 , 81 , 79</v>
      </c>
      <c r="D17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130.06152390311286</v>
      </c>
      <c r="E1728" t="str">
        <f>Table14[[#This Row],[Color Code]] &amp; " - " &amp;Table14[[#This Row],[Color Name]]</f>
        <v>90514F - 9978</v>
      </c>
    </row>
    <row r="1729" spans="1:5" x14ac:dyDescent="0.35">
      <c r="A1729" s="17" t="s">
        <v>3443</v>
      </c>
      <c r="B1729" t="s">
        <v>5705</v>
      </c>
      <c r="C1729" s="9" t="str">
        <f>_xlfn.CONCAT(HEX2DEC(MID(Table14[[#This Row],[Color Code]], 1, 2))," , ",HEX2DEC(MID(Table14[[#This Row],[Color Code]], 3, 2))," , ",HEX2DEC(MID(Table14[[#This Row],[Color Code]], 5, 2)))</f>
        <v>162 , 88 , 63</v>
      </c>
      <c r="D17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130.12686117785213</v>
      </c>
      <c r="E1729" t="str">
        <f>Table14[[#This Row],[Color Code]] &amp; " - " &amp;Table14[[#This Row],[Color Name]]</f>
        <v>A2583F - 9945</v>
      </c>
    </row>
    <row r="1730" spans="1:5" x14ac:dyDescent="0.35">
      <c r="A1730" s="17" t="s">
        <v>4437</v>
      </c>
      <c r="B1730" t="s">
        <v>5175</v>
      </c>
      <c r="C1730" s="9" t="str">
        <f>_xlfn.CONCAT(HEX2DEC(MID(Table14[[#This Row],[Color Code]], 1, 2))," , ",HEX2DEC(MID(Table14[[#This Row],[Color Code]], 3, 2))," , ",HEX2DEC(MID(Table14[[#This Row],[Color Code]], 5, 2)))</f>
        <v>67 , 145 , 134</v>
      </c>
      <c r="D17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130.25359879865124</v>
      </c>
      <c r="E1730" t="str">
        <f>Table14[[#This Row],[Color Code]] &amp; " - " &amp;Table14[[#This Row],[Color Name]]</f>
        <v>439186 - 7526</v>
      </c>
    </row>
    <row r="1731" spans="1:5" x14ac:dyDescent="0.35">
      <c r="A1731" s="17" t="s">
        <v>3513</v>
      </c>
      <c r="B1731" t="s">
        <v>5781</v>
      </c>
      <c r="C1731" s="9" t="str">
        <f>_xlfn.CONCAT(HEX2DEC(MID(Table14[[#This Row],[Color Code]], 1, 2))," , ",HEX2DEC(MID(Table14[[#This Row],[Color Code]], 3, 2))," , ",HEX2DEC(MID(Table14[[#This Row],[Color Code]], 5, 2)))</f>
        <v>212 , 79 , 69</v>
      </c>
      <c r="D17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130.43005788544295</v>
      </c>
      <c r="E1731" t="str">
        <f>Table14[[#This Row],[Color Code]] &amp; " - " &amp;Table14[[#This Row],[Color Name]]</f>
        <v>D44F45 - 8061</v>
      </c>
    </row>
    <row r="1732" spans="1:5" x14ac:dyDescent="0.35">
      <c r="A1732" s="17" t="s">
        <v>4538</v>
      </c>
      <c r="B1732" t="s">
        <v>6294</v>
      </c>
      <c r="C1732" s="9" t="str">
        <f>_xlfn.CONCAT(HEX2DEC(MID(Table14[[#This Row],[Color Code]], 1, 2))," , ",HEX2DEC(MID(Table14[[#This Row],[Color Code]], 3, 2))," , ",HEX2DEC(MID(Table14[[#This Row],[Color Code]], 5, 2)))</f>
        <v>135 , 112 , 56</v>
      </c>
      <c r="D17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130.4568894309534</v>
      </c>
      <c r="E1732" t="str">
        <f>Table14[[#This Row],[Color Code]] &amp; " - " &amp;Table14[[#This Row],[Color Name]]</f>
        <v>877038 - K167</v>
      </c>
    </row>
    <row r="1733" spans="1:5" x14ac:dyDescent="0.35">
      <c r="A1733" s="17" t="s">
        <v>4288</v>
      </c>
      <c r="B1733" t="s">
        <v>6659</v>
      </c>
      <c r="C1733" s="9" t="str">
        <f>_xlfn.CONCAT(HEX2DEC(MID(Table14[[#This Row],[Color Code]], 1, 2))," , ",HEX2DEC(MID(Table14[[#This Row],[Color Code]], 3, 2))," , ",HEX2DEC(MID(Table14[[#This Row],[Color Code]], 5, 2)))</f>
        <v>173 , 91 , 57</v>
      </c>
      <c r="D17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130.46455457326331</v>
      </c>
      <c r="E1733" t="str">
        <f>Table14[[#This Row],[Color Code]] &amp; " - " &amp;Table14[[#This Row],[Color Name]]</f>
        <v>AD5B39 - X207</v>
      </c>
    </row>
    <row r="1734" spans="1:5" x14ac:dyDescent="0.35">
      <c r="A1734" s="17" t="s">
        <v>3365</v>
      </c>
      <c r="B1734" t="s">
        <v>5624</v>
      </c>
      <c r="C1734" s="9" t="str">
        <f>_xlfn.CONCAT(HEX2DEC(MID(Table14[[#This Row],[Color Code]], 1, 2))," , ",HEX2DEC(MID(Table14[[#This Row],[Color Code]], 3, 2))," , ",HEX2DEC(MID(Table14[[#This Row],[Color Code]], 5, 2)))</f>
        <v>250 , 170 , 38</v>
      </c>
      <c r="D17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130.68282213053098</v>
      </c>
      <c r="E1734" t="str">
        <f>Table14[[#This Row],[Color Code]] &amp; " - " &amp;Table14[[#This Row],[Color Name]]</f>
        <v>FAAA26 - 9897</v>
      </c>
    </row>
    <row r="1735" spans="1:5" x14ac:dyDescent="0.35">
      <c r="A1735" s="17" t="s">
        <v>4465</v>
      </c>
      <c r="B1735" t="s">
        <v>5675</v>
      </c>
      <c r="C1735" s="9" t="str">
        <f>_xlfn.CONCAT(HEX2DEC(MID(Table14[[#This Row],[Color Code]], 1, 2))," , ",HEX2DEC(MID(Table14[[#This Row],[Color Code]], 3, 2))," , ",HEX2DEC(MID(Table14[[#This Row],[Color Code]], 5, 2)))</f>
        <v>137 , 89 , 73</v>
      </c>
      <c r="D17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130.93891705677117</v>
      </c>
      <c r="E1735" t="str">
        <f>Table14[[#This Row],[Color Code]] &amp; " - " &amp;Table14[[#This Row],[Color Name]]</f>
        <v>895949 - 9915</v>
      </c>
    </row>
    <row r="1736" spans="1:5" x14ac:dyDescent="0.35">
      <c r="A1736" s="17" t="s">
        <v>4284</v>
      </c>
      <c r="B1736" t="s">
        <v>6655</v>
      </c>
      <c r="C1736" s="9" t="str">
        <f>_xlfn.CONCAT(HEX2DEC(MID(Table14[[#This Row],[Color Code]], 1, 2))," , ",HEX2DEC(MID(Table14[[#This Row],[Color Code]], 3, 2))," , ",HEX2DEC(MID(Table14[[#This Row],[Color Code]], 5, 2)))</f>
        <v>254 , 147 , 43</v>
      </c>
      <c r="D17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131.04197800704932</v>
      </c>
      <c r="E1736" t="str">
        <f>Table14[[#This Row],[Color Code]] &amp; " - " &amp;Table14[[#This Row],[Color Name]]</f>
        <v>FE932B - 7957</v>
      </c>
    </row>
    <row r="1737" spans="1:5" x14ac:dyDescent="0.35">
      <c r="A1737" s="17" t="s">
        <v>2770</v>
      </c>
      <c r="B1737" t="s">
        <v>4982</v>
      </c>
      <c r="C1737" s="9" t="str">
        <f>_xlfn.CONCAT(HEX2DEC(MID(Table14[[#This Row],[Color Code]], 1, 2))," , ",HEX2DEC(MID(Table14[[#This Row],[Color Code]], 3, 2))," , ",HEX2DEC(MID(Table14[[#This Row],[Color Code]], 5, 2)))</f>
        <v>76 , 115 , 144</v>
      </c>
      <c r="D17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131.06105447462264</v>
      </c>
      <c r="E1737" t="str">
        <f>Table14[[#This Row],[Color Code]] &amp; " - " &amp;Table14[[#This Row],[Color Name]]</f>
        <v>4C7390 - 7294</v>
      </c>
    </row>
    <row r="1738" spans="1:5" x14ac:dyDescent="0.35">
      <c r="A1738" s="17" t="s">
        <v>4055</v>
      </c>
      <c r="B1738" t="s">
        <v>6398</v>
      </c>
      <c r="C1738" s="9" t="str">
        <f>_xlfn.CONCAT(HEX2DEC(MID(Table14[[#This Row],[Color Code]], 1, 2))," , ",HEX2DEC(MID(Table14[[#This Row],[Color Code]], 3, 2))," , ",HEX2DEC(MID(Table14[[#This Row],[Color Code]], 5, 2)))</f>
        <v>141 , 98 , 62</v>
      </c>
      <c r="D17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131.0686842842332</v>
      </c>
      <c r="E1738" t="str">
        <f>Table14[[#This Row],[Color Code]] &amp; " - " &amp;Table14[[#This Row],[Color Name]]</f>
        <v>8D623E - K191</v>
      </c>
    </row>
    <row r="1739" spans="1:5" x14ac:dyDescent="0.35">
      <c r="A1739" s="17" t="s">
        <v>3120</v>
      </c>
      <c r="B1739" t="s">
        <v>5374</v>
      </c>
      <c r="C1739" s="9" t="str">
        <f>_xlfn.CONCAT(HEX2DEC(MID(Table14[[#This Row],[Color Code]], 1, 2))," , ",HEX2DEC(MID(Table14[[#This Row],[Color Code]], 3, 2))," , ",HEX2DEC(MID(Table14[[#This Row],[Color Code]], 5, 2)))</f>
        <v>105 , 124 , 71</v>
      </c>
      <c r="D17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131.24785712536413</v>
      </c>
      <c r="E1739" t="str">
        <f>Table14[[#This Row],[Color Code]] &amp; " - " &amp;Table14[[#This Row],[Color Name]]</f>
        <v>697C47 - 9806</v>
      </c>
    </row>
    <row r="1740" spans="1:5" x14ac:dyDescent="0.35">
      <c r="A1740" s="17" t="s">
        <v>3534</v>
      </c>
      <c r="B1740" t="s">
        <v>5802</v>
      </c>
      <c r="C1740" s="9" t="str">
        <f>_xlfn.CONCAT(HEX2DEC(MID(Table14[[#This Row],[Color Code]], 1, 2))," , ",HEX2DEC(MID(Table14[[#This Row],[Color Code]], 3, 2))," , ",HEX2DEC(MID(Table14[[#This Row],[Color Code]], 5, 2)))</f>
        <v>155 , 73 , 81</v>
      </c>
      <c r="D17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131.33544837552427</v>
      </c>
      <c r="E1740" t="str">
        <f>Table14[[#This Row],[Color Code]] &amp; " - " &amp;Table14[[#This Row],[Color Name]]</f>
        <v>9B4951 - 9995</v>
      </c>
    </row>
    <row r="1741" spans="1:5" x14ac:dyDescent="0.35">
      <c r="A1741" s="17" t="s">
        <v>4506</v>
      </c>
      <c r="B1741" t="s">
        <v>6099</v>
      </c>
      <c r="C1741" s="9" t="str">
        <f>_xlfn.CONCAT(HEX2DEC(MID(Table14[[#This Row],[Color Code]], 1, 2))," , ",HEX2DEC(MID(Table14[[#This Row],[Color Code]], 3, 2))," , ",HEX2DEC(MID(Table14[[#This Row],[Color Code]], 5, 2)))</f>
        <v>99 , 101 , 99</v>
      </c>
      <c r="D17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131.38112497615478</v>
      </c>
      <c r="E1741" t="str">
        <f>Table14[[#This Row],[Color Code]] &amp; " - " &amp;Table14[[#This Row],[Color Name]]</f>
        <v>636563 - 8302</v>
      </c>
    </row>
    <row r="1742" spans="1:5" x14ac:dyDescent="0.35">
      <c r="A1742" s="17" t="s">
        <v>2920</v>
      </c>
      <c r="B1742" t="s">
        <v>5147</v>
      </c>
      <c r="C1742" s="9" t="str">
        <f>_xlfn.CONCAT(HEX2DEC(MID(Table14[[#This Row],[Color Code]], 1, 2))," , ",HEX2DEC(MID(Table14[[#This Row],[Color Code]], 3, 2))," , ",HEX2DEC(MID(Table14[[#This Row],[Color Code]], 5, 2)))</f>
        <v>64 , 196 , 176</v>
      </c>
      <c r="D17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131.40015220691336</v>
      </c>
      <c r="E1742" t="str">
        <f>Table14[[#This Row],[Color Code]] &amp; " - " &amp;Table14[[#This Row],[Color Name]]</f>
        <v>40C4B0 - 9271</v>
      </c>
    </row>
    <row r="1743" spans="1:5" x14ac:dyDescent="0.35">
      <c r="A1743" s="17" t="s">
        <v>4476</v>
      </c>
      <c r="B1743" t="s">
        <v>5923</v>
      </c>
      <c r="C1743" s="9" t="str">
        <f>_xlfn.CONCAT(HEX2DEC(MID(Table14[[#This Row],[Color Code]], 1, 2))," , ",HEX2DEC(MID(Table14[[#This Row],[Color Code]], 3, 2))," , ",HEX2DEC(MID(Table14[[#This Row],[Color Code]], 5, 2)))</f>
        <v>129 , 73 , 101</v>
      </c>
      <c r="D17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131.48764200486676</v>
      </c>
      <c r="E1743" t="str">
        <f>Table14[[#This Row],[Color Code]] &amp; " - " &amp;Table14[[#This Row],[Color Name]]</f>
        <v>814965 - 8141</v>
      </c>
    </row>
    <row r="1744" spans="1:5" x14ac:dyDescent="0.35">
      <c r="A1744" s="17" t="s">
        <v>4591</v>
      </c>
      <c r="B1744" t="s">
        <v>6785</v>
      </c>
      <c r="C1744" s="9" t="str">
        <f>_xlfn.CONCAT(HEX2DEC(MID(Table14[[#This Row],[Color Code]], 1, 2))," , ",HEX2DEC(MID(Table14[[#This Row],[Color Code]], 3, 2))," , ",HEX2DEC(MID(Table14[[#This Row],[Color Code]], 5, 2)))</f>
        <v>153 , 72 , 83</v>
      </c>
      <c r="D17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131.58267363144739</v>
      </c>
      <c r="E1744" t="str">
        <f>Table14[[#This Row],[Color Code]] &amp; " - " &amp;Table14[[#This Row],[Color Name]]</f>
        <v>994853 - X198</v>
      </c>
    </row>
    <row r="1745" spans="1:5" x14ac:dyDescent="0.35">
      <c r="A1745" s="17" t="s">
        <v>2958</v>
      </c>
      <c r="B1745" t="s">
        <v>5194</v>
      </c>
      <c r="C1745" s="9" t="str">
        <f>_xlfn.CONCAT(HEX2DEC(MID(Table14[[#This Row],[Color Code]], 1, 2))," , ",HEX2DEC(MID(Table14[[#This Row],[Color Code]], 3, 2))," , ",HEX2DEC(MID(Table14[[#This Row],[Color Code]], 5, 2)))</f>
        <v>63 , 159 , 134</v>
      </c>
      <c r="D17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131.67383946707105</v>
      </c>
      <c r="E1745" t="str">
        <f>Table14[[#This Row],[Color Code]] &amp; " - " &amp;Table14[[#This Row],[Color Name]]</f>
        <v>3F9F86 - 9735</v>
      </c>
    </row>
    <row r="1746" spans="1:5" x14ac:dyDescent="0.35">
      <c r="A1746" s="17" t="s">
        <v>2921</v>
      </c>
      <c r="B1746" t="s">
        <v>5148</v>
      </c>
      <c r="C1746" s="9" t="str">
        <f>_xlfn.CONCAT(HEX2DEC(MID(Table14[[#This Row],[Color Code]], 1, 2))," , ",HEX2DEC(MID(Table14[[#This Row],[Color Code]], 3, 2))," , ",HEX2DEC(MID(Table14[[#This Row],[Color Code]], 5, 2)))</f>
        <v>61 , 184 , 165</v>
      </c>
      <c r="D17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131.68902763708144</v>
      </c>
      <c r="E1746" t="str">
        <f>Table14[[#This Row],[Color Code]] &amp; " - " &amp;Table14[[#This Row],[Color Name]]</f>
        <v>3DB8A5 - 9715</v>
      </c>
    </row>
    <row r="1747" spans="1:5" x14ac:dyDescent="0.35">
      <c r="A1747" s="17" t="s">
        <v>4022</v>
      </c>
      <c r="B1747" t="s">
        <v>6364</v>
      </c>
      <c r="C1747" s="9" t="str">
        <f>_xlfn.CONCAT(HEX2DEC(MID(Table14[[#This Row],[Color Code]], 1, 2))," , ",HEX2DEC(MID(Table14[[#This Row],[Color Code]], 3, 2))," , ",HEX2DEC(MID(Table14[[#This Row],[Color Code]], 5, 2)))</f>
        <v>122 , 96 , 76</v>
      </c>
      <c r="D17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131.84081310428877</v>
      </c>
      <c r="E1747" t="str">
        <f>Table14[[#This Row],[Color Code]] &amp; " - " &amp;Table14[[#This Row],[Color Name]]</f>
        <v>7A604C - 8549</v>
      </c>
    </row>
    <row r="1748" spans="1:5" x14ac:dyDescent="0.35">
      <c r="A1748" s="17" t="s">
        <v>3730</v>
      </c>
      <c r="B1748" t="s">
        <v>6019</v>
      </c>
      <c r="C1748" s="9" t="str">
        <f>_xlfn.CONCAT(HEX2DEC(MID(Table14[[#This Row],[Color Code]], 1, 2))," , ",HEX2DEC(MID(Table14[[#This Row],[Color Code]], 3, 2))," , ",HEX2DEC(MID(Table14[[#This Row],[Color Code]], 5, 2)))</f>
        <v>95 , 100 , 106</v>
      </c>
      <c r="D17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132.04166009256321</v>
      </c>
      <c r="E1748" t="str">
        <f>Table14[[#This Row],[Color Code]] &amp; " - " &amp;Table14[[#This Row],[Color Name]]</f>
        <v>5F646A - 8246</v>
      </c>
    </row>
    <row r="1749" spans="1:5" x14ac:dyDescent="0.35">
      <c r="A1749" s="17" t="s">
        <v>4464</v>
      </c>
      <c r="B1749" t="s">
        <v>5668</v>
      </c>
      <c r="C1749" s="9" t="str">
        <f>_xlfn.CONCAT(HEX2DEC(MID(Table14[[#This Row],[Color Code]], 1, 2))," , ",HEX2DEC(MID(Table14[[#This Row],[Color Code]], 3, 2))," , ",HEX2DEC(MID(Table14[[#This Row],[Color Code]], 5, 2)))</f>
        <v>150 , 89 , 64</v>
      </c>
      <c r="D17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132.06437824031127</v>
      </c>
      <c r="E1749" t="str">
        <f>Table14[[#This Row],[Color Code]] &amp; " - " &amp;Table14[[#This Row],[Color Name]]</f>
        <v>965940 - 9908</v>
      </c>
    </row>
    <row r="1750" spans="1:5" x14ac:dyDescent="0.35">
      <c r="A1750" s="17" t="s">
        <v>2791</v>
      </c>
      <c r="B1750" t="s">
        <v>5006</v>
      </c>
      <c r="C1750" s="9" t="str">
        <f>_xlfn.CONCAT(HEX2DEC(MID(Table14[[#This Row],[Color Code]], 1, 2))," , ",HEX2DEC(MID(Table14[[#This Row],[Color Code]], 3, 2))," , ",HEX2DEC(MID(Table14[[#This Row],[Color Code]], 5, 2)))</f>
        <v>67 , 134 , 168</v>
      </c>
      <c r="D17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132.19304066402285</v>
      </c>
      <c r="E1750" t="str">
        <f>Table14[[#This Row],[Color Code]] &amp; " - " &amp;Table14[[#This Row],[Color Name]]</f>
        <v>4386A8 - 7342</v>
      </c>
    </row>
    <row r="1751" spans="1:5" x14ac:dyDescent="0.35">
      <c r="A1751" s="17" t="s">
        <v>3645</v>
      </c>
      <c r="B1751" t="s">
        <v>5916</v>
      </c>
      <c r="C1751" s="9" t="str">
        <f>_xlfn.CONCAT(HEX2DEC(MID(Table14[[#This Row],[Color Code]], 1, 2))," , ",HEX2DEC(MID(Table14[[#This Row],[Color Code]], 3, 2))," , ",HEX2DEC(MID(Table14[[#This Row],[Color Code]], 5, 2)))</f>
        <v>104 , 93 , 100</v>
      </c>
      <c r="D17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132.26110539383828</v>
      </c>
      <c r="E1751" t="str">
        <f>Table14[[#This Row],[Color Code]] &amp; " - " &amp;Table14[[#This Row],[Color Name]]</f>
        <v>685D64 - K038</v>
      </c>
    </row>
    <row r="1752" spans="1:5" x14ac:dyDescent="0.35">
      <c r="A1752" s="17" t="s">
        <v>3864</v>
      </c>
      <c r="B1752" t="s">
        <v>6185</v>
      </c>
      <c r="C1752" s="9" t="str">
        <f>_xlfn.CONCAT(HEX2DEC(MID(Table14[[#This Row],[Color Code]], 1, 2))," , ",HEX2DEC(MID(Table14[[#This Row],[Color Code]], 3, 2))," , ",HEX2DEC(MID(Table14[[#This Row],[Color Code]], 5, 2)))</f>
        <v>106 , 108 , 80</v>
      </c>
      <c r="D17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132.32535660258014</v>
      </c>
      <c r="E1752" t="str">
        <f>Table14[[#This Row],[Color Code]] &amp; " - " &amp;Table14[[#This Row],[Color Name]]</f>
        <v>6A6C50 - 8413</v>
      </c>
    </row>
    <row r="1753" spans="1:5" x14ac:dyDescent="0.35">
      <c r="A1753" s="17" t="s">
        <v>4281</v>
      </c>
      <c r="B1753" t="s">
        <v>6652</v>
      </c>
      <c r="C1753" s="9" t="str">
        <f>_xlfn.CONCAT(HEX2DEC(MID(Table14[[#This Row],[Color Code]], 1, 2))," , ",HEX2DEC(MID(Table14[[#This Row],[Color Code]], 3, 2))," , ",HEX2DEC(MID(Table14[[#This Row],[Color Code]], 5, 2)))</f>
        <v>168 , 81 , 65</v>
      </c>
      <c r="D17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132.33291351738615</v>
      </c>
      <c r="E1753" t="str">
        <f>Table14[[#This Row],[Color Code]] &amp; " - " &amp;Table14[[#This Row],[Color Name]]</f>
        <v>A85141 - X116</v>
      </c>
    </row>
    <row r="1754" spans="1:5" x14ac:dyDescent="0.35">
      <c r="A1754" s="17" t="s">
        <v>4407</v>
      </c>
      <c r="B1754" t="s">
        <v>4848</v>
      </c>
      <c r="C1754" s="9" t="str">
        <f>_xlfn.CONCAT(HEX2DEC(MID(Table14[[#This Row],[Color Code]], 1, 2))," , ",HEX2DEC(MID(Table14[[#This Row],[Color Code]], 3, 2))," , ",HEX2DEC(MID(Table14[[#This Row],[Color Code]], 5, 2)))</f>
        <v>98 , 89 , 119</v>
      </c>
      <c r="D17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132.39335330748293</v>
      </c>
      <c r="E1754" t="str">
        <f>Table14[[#This Row],[Color Code]] &amp; " - " &amp;Table14[[#This Row],[Color Name]]</f>
        <v>625977 - 9615</v>
      </c>
    </row>
    <row r="1755" spans="1:5" x14ac:dyDescent="0.35">
      <c r="A1755" s="17" t="s">
        <v>3300</v>
      </c>
      <c r="B1755" t="s">
        <v>5559</v>
      </c>
      <c r="C1755" s="9" t="str">
        <f>_xlfn.CONCAT(HEX2DEC(MID(Table14[[#This Row],[Color Code]], 1, 2))," , ",HEX2DEC(MID(Table14[[#This Row],[Color Code]], 3, 2))," , ",HEX2DEC(MID(Table14[[#This Row],[Color Code]], 5, 2)))</f>
        <v>134 , 102 , 61</v>
      </c>
      <c r="D17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132.39712987825681</v>
      </c>
      <c r="E1755" t="str">
        <f>Table14[[#This Row],[Color Code]] &amp; " - " &amp;Table14[[#This Row],[Color Name]]</f>
        <v>86663D - 9883</v>
      </c>
    </row>
    <row r="1756" spans="1:5" x14ac:dyDescent="0.35">
      <c r="A1756" s="17" t="s">
        <v>4271</v>
      </c>
      <c r="B1756" t="s">
        <v>6642</v>
      </c>
      <c r="C1756" s="9" t="str">
        <f>_xlfn.CONCAT(HEX2DEC(MID(Table14[[#This Row],[Color Code]], 1, 2))," , ",HEX2DEC(MID(Table14[[#This Row],[Color Code]], 3, 2))," , ",HEX2DEC(MID(Table14[[#This Row],[Color Code]], 5, 2)))</f>
        <v>188 , 77 , 66</v>
      </c>
      <c r="D17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132.44244032786469</v>
      </c>
      <c r="E1756" t="str">
        <f>Table14[[#This Row],[Color Code]] &amp; " - " &amp;Table14[[#This Row],[Color Name]]</f>
        <v>BC4D42 - X117</v>
      </c>
    </row>
    <row r="1757" spans="1:5" x14ac:dyDescent="0.35">
      <c r="A1757" s="17" t="s">
        <v>3804</v>
      </c>
      <c r="B1757" t="s">
        <v>6113</v>
      </c>
      <c r="C1757" s="9" t="str">
        <f>_xlfn.CONCAT(HEX2DEC(MID(Table14[[#This Row],[Color Code]], 1, 2))," , ",HEX2DEC(MID(Table14[[#This Row],[Color Code]], 3, 2))," , ",HEX2DEC(MID(Table14[[#This Row],[Color Code]], 5, 2)))</f>
        <v>102 , 100 , 93</v>
      </c>
      <c r="D17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132.54810447531869</v>
      </c>
      <c r="E1757" t="str">
        <f>Table14[[#This Row],[Color Code]] &amp; " - " &amp;Table14[[#This Row],[Color Name]]</f>
        <v>66645D - K119</v>
      </c>
    </row>
    <row r="1758" spans="1:5" x14ac:dyDescent="0.35">
      <c r="A1758" s="17" t="s">
        <v>3518</v>
      </c>
      <c r="B1758" t="s">
        <v>5786</v>
      </c>
      <c r="C1758" s="9" t="str">
        <f>_xlfn.CONCAT(HEX2DEC(MID(Table14[[#This Row],[Color Code]], 1, 2))," , ",HEX2DEC(MID(Table14[[#This Row],[Color Code]], 3, 2))," , ",HEX2DEC(MID(Table14[[#This Row],[Color Code]], 5, 2)))</f>
        <v>144 , 80 , 76</v>
      </c>
      <c r="D17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132.55187663703597</v>
      </c>
      <c r="E1758" t="str">
        <f>Table14[[#This Row],[Color Code]] &amp; " - " &amp;Table14[[#This Row],[Color Name]]</f>
        <v>90504C - 9985</v>
      </c>
    </row>
    <row r="1759" spans="1:5" x14ac:dyDescent="0.35">
      <c r="A1759" s="17" t="s">
        <v>4472</v>
      </c>
      <c r="B1759" t="s">
        <v>5777</v>
      </c>
      <c r="C1759" s="9" t="str">
        <f>_xlfn.CONCAT(HEX2DEC(MID(Table14[[#This Row],[Color Code]], 1, 2))," , ",HEX2DEC(MID(Table14[[#This Row],[Color Code]], 3, 2))," , ",HEX2DEC(MID(Table14[[#This Row],[Color Code]], 5, 2)))</f>
        <v>146 , 81 , 73</v>
      </c>
      <c r="D17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132.95111883696202</v>
      </c>
      <c r="E1759" t="str">
        <f>Table14[[#This Row],[Color Code]] &amp; " - " &amp;Table14[[#This Row],[Color Name]]</f>
        <v>925149 - 9977</v>
      </c>
    </row>
    <row r="1760" spans="1:5" x14ac:dyDescent="0.35">
      <c r="A1760" s="17" t="s">
        <v>4384</v>
      </c>
      <c r="B1760" t="s">
        <v>6768</v>
      </c>
      <c r="C1760" s="9" t="str">
        <f>_xlfn.CONCAT(HEX2DEC(MID(Table14[[#This Row],[Color Code]], 1, 2))," , ",HEX2DEC(MID(Table14[[#This Row],[Color Code]], 3, 2))," , ",HEX2DEC(MID(Table14[[#This Row],[Color Code]], 5, 2)))</f>
        <v>143 , 71 , 88</v>
      </c>
      <c r="D17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133.06389442670013</v>
      </c>
      <c r="E1760" t="str">
        <f>Table14[[#This Row],[Color Code]] &amp; " - " &amp;Table14[[#This Row],[Color Name]]</f>
        <v>8F4758 - X131</v>
      </c>
    </row>
    <row r="1761" spans="1:5" x14ac:dyDescent="0.35">
      <c r="A1761" s="17" t="s">
        <v>3514</v>
      </c>
      <c r="B1761" t="s">
        <v>5782</v>
      </c>
      <c r="C1761" s="9" t="str">
        <f>_xlfn.CONCAT(HEX2DEC(MID(Table14[[#This Row],[Color Code]], 1, 2))," , ",HEX2DEC(MID(Table14[[#This Row],[Color Code]], 3, 2))," , ",HEX2DEC(MID(Table14[[#This Row],[Color Code]], 5, 2)))</f>
        <v>194 , 76 , 66</v>
      </c>
      <c r="D17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133.13902508280583</v>
      </c>
      <c r="E1761" t="str">
        <f>Table14[[#This Row],[Color Code]] &amp; " - " &amp;Table14[[#This Row],[Color Name]]</f>
        <v>C24C42 - 9981</v>
      </c>
    </row>
    <row r="1762" spans="1:5" x14ac:dyDescent="0.35">
      <c r="A1762" s="17" t="s">
        <v>2895</v>
      </c>
      <c r="B1762" t="s">
        <v>5119</v>
      </c>
      <c r="C1762" s="9" t="str">
        <f>_xlfn.CONCAT(HEX2DEC(MID(Table14[[#This Row],[Color Code]], 1, 2))," , ",HEX2DEC(MID(Table14[[#This Row],[Color Code]], 3, 2))," , ",HEX2DEC(MID(Table14[[#This Row],[Color Code]], 5, 2)))</f>
        <v>72 , 124 , 128</v>
      </c>
      <c r="D17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133.15404612703287</v>
      </c>
      <c r="E1762" t="str">
        <f>Table14[[#This Row],[Color Code]] &amp; " - " &amp;Table14[[#This Row],[Color Name]]</f>
        <v>487C80 - 7470</v>
      </c>
    </row>
    <row r="1763" spans="1:5" x14ac:dyDescent="0.35">
      <c r="A1763" s="17" t="s">
        <v>4414</v>
      </c>
      <c r="B1763" t="s">
        <v>4935</v>
      </c>
      <c r="C1763" s="9" t="str">
        <f>_xlfn.CONCAT(HEX2DEC(MID(Table14[[#This Row],[Color Code]], 1, 2))," , ",HEX2DEC(MID(Table14[[#This Row],[Color Code]], 3, 2))," , ",HEX2DEC(MID(Table14[[#This Row],[Color Code]], 5, 2)))</f>
        <v>83 , 102 , 132</v>
      </c>
      <c r="D17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133.18783728253868</v>
      </c>
      <c r="E1763" t="str">
        <f>Table14[[#This Row],[Color Code]] &amp; " - " &amp;Table14[[#This Row],[Color Name]]</f>
        <v>536684 - 9634</v>
      </c>
    </row>
    <row r="1764" spans="1:5" x14ac:dyDescent="0.35">
      <c r="A1764" s="17" t="s">
        <v>4056</v>
      </c>
      <c r="B1764" t="s">
        <v>6400</v>
      </c>
      <c r="C1764" s="9" t="str">
        <f>_xlfn.CONCAT(HEX2DEC(MID(Table14[[#This Row],[Color Code]], 1, 2))," , ",HEX2DEC(MID(Table14[[#This Row],[Color Code]], 3, 2))," , ",HEX2DEC(MID(Table14[[#This Row],[Color Code]], 5, 2)))</f>
        <v>141 , 93 , 63</v>
      </c>
      <c r="D17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133.37541002748594</v>
      </c>
      <c r="E1764" t="str">
        <f>Table14[[#This Row],[Color Code]] &amp; " - " &amp;Table14[[#This Row],[Color Name]]</f>
        <v>8D5D3F - K193</v>
      </c>
    </row>
    <row r="1765" spans="1:5" x14ac:dyDescent="0.35">
      <c r="A1765" s="17" t="s">
        <v>4510</v>
      </c>
      <c r="B1765" t="s">
        <v>6107</v>
      </c>
      <c r="C1765" s="9" t="str">
        <f>_xlfn.CONCAT(HEX2DEC(MID(Table14[[#This Row],[Color Code]], 1, 2))," , ",HEX2DEC(MID(Table14[[#This Row],[Color Code]], 3, 2))," , ",HEX2DEC(MID(Table14[[#This Row],[Color Code]], 5, 2)))</f>
        <v>99 , 98 , 98</v>
      </c>
      <c r="D17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133.51778907696158</v>
      </c>
      <c r="E1765" t="str">
        <f>Table14[[#This Row],[Color Code]] &amp; " - " &amp;Table14[[#This Row],[Color Name]]</f>
        <v>636262 - K113</v>
      </c>
    </row>
    <row r="1766" spans="1:5" x14ac:dyDescent="0.35">
      <c r="A1766" s="17" t="s">
        <v>3746</v>
      </c>
      <c r="B1766" t="s">
        <v>6035</v>
      </c>
      <c r="C1766" s="9" t="str">
        <f>_xlfn.CONCAT(HEX2DEC(MID(Table14[[#This Row],[Color Code]], 1, 2))," , ",HEX2DEC(MID(Table14[[#This Row],[Color Code]], 3, 2))," , ",HEX2DEC(MID(Table14[[#This Row],[Color Code]], 5, 2)))</f>
        <v>93 , 100 , 106</v>
      </c>
      <c r="D17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133.51778907696158</v>
      </c>
      <c r="E1766" t="str">
        <f>Table14[[#This Row],[Color Code]] &amp; " - " &amp;Table14[[#This Row],[Color Name]]</f>
        <v>5D646A - 8254</v>
      </c>
    </row>
    <row r="1767" spans="1:5" x14ac:dyDescent="0.35">
      <c r="A1767" s="17" t="s">
        <v>3575</v>
      </c>
      <c r="B1767" t="s">
        <v>5844</v>
      </c>
      <c r="C1767" s="9" t="str">
        <f>_xlfn.CONCAT(HEX2DEC(MID(Table14[[#This Row],[Color Code]], 1, 2))," , ",HEX2DEC(MID(Table14[[#This Row],[Color Code]], 3, 2))," , ",HEX2DEC(MID(Table14[[#This Row],[Color Code]], 5, 2)))</f>
        <v>165 , 70 , 77</v>
      </c>
      <c r="D17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133.55897573731238</v>
      </c>
      <c r="E1767" t="str">
        <f>Table14[[#This Row],[Color Code]] &amp; " - " &amp;Table14[[#This Row],[Color Name]]</f>
        <v>A5464D - K004</v>
      </c>
    </row>
    <row r="1768" spans="1:5" x14ac:dyDescent="0.35">
      <c r="A1768" s="17" t="s">
        <v>4052</v>
      </c>
      <c r="B1768" t="s">
        <v>6395</v>
      </c>
      <c r="C1768" s="9" t="str">
        <f>_xlfn.CONCAT(HEX2DEC(MID(Table14[[#This Row],[Color Code]], 1, 2))," , ",HEX2DEC(MID(Table14[[#This Row],[Color Code]], 3, 2))," , ",HEX2DEC(MID(Table14[[#This Row],[Color Code]], 5, 2)))</f>
        <v>128 , 93 , 71</v>
      </c>
      <c r="D17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133.70115930686615</v>
      </c>
      <c r="E1768" t="str">
        <f>Table14[[#This Row],[Color Code]] &amp; " - " &amp;Table14[[#This Row],[Color Name]]</f>
        <v>805D47 - 8581</v>
      </c>
    </row>
    <row r="1769" spans="1:5" x14ac:dyDescent="0.35">
      <c r="A1769" s="17" t="s">
        <v>3430</v>
      </c>
      <c r="B1769" t="s">
        <v>5692</v>
      </c>
      <c r="C1769" s="9" t="str">
        <f>_xlfn.CONCAT(HEX2DEC(MID(Table14[[#This Row],[Color Code]], 1, 2))," , ",HEX2DEC(MID(Table14[[#This Row],[Color Code]], 3, 2))," , ",HEX2DEC(MID(Table14[[#This Row],[Color Code]], 5, 2)))</f>
        <v>123 , 89 , 79</v>
      </c>
      <c r="D17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133.91415160467545</v>
      </c>
      <c r="E1769" t="str">
        <f>Table14[[#This Row],[Color Code]] &amp; " - " &amp;Table14[[#This Row],[Color Name]]</f>
        <v>7B594F - 9932</v>
      </c>
    </row>
    <row r="1770" spans="1:5" x14ac:dyDescent="0.35">
      <c r="A1770" s="17" t="s">
        <v>4107</v>
      </c>
      <c r="B1770" t="s">
        <v>6454</v>
      </c>
      <c r="C1770" s="9" t="str">
        <f>_xlfn.CONCAT(HEX2DEC(MID(Table14[[#This Row],[Color Code]], 1, 2))," , ",HEX2DEC(MID(Table14[[#This Row],[Color Code]], 3, 2))," , ",HEX2DEC(MID(Table14[[#This Row],[Color Code]], 5, 2)))</f>
        <v>132 , 85 , 76</v>
      </c>
      <c r="D17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133.94401815684043</v>
      </c>
      <c r="E1770" t="str">
        <f>Table14[[#This Row],[Color Code]] &amp; " - " &amp;Table14[[#This Row],[Color Name]]</f>
        <v>84554C - K213</v>
      </c>
    </row>
    <row r="1771" spans="1:5" x14ac:dyDescent="0.35">
      <c r="A1771" s="17" t="s">
        <v>3850</v>
      </c>
      <c r="B1771" t="s">
        <v>6170</v>
      </c>
      <c r="C1771" s="9" t="str">
        <f>_xlfn.CONCAT(HEX2DEC(MID(Table14[[#This Row],[Color Code]], 1, 2))," , ",HEX2DEC(MID(Table14[[#This Row],[Color Code]], 3, 2))," , ",HEX2DEC(MID(Table14[[#This Row],[Color Code]], 5, 2)))</f>
        <v>96 , 106 , 92</v>
      </c>
      <c r="D17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133.96268137059664</v>
      </c>
      <c r="E1771" t="str">
        <f>Table14[[#This Row],[Color Code]] &amp; " - " &amp;Table14[[#This Row],[Color Name]]</f>
        <v>606A5C - K146</v>
      </c>
    </row>
    <row r="1772" spans="1:5" x14ac:dyDescent="0.35">
      <c r="A1772" s="17" t="s">
        <v>3423</v>
      </c>
      <c r="B1772" t="s">
        <v>5684</v>
      </c>
      <c r="C1772" s="9" t="str">
        <f>_xlfn.CONCAT(HEX2DEC(MID(Table14[[#This Row],[Color Code]], 1, 2))," , ",HEX2DEC(MID(Table14[[#This Row],[Color Code]], 3, 2))," , ",HEX2DEC(MID(Table14[[#This Row],[Color Code]], 5, 2)))</f>
        <v>151 , 79 , 71</v>
      </c>
      <c r="D17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133.98880550254935</v>
      </c>
      <c r="E1772" t="str">
        <f>Table14[[#This Row],[Color Code]] &amp; " - " &amp;Table14[[#This Row],[Color Name]]</f>
        <v>974F47 - 9924</v>
      </c>
    </row>
    <row r="1773" spans="1:5" x14ac:dyDescent="0.35">
      <c r="A1773" s="17" t="s">
        <v>4263</v>
      </c>
      <c r="B1773" t="s">
        <v>6633</v>
      </c>
      <c r="C1773" s="9" t="str">
        <f>_xlfn.CONCAT(HEX2DEC(MID(Table14[[#This Row],[Color Code]], 1, 2))," , ",HEX2DEC(MID(Table14[[#This Row],[Color Code]], 3, 2))," , ",HEX2DEC(MID(Table14[[#This Row],[Color Code]], 5, 2)))</f>
        <v>160 , 70 , 78</v>
      </c>
      <c r="D17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134.08206442324789</v>
      </c>
      <c r="E1773" t="str">
        <f>Table14[[#This Row],[Color Code]] &amp; " - " &amp;Table14[[#This Row],[Color Name]]</f>
        <v>A0464E - X185</v>
      </c>
    </row>
    <row r="1774" spans="1:5" x14ac:dyDescent="0.35">
      <c r="A1774" s="17" t="s">
        <v>3845</v>
      </c>
      <c r="B1774" t="s">
        <v>6163</v>
      </c>
      <c r="C1774" s="9" t="str">
        <f>_xlfn.CONCAT(HEX2DEC(MID(Table14[[#This Row],[Color Code]], 1, 2))," , ",HEX2DEC(MID(Table14[[#This Row],[Color Code]], 3, 2))," , ",HEX2DEC(MID(Table14[[#This Row],[Color Code]], 5, 2)))</f>
        <v>91 , 106 , 100</v>
      </c>
      <c r="D17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134.11562175973387</v>
      </c>
      <c r="E1774" t="str">
        <f>Table14[[#This Row],[Color Code]] &amp; " - " &amp;Table14[[#This Row],[Color Name]]</f>
        <v>5B6A64 - K140</v>
      </c>
    </row>
    <row r="1775" spans="1:5" x14ac:dyDescent="0.35">
      <c r="A1775" s="17" t="s">
        <v>4404</v>
      </c>
      <c r="B1775" t="s">
        <v>4823</v>
      </c>
      <c r="C1775" s="9" t="str">
        <f>_xlfn.CONCAT(HEX2DEC(MID(Table14[[#This Row],[Color Code]], 1, 2))," , ",HEX2DEC(MID(Table14[[#This Row],[Color Code]], 3, 2))," , ",HEX2DEC(MID(Table14[[#This Row],[Color Code]], 5, 2)))</f>
        <v>117 , 71 , 115</v>
      </c>
      <c r="D17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134.31678971744373</v>
      </c>
      <c r="E1775" t="str">
        <f>Table14[[#This Row],[Color Code]] &amp; " - " &amp;Table14[[#This Row],[Color Name]]</f>
        <v>754773 - 9599</v>
      </c>
    </row>
    <row r="1776" spans="1:5" x14ac:dyDescent="0.35">
      <c r="A1776" s="17" t="s">
        <v>4481</v>
      </c>
      <c r="B1776" t="s">
        <v>5963</v>
      </c>
      <c r="C1776" s="9" t="str">
        <f>_xlfn.CONCAT(HEX2DEC(MID(Table14[[#This Row],[Color Code]], 1, 2))," , ",HEX2DEC(MID(Table14[[#This Row],[Color Code]], 3, 2))," , ",HEX2DEC(MID(Table14[[#This Row],[Color Code]], 5, 2)))</f>
        <v>105 , 88 , 101</v>
      </c>
      <c r="D17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134.36517405935214</v>
      </c>
      <c r="E1776" t="str">
        <f>Table14[[#This Row],[Color Code]] &amp; " - " &amp;Table14[[#This Row],[Color Name]]</f>
        <v>695865 - K059</v>
      </c>
    </row>
    <row r="1777" spans="1:5" x14ac:dyDescent="0.35">
      <c r="A1777" s="17" t="s">
        <v>4066</v>
      </c>
      <c r="B1777" t="s">
        <v>6410</v>
      </c>
      <c r="C1777" s="9" t="str">
        <f>_xlfn.CONCAT(HEX2DEC(MID(Table14[[#This Row],[Color Code]], 1, 2))," , ",HEX2DEC(MID(Table14[[#This Row],[Color Code]], 3, 2))," , ",HEX2DEC(MID(Table14[[#This Row],[Color Code]], 5, 2)))</f>
        <v>126 , 91 , 73</v>
      </c>
      <c r="D17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134.6699669562594</v>
      </c>
      <c r="E1777" t="str">
        <f>Table14[[#This Row],[Color Code]] &amp; " - " &amp;Table14[[#This Row],[Color Name]]</f>
        <v>7E5B49 - K203</v>
      </c>
    </row>
    <row r="1778" spans="1:5" x14ac:dyDescent="0.35">
      <c r="A1778" s="17" t="s">
        <v>4466</v>
      </c>
      <c r="B1778" t="s">
        <v>5691</v>
      </c>
      <c r="C1778" s="9" t="str">
        <f>_xlfn.CONCAT(HEX2DEC(MID(Table14[[#This Row],[Color Code]], 1, 2))," , ",HEX2DEC(MID(Table14[[#This Row],[Color Code]], 3, 2))," , ",HEX2DEC(MID(Table14[[#This Row],[Color Code]], 5, 2)))</f>
        <v>130 , 88 , 73</v>
      </c>
      <c r="D17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134.67367968537877</v>
      </c>
      <c r="E1778" t="str">
        <f>Table14[[#This Row],[Color Code]] &amp; " - " &amp;Table14[[#This Row],[Color Name]]</f>
        <v>825849 - 9931</v>
      </c>
    </row>
    <row r="1779" spans="1:5" x14ac:dyDescent="0.35">
      <c r="A1779" s="17" t="s">
        <v>2798</v>
      </c>
      <c r="B1779" t="s">
        <v>5013</v>
      </c>
      <c r="C1779" s="9" t="str">
        <f>_xlfn.CONCAT(HEX2DEC(MID(Table14[[#This Row],[Color Code]], 1, 2))," , ",HEX2DEC(MID(Table14[[#This Row],[Color Code]], 3, 2))," , ",HEX2DEC(MID(Table14[[#This Row],[Color Code]], 5, 2)))</f>
        <v>68 , 167 , 207</v>
      </c>
      <c r="D17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134.69966592386189</v>
      </c>
      <c r="E1779" t="str">
        <f>Table14[[#This Row],[Color Code]] &amp; " - " &amp;Table14[[#This Row],[Color Name]]</f>
        <v>44A7CF - 9662</v>
      </c>
    </row>
    <row r="1780" spans="1:5" x14ac:dyDescent="0.35">
      <c r="A1780" s="17" t="s">
        <v>3622</v>
      </c>
      <c r="B1780" t="s">
        <v>5892</v>
      </c>
      <c r="C1780" s="9" t="str">
        <f>_xlfn.CONCAT(HEX2DEC(MID(Table14[[#This Row],[Color Code]], 1, 2))," , ",HEX2DEC(MID(Table14[[#This Row],[Color Code]], 3, 2))," , ",HEX2DEC(MID(Table14[[#This Row],[Color Code]], 5, 2)))</f>
        <v>132 , 72 , 92</v>
      </c>
      <c r="D17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134.82581355215328</v>
      </c>
      <c r="E1780" t="str">
        <f>Table14[[#This Row],[Color Code]] &amp; " - " &amp;Table14[[#This Row],[Color Name]]</f>
        <v>84485C - K021</v>
      </c>
    </row>
    <row r="1781" spans="1:5" x14ac:dyDescent="0.35">
      <c r="A1781" s="17" t="s">
        <v>4217</v>
      </c>
      <c r="B1781" t="s">
        <v>6577</v>
      </c>
      <c r="C1781" s="9" t="str">
        <f>_xlfn.CONCAT(HEX2DEC(MID(Table14[[#This Row],[Color Code]], 1, 2))," , ",HEX2DEC(MID(Table14[[#This Row],[Color Code]], 3, 2))," , ",HEX2DEC(MID(Table14[[#This Row],[Color Code]], 5, 2)))</f>
        <v>114 , 91 , 84</v>
      </c>
      <c r="D17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134.83693855913521</v>
      </c>
      <c r="E1781" t="str">
        <f>Table14[[#This Row],[Color Code]] &amp; " - " &amp;Table14[[#This Row],[Color Name]]</f>
        <v>725B54 - K270</v>
      </c>
    </row>
    <row r="1782" spans="1:5" x14ac:dyDescent="0.35">
      <c r="A1782" s="17" t="s">
        <v>4057</v>
      </c>
      <c r="B1782" t="s">
        <v>6401</v>
      </c>
      <c r="C1782" s="9" t="str">
        <f>_xlfn.CONCAT(HEX2DEC(MID(Table14[[#This Row],[Color Code]], 1, 2))," , ",HEX2DEC(MID(Table14[[#This Row],[Color Code]], 3, 2))," , ",HEX2DEC(MID(Table14[[#This Row],[Color Code]], 5, 2)))</f>
        <v>135 , 93 , 64</v>
      </c>
      <c r="D17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135.10736471414131</v>
      </c>
      <c r="E1782" t="str">
        <f>Table14[[#This Row],[Color Code]] &amp; " - " &amp;Table14[[#This Row],[Color Name]]</f>
        <v>875D40 - K194</v>
      </c>
    </row>
    <row r="1783" spans="1:5" x14ac:dyDescent="0.35">
      <c r="A1783" s="17" t="s">
        <v>4315</v>
      </c>
      <c r="B1783" t="s">
        <v>6686</v>
      </c>
      <c r="C1783" s="9" t="str">
        <f>_xlfn.CONCAT(HEX2DEC(MID(Table14[[#This Row],[Color Code]], 1, 2))," , ",HEX2DEC(MID(Table14[[#This Row],[Color Code]], 3, 2))," , ",HEX2DEC(MID(Table14[[#This Row],[Color Code]], 5, 2)))</f>
        <v>254 , 202 , 38</v>
      </c>
      <c r="D17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135.13696755514385</v>
      </c>
      <c r="E1783" t="str">
        <f>Table14[[#This Row],[Color Code]] &amp; " - " &amp;Table14[[#This Row],[Color Name]]</f>
        <v>FECA26 - 7861</v>
      </c>
    </row>
    <row r="1784" spans="1:5" x14ac:dyDescent="0.35">
      <c r="A1784" s="17" t="s">
        <v>4592</v>
      </c>
      <c r="B1784" t="s">
        <v>6786</v>
      </c>
      <c r="C1784" s="9" t="str">
        <f>_xlfn.CONCAT(HEX2DEC(MID(Table14[[#This Row],[Color Code]], 1, 2))," , ",HEX2DEC(MID(Table14[[#This Row],[Color Code]], 3, 2))," , ",HEX2DEC(MID(Table14[[#This Row],[Color Code]], 5, 2)))</f>
        <v>144 , 71 , 83</v>
      </c>
      <c r="D17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135.29227620230211</v>
      </c>
      <c r="E1784" t="str">
        <f>Table14[[#This Row],[Color Code]] &amp; " - " &amp;Table14[[#This Row],[Color Name]]</f>
        <v>904753 - X197</v>
      </c>
    </row>
    <row r="1785" spans="1:5" x14ac:dyDescent="0.35">
      <c r="A1785" s="17" t="s">
        <v>4294</v>
      </c>
      <c r="B1785" t="s">
        <v>6665</v>
      </c>
      <c r="C1785" s="9" t="str">
        <f>_xlfn.CONCAT(HEX2DEC(MID(Table14[[#This Row],[Color Code]], 1, 2))," , ",HEX2DEC(MID(Table14[[#This Row],[Color Code]], 3, 2))," , ",HEX2DEC(MID(Table14[[#This Row],[Color Code]], 5, 2)))</f>
        <v>251 , 161 , 34</v>
      </c>
      <c r="D17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135.34400614729859</v>
      </c>
      <c r="E1785" t="str">
        <f>Table14[[#This Row],[Color Code]] &amp; " - " &amp;Table14[[#This Row],[Color Name]]</f>
        <v>FBA122 - X220</v>
      </c>
    </row>
    <row r="1786" spans="1:5" x14ac:dyDescent="0.35">
      <c r="A1786" s="17" t="s">
        <v>3049</v>
      </c>
      <c r="B1786" t="s">
        <v>5294</v>
      </c>
      <c r="C1786" s="9" t="str">
        <f>_xlfn.CONCAT(HEX2DEC(MID(Table14[[#This Row],[Color Code]], 1, 2))," , ",HEX2DEC(MID(Table14[[#This Row],[Color Code]], 3, 2))," , ",HEX2DEC(MID(Table14[[#This Row],[Color Code]], 5, 2)))</f>
        <v>87 , 145 , 75</v>
      </c>
      <c r="D17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135.36986370680884</v>
      </c>
      <c r="E1786" t="str">
        <f>Table14[[#This Row],[Color Code]] &amp; " - " &amp;Table14[[#This Row],[Color Name]]</f>
        <v>57914B - 9775</v>
      </c>
    </row>
    <row r="1787" spans="1:5" x14ac:dyDescent="0.35">
      <c r="A1787" s="17" t="s">
        <v>4589</v>
      </c>
      <c r="B1787" t="s">
        <v>6777</v>
      </c>
      <c r="C1787" s="9" t="str">
        <f>_xlfn.CONCAT(HEX2DEC(MID(Table14[[#This Row],[Color Code]], 1, 2))," , ",HEX2DEC(MID(Table14[[#This Row],[Color Code]], 3, 2))," , ",HEX2DEC(MID(Table14[[#This Row],[Color Code]], 5, 2)))</f>
        <v>128 , 78 , 85</v>
      </c>
      <c r="D17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135.66502865514016</v>
      </c>
      <c r="E1787" t="str">
        <f>Table14[[#This Row],[Color Code]] &amp; " - " &amp;Table14[[#This Row],[Color Name]]</f>
        <v>804E55 - X130</v>
      </c>
    </row>
    <row r="1788" spans="1:5" x14ac:dyDescent="0.35">
      <c r="A1788" s="17" t="s">
        <v>3543</v>
      </c>
      <c r="B1788" t="s">
        <v>5812</v>
      </c>
      <c r="C1788" s="9" t="str">
        <f>_xlfn.CONCAT(HEX2DEC(MID(Table14[[#This Row],[Color Code]], 1, 2))," , ",HEX2DEC(MID(Table14[[#This Row],[Color Code]], 3, 2))," , ",HEX2DEC(MID(Table14[[#This Row],[Color Code]], 5, 2)))</f>
        <v>176 , 72 , 68</v>
      </c>
      <c r="D17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135.77186748365804</v>
      </c>
      <c r="E1788" t="str">
        <f>Table14[[#This Row],[Color Code]] &amp; " - " &amp;Table14[[#This Row],[Color Name]]</f>
        <v>B04844 - 9998</v>
      </c>
    </row>
    <row r="1789" spans="1:5" x14ac:dyDescent="0.35">
      <c r="A1789" s="17" t="s">
        <v>3843</v>
      </c>
      <c r="B1789" t="s">
        <v>6161</v>
      </c>
      <c r="C1789" s="9" t="str">
        <f>_xlfn.CONCAT(HEX2DEC(MID(Table14[[#This Row],[Color Code]], 1, 2))," , ",HEX2DEC(MID(Table14[[#This Row],[Color Code]], 3, 2))," , ",HEX2DEC(MID(Table14[[#This Row],[Color Code]], 5, 2)))</f>
        <v>93 , 104 , 95</v>
      </c>
      <c r="D17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135.80132547217644</v>
      </c>
      <c r="E1789" t="str">
        <f>Table14[[#This Row],[Color Code]] &amp; " - " &amp;Table14[[#This Row],[Color Name]]</f>
        <v>5D685F - K138</v>
      </c>
    </row>
    <row r="1790" spans="1:5" x14ac:dyDescent="0.35">
      <c r="A1790" s="17" t="s">
        <v>3160</v>
      </c>
      <c r="B1790" t="s">
        <v>5416</v>
      </c>
      <c r="C1790" s="9" t="str">
        <f>_xlfn.CONCAT(HEX2DEC(MID(Table14[[#This Row],[Color Code]], 1, 2))," , ",HEX2DEC(MID(Table14[[#This Row],[Color Code]], 3, 2))," , ",HEX2DEC(MID(Table14[[#This Row],[Color Code]], 5, 2)))</f>
        <v>116 , 110 , 63</v>
      </c>
      <c r="D17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135.88598161694236</v>
      </c>
      <c r="E1790" t="str">
        <f>Table14[[#This Row],[Color Code]] &amp; " - " &amp;Table14[[#This Row],[Color Name]]</f>
        <v>746E3F - 9840</v>
      </c>
    </row>
    <row r="1791" spans="1:5" x14ac:dyDescent="0.35">
      <c r="A1791" s="17" t="s">
        <v>4067</v>
      </c>
      <c r="B1791" t="s">
        <v>6411</v>
      </c>
      <c r="C1791" s="9" t="str">
        <f>_xlfn.CONCAT(HEX2DEC(MID(Table14[[#This Row],[Color Code]], 1, 2))," , ",HEX2DEC(MID(Table14[[#This Row],[Color Code]], 3, 2))," , ",HEX2DEC(MID(Table14[[#This Row],[Color Code]], 5, 2)))</f>
        <v>120 , 92 , 75</v>
      </c>
      <c r="D17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135.91541487263319</v>
      </c>
      <c r="E1791" t="str">
        <f>Table14[[#This Row],[Color Code]] &amp; " - " &amp;Table14[[#This Row],[Color Name]]</f>
        <v>785C4B - K204</v>
      </c>
    </row>
    <row r="1792" spans="1:5" x14ac:dyDescent="0.35">
      <c r="A1792" s="17" t="s">
        <v>3722</v>
      </c>
      <c r="B1792" t="s">
        <v>6011</v>
      </c>
      <c r="C1792" s="9" t="str">
        <f>_xlfn.CONCAT(HEX2DEC(MID(Table14[[#This Row],[Color Code]], 1, 2))," , ",HEX2DEC(MID(Table14[[#This Row],[Color Code]], 3, 2))," , ",HEX2DEC(MID(Table14[[#This Row],[Color Code]], 5, 2)))</f>
        <v>98 , 95 , 98</v>
      </c>
      <c r="D17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135.95955280891445</v>
      </c>
      <c r="E1792" t="str">
        <f>Table14[[#This Row],[Color Code]] &amp; " - " &amp;Table14[[#This Row],[Color Name]]</f>
        <v>625F62 - 8230</v>
      </c>
    </row>
    <row r="1793" spans="1:5" x14ac:dyDescent="0.35">
      <c r="A1793" s="17" t="s">
        <v>3865</v>
      </c>
      <c r="B1793" t="s">
        <v>6186</v>
      </c>
      <c r="C1793" s="9" t="str">
        <f>_xlfn.CONCAT(HEX2DEC(MID(Table14[[#This Row],[Color Code]], 1, 2))," , ",HEX2DEC(MID(Table14[[#This Row],[Color Code]], 3, 2))," , ",HEX2DEC(MID(Table14[[#This Row],[Color Code]], 5, 2)))</f>
        <v>108 , 110 , 70</v>
      </c>
      <c r="D17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136.03675973794731</v>
      </c>
      <c r="E1793" t="str">
        <f>Table14[[#This Row],[Color Code]] &amp; " - " &amp;Table14[[#This Row],[Color Name]]</f>
        <v>6C6E46 - K153</v>
      </c>
    </row>
    <row r="1794" spans="1:5" x14ac:dyDescent="0.35">
      <c r="A1794" s="17" t="s">
        <v>3780</v>
      </c>
      <c r="B1794" t="s">
        <v>6075</v>
      </c>
      <c r="C1794" s="9" t="str">
        <f>_xlfn.CONCAT(HEX2DEC(MID(Table14[[#This Row],[Color Code]], 1, 2))," , ",HEX2DEC(MID(Table14[[#This Row],[Color Code]], 3, 2))," , ",HEX2DEC(MID(Table14[[#This Row],[Color Code]], 5, 2)))</f>
        <v>94 , 99 , 99</v>
      </c>
      <c r="D17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136.07350954539243</v>
      </c>
      <c r="E1794" t="str">
        <f>Table14[[#This Row],[Color Code]] &amp; " - " &amp;Table14[[#This Row],[Color Name]]</f>
        <v>5E6363 - 8286</v>
      </c>
    </row>
    <row r="1795" spans="1:5" x14ac:dyDescent="0.35">
      <c r="A1795" s="17" t="s">
        <v>4385</v>
      </c>
      <c r="B1795" t="s">
        <v>6769</v>
      </c>
      <c r="C1795" s="9" t="str">
        <f>_xlfn.CONCAT(HEX2DEC(MID(Table14[[#This Row],[Color Code]], 1, 2))," , ",HEX2DEC(MID(Table14[[#This Row],[Color Code]], 3, 2))," , ",HEX2DEC(MID(Table14[[#This Row],[Color Code]], 5, 2)))</f>
        <v>137 , 67 , 93</v>
      </c>
      <c r="D17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136.13596145030894</v>
      </c>
      <c r="E1795" t="str">
        <f>Table14[[#This Row],[Color Code]] &amp; " - " &amp;Table14[[#This Row],[Color Name]]</f>
        <v>89435D - X133</v>
      </c>
    </row>
    <row r="1796" spans="1:5" x14ac:dyDescent="0.35">
      <c r="A1796" s="17" t="s">
        <v>4325</v>
      </c>
      <c r="B1796" t="s">
        <v>6696</v>
      </c>
      <c r="C1796" s="9" t="str">
        <f>_xlfn.CONCAT(HEX2DEC(MID(Table14[[#This Row],[Color Code]], 1, 2))," , ",HEX2DEC(MID(Table14[[#This Row],[Color Code]], 3, 2))," , ",HEX2DEC(MID(Table14[[#This Row],[Color Code]], 5, 2)))</f>
        <v>238 , 184 , 27</v>
      </c>
      <c r="D17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136.31214179228496</v>
      </c>
      <c r="E1796" t="str">
        <f>Table14[[#This Row],[Color Code]] &amp; " - " &amp;Table14[[#This Row],[Color Name]]</f>
        <v>EEB81B - X103</v>
      </c>
    </row>
    <row r="1797" spans="1:5" x14ac:dyDescent="0.35">
      <c r="A1797" s="17" t="s">
        <v>4539</v>
      </c>
      <c r="B1797" t="s">
        <v>6298</v>
      </c>
      <c r="C1797" s="9" t="str">
        <f>_xlfn.CONCAT(HEX2DEC(MID(Table14[[#This Row],[Color Code]], 1, 2))," , ",HEX2DEC(MID(Table14[[#This Row],[Color Code]], 3, 2))," , ",HEX2DEC(MID(Table14[[#This Row],[Color Code]], 5, 2)))</f>
        <v>114 , 100 , 72</v>
      </c>
      <c r="D17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136.37448441699055</v>
      </c>
      <c r="E1797" t="str">
        <f>Table14[[#This Row],[Color Code]] &amp; " - " &amp;Table14[[#This Row],[Color Name]]</f>
        <v>726448 - K171</v>
      </c>
    </row>
    <row r="1798" spans="1:5" x14ac:dyDescent="0.35">
      <c r="A1798" s="17" t="s">
        <v>4213</v>
      </c>
      <c r="B1798" t="s">
        <v>6571</v>
      </c>
      <c r="C1798" s="9" t="str">
        <f>_xlfn.CONCAT(HEX2DEC(MID(Table14[[#This Row],[Color Code]], 1, 2))," , ",HEX2DEC(MID(Table14[[#This Row],[Color Code]], 3, 2))," , ",HEX2DEC(MID(Table14[[#This Row],[Color Code]], 5, 2)))</f>
        <v>122 , 79 , 88</v>
      </c>
      <c r="D17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136.40014662748717</v>
      </c>
      <c r="E1798" t="str">
        <f>Table14[[#This Row],[Color Code]] &amp; " - " &amp;Table14[[#This Row],[Color Name]]</f>
        <v>7A4F58 - 8709</v>
      </c>
    </row>
    <row r="1799" spans="1:5" x14ac:dyDescent="0.35">
      <c r="A1799" s="17" t="s">
        <v>4264</v>
      </c>
      <c r="B1799" t="s">
        <v>6634</v>
      </c>
      <c r="C1799" s="9" t="str">
        <f>_xlfn.CONCAT(HEX2DEC(MID(Table14[[#This Row],[Color Code]], 1, 2))," , ",HEX2DEC(MID(Table14[[#This Row],[Color Code]], 3, 2))," , ",HEX2DEC(MID(Table14[[#This Row],[Color Code]], 5, 2)))</f>
        <v>165 , 65 , 79</v>
      </c>
      <c r="D17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136.40014662748717</v>
      </c>
      <c r="E1799" t="str">
        <f>Table14[[#This Row],[Color Code]] &amp; " - " &amp;Table14[[#This Row],[Color Name]]</f>
        <v>A5414F - X124</v>
      </c>
    </row>
    <row r="1800" spans="1:5" x14ac:dyDescent="0.35">
      <c r="A1800" s="17" t="s">
        <v>4474</v>
      </c>
      <c r="B1800" t="s">
        <v>5876</v>
      </c>
      <c r="C1800" s="9" t="str">
        <f>_xlfn.CONCAT(HEX2DEC(MID(Table14[[#This Row],[Color Code]], 1, 2))," , ",HEX2DEC(MID(Table14[[#This Row],[Color Code]], 3, 2))," , ",HEX2DEC(MID(Table14[[#This Row],[Color Code]], 5, 2)))</f>
        <v>146 , 70 , 81</v>
      </c>
      <c r="D18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136.444127759314</v>
      </c>
      <c r="E1800" t="str">
        <f>Table14[[#This Row],[Color Code]] &amp; " - " &amp;Table14[[#This Row],[Color Name]]</f>
        <v>924651 - K011</v>
      </c>
    </row>
    <row r="1801" spans="1:5" x14ac:dyDescent="0.35">
      <c r="A1801" s="17" t="s">
        <v>4138</v>
      </c>
      <c r="B1801" t="s">
        <v>6491</v>
      </c>
      <c r="C1801" s="9" t="str">
        <f>_xlfn.CONCAT(HEX2DEC(MID(Table14[[#This Row],[Color Code]], 1, 2))," , ",HEX2DEC(MID(Table14[[#This Row],[Color Code]], 3, 2))," , ",HEX2DEC(MID(Table14[[#This Row],[Color Code]], 5, 2)))</f>
        <v>110 , 93 , 83</v>
      </c>
      <c r="D18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136.49908424601244</v>
      </c>
      <c r="E1801" t="str">
        <f>Table14[[#This Row],[Color Code]] &amp; " - " &amp;Table14[[#This Row],[Color Name]]</f>
        <v>6E5D53 - K222</v>
      </c>
    </row>
    <row r="1802" spans="1:5" x14ac:dyDescent="0.35">
      <c r="A1802" s="17" t="s">
        <v>3863</v>
      </c>
      <c r="B1802" t="s">
        <v>6184</v>
      </c>
      <c r="C1802" s="9" t="str">
        <f>_xlfn.CONCAT(HEX2DEC(MID(Table14[[#This Row],[Color Code]], 1, 2))," , ",HEX2DEC(MID(Table14[[#This Row],[Color Code]], 3, 2))," , ",HEX2DEC(MID(Table14[[#This Row],[Color Code]], 5, 2)))</f>
        <v>99 , 110 , 79</v>
      </c>
      <c r="D18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136.56500283747664</v>
      </c>
      <c r="E1802" t="str">
        <f>Table14[[#This Row],[Color Code]] &amp; " - " &amp;Table14[[#This Row],[Color Name]]</f>
        <v>636E4F - K152</v>
      </c>
    </row>
    <row r="1803" spans="1:5" x14ac:dyDescent="0.35">
      <c r="A1803" s="17" t="s">
        <v>3126</v>
      </c>
      <c r="B1803" t="s">
        <v>5381</v>
      </c>
      <c r="C1803" s="9" t="str">
        <f>_xlfn.CONCAT(HEX2DEC(MID(Table14[[#This Row],[Color Code]], 1, 2))," , ",HEX2DEC(MID(Table14[[#This Row],[Color Code]], 3, 2))," , ",HEX2DEC(MID(Table14[[#This Row],[Color Code]], 5, 2)))</f>
        <v>111 , 125 , 57</v>
      </c>
      <c r="D18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136.61991070118586</v>
      </c>
      <c r="E1803" t="str">
        <f>Table14[[#This Row],[Color Code]] &amp; " - " &amp;Table14[[#This Row],[Color Name]]</f>
        <v>6F7D39 - 9813</v>
      </c>
    </row>
    <row r="1804" spans="1:5" x14ac:dyDescent="0.35">
      <c r="A1804" s="17" t="s">
        <v>4278</v>
      </c>
      <c r="B1804" t="s">
        <v>6649</v>
      </c>
      <c r="C1804" s="9" t="str">
        <f>_xlfn.CONCAT(HEX2DEC(MID(Table14[[#This Row],[Color Code]], 1, 2))," , ",HEX2DEC(MID(Table14[[#This Row],[Color Code]], 3, 2))," , ",HEX2DEC(MID(Table14[[#This Row],[Color Code]], 5, 2)))</f>
        <v>220 , 84 , 57</v>
      </c>
      <c r="D18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136.63454907160195</v>
      </c>
      <c r="E1804" t="str">
        <f>Table14[[#This Row],[Color Code]] &amp; " - " &amp;Table14[[#This Row],[Color Name]]</f>
        <v>DC5439 - X115</v>
      </c>
    </row>
    <row r="1805" spans="1:5" x14ac:dyDescent="0.35">
      <c r="A1805" s="17" t="s">
        <v>4289</v>
      </c>
      <c r="B1805" t="s">
        <v>6660</v>
      </c>
      <c r="C1805" s="9" t="str">
        <f>_xlfn.CONCAT(HEX2DEC(MID(Table14[[#This Row],[Color Code]], 1, 2))," , ",HEX2DEC(MID(Table14[[#This Row],[Color Code]], 3, 2))," , ",HEX2DEC(MID(Table14[[#This Row],[Color Code]], 5, 2)))</f>
        <v>158 , 86 , 57</v>
      </c>
      <c r="D18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136.67845477616433</v>
      </c>
      <c r="E1805" t="str">
        <f>Table14[[#This Row],[Color Code]] &amp; " - " &amp;Table14[[#This Row],[Color Name]]</f>
        <v>9E5639 - X196</v>
      </c>
    </row>
    <row r="1806" spans="1:5" x14ac:dyDescent="0.35">
      <c r="A1806" s="17" t="s">
        <v>3467</v>
      </c>
      <c r="B1806" t="s">
        <v>5732</v>
      </c>
      <c r="C1806" s="9" t="str">
        <f>_xlfn.CONCAT(HEX2DEC(MID(Table14[[#This Row],[Color Code]], 1, 2))," , ",HEX2DEC(MID(Table14[[#This Row],[Color Code]], 3, 2))," , ",HEX2DEC(MID(Table14[[#This Row],[Color Code]], 5, 2)))</f>
        <v>154 , 83 , 61</v>
      </c>
      <c r="D18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136.90872872099865</v>
      </c>
      <c r="E1806" t="str">
        <f>Table14[[#This Row],[Color Code]] &amp; " - " &amp;Table14[[#This Row],[Color Name]]</f>
        <v>9A533D - 9952</v>
      </c>
    </row>
    <row r="1807" spans="1:5" x14ac:dyDescent="0.35">
      <c r="A1807" s="17" t="s">
        <v>3964</v>
      </c>
      <c r="B1807" t="s">
        <v>6299</v>
      </c>
      <c r="C1807" s="9" t="str">
        <f>_xlfn.CONCAT(HEX2DEC(MID(Table14[[#This Row],[Color Code]], 1, 2))," , ",HEX2DEC(MID(Table14[[#This Row],[Color Code]], 3, 2))," , ",HEX2DEC(MID(Table14[[#This Row],[Color Code]], 5, 2)))</f>
        <v>111 , 100 , 74</v>
      </c>
      <c r="D18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136.91968448692833</v>
      </c>
      <c r="E1807" t="str">
        <f>Table14[[#This Row],[Color Code]] &amp; " - " &amp;Table14[[#This Row],[Color Name]]</f>
        <v>6F644A - K172</v>
      </c>
    </row>
    <row r="1808" spans="1:5" x14ac:dyDescent="0.35">
      <c r="A1808" s="17" t="s">
        <v>4499</v>
      </c>
      <c r="B1808" t="s">
        <v>6066</v>
      </c>
      <c r="C1808" s="9" t="str">
        <f>_xlfn.CONCAT(HEX2DEC(MID(Table14[[#This Row],[Color Code]], 1, 2))," , ",HEX2DEC(MID(Table14[[#This Row],[Color Code]], 3, 2))," , ",HEX2DEC(MID(Table14[[#This Row],[Color Code]], 5, 2)))</f>
        <v>84 , 102 , 113</v>
      </c>
      <c r="D18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136.95619737711763</v>
      </c>
      <c r="E1808" t="str">
        <f>Table14[[#This Row],[Color Code]] &amp; " - " &amp;Table14[[#This Row],[Color Name]]</f>
        <v>546671 - 8270</v>
      </c>
    </row>
    <row r="1809" spans="1:5" x14ac:dyDescent="0.35">
      <c r="A1809" s="17" t="s">
        <v>3851</v>
      </c>
      <c r="B1809" t="s">
        <v>6171</v>
      </c>
      <c r="C1809" s="9" t="str">
        <f>_xlfn.CONCAT(HEX2DEC(MID(Table14[[#This Row],[Color Code]], 1, 2))," , ",HEX2DEC(MID(Table14[[#This Row],[Color Code]], 3, 2))," , ",HEX2DEC(MID(Table14[[#This Row],[Color Code]], 5, 2)))</f>
        <v>96 , 101 , 91</v>
      </c>
      <c r="D18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137.0693255254435</v>
      </c>
      <c r="E1809" t="str">
        <f>Table14[[#This Row],[Color Code]] &amp; " - " &amp;Table14[[#This Row],[Color Name]]</f>
        <v>60655B - K147</v>
      </c>
    </row>
    <row r="1810" spans="1:5" x14ac:dyDescent="0.35">
      <c r="A1810" s="17" t="s">
        <v>2885</v>
      </c>
      <c r="B1810" t="s">
        <v>5107</v>
      </c>
      <c r="C1810" s="9" t="str">
        <f>_xlfn.CONCAT(HEX2DEC(MID(Table14[[#This Row],[Color Code]], 1, 2))," , ",HEX2DEC(MID(Table14[[#This Row],[Color Code]], 3, 2))," , ",HEX2DEC(MID(Table14[[#This Row],[Color Code]], 5, 2)))</f>
        <v>58 , 180 , 185</v>
      </c>
      <c r="D18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137.40815114104404</v>
      </c>
      <c r="E1810" t="str">
        <f>Table14[[#This Row],[Color Code]] &amp; " - " &amp;Table14[[#This Row],[Color Name]]</f>
        <v>3AB4B9 - 9703</v>
      </c>
    </row>
    <row r="1811" spans="1:5" x14ac:dyDescent="0.35">
      <c r="A1811" s="17" t="s">
        <v>4105</v>
      </c>
      <c r="B1811" t="s">
        <v>6452</v>
      </c>
      <c r="C1811" s="9" t="str">
        <f>_xlfn.CONCAT(HEX2DEC(MID(Table14[[#This Row],[Color Code]], 1, 2))," , ",HEX2DEC(MID(Table14[[#This Row],[Color Code]], 3, 2))," , ",HEX2DEC(MID(Table14[[#This Row],[Color Code]], 5, 2)))</f>
        <v>138 , 84 , 67</v>
      </c>
      <c r="D18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137.6263056250512</v>
      </c>
      <c r="E1811" t="str">
        <f>Table14[[#This Row],[Color Code]] &amp; " - " &amp;Table14[[#This Row],[Color Name]]</f>
        <v>8A5443 - 8613</v>
      </c>
    </row>
    <row r="1812" spans="1:5" x14ac:dyDescent="0.35">
      <c r="A1812" s="17" t="s">
        <v>2649</v>
      </c>
      <c r="B1812" t="s">
        <v>4853</v>
      </c>
      <c r="C1812" s="9" t="str">
        <f>_xlfn.CONCAT(HEX2DEC(MID(Table14[[#This Row],[Color Code]], 1, 2))," , ",HEX2DEC(MID(Table14[[#This Row],[Color Code]], 3, 2))," , ",HEX2DEC(MID(Table14[[#This Row],[Color Code]], 5, 2)))</f>
        <v>91 , 85 , 129</v>
      </c>
      <c r="D18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137.75703248836336</v>
      </c>
      <c r="E1812" t="str">
        <f>Table14[[#This Row],[Color Code]] &amp; " - " &amp;Table14[[#This Row],[Color Name]]</f>
        <v>5B5581 - 9620</v>
      </c>
    </row>
    <row r="1813" spans="1:5" x14ac:dyDescent="0.35">
      <c r="A1813" s="17" t="s">
        <v>3961</v>
      </c>
      <c r="B1813" t="s">
        <v>6295</v>
      </c>
      <c r="C1813" s="9" t="str">
        <f>_xlfn.CONCAT(HEX2DEC(MID(Table14[[#This Row],[Color Code]], 1, 2))," , ",HEX2DEC(MID(Table14[[#This Row],[Color Code]], 3, 2))," , ",HEX2DEC(MID(Table14[[#This Row],[Color Code]], 5, 2)))</f>
        <v>123 , 104 , 59</v>
      </c>
      <c r="D18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137.90576492663388</v>
      </c>
      <c r="E1813" t="str">
        <f>Table14[[#This Row],[Color Code]] &amp; " - " &amp;Table14[[#This Row],[Color Name]]</f>
        <v>7B683B - K168</v>
      </c>
    </row>
    <row r="1814" spans="1:5" x14ac:dyDescent="0.35">
      <c r="A1814" s="17" t="s">
        <v>4185</v>
      </c>
      <c r="B1814" t="s">
        <v>6540</v>
      </c>
      <c r="C1814" s="9" t="str">
        <f>_xlfn.CONCAT(HEX2DEC(MID(Table14[[#This Row],[Color Code]], 1, 2))," , ",HEX2DEC(MID(Table14[[#This Row],[Color Code]], 3, 2))," , ",HEX2DEC(MID(Table14[[#This Row],[Color Code]], 5, 2)))</f>
        <v>138 , 77 , 74</v>
      </c>
      <c r="D18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138.13399291991817</v>
      </c>
      <c r="E1814" t="str">
        <f>Table14[[#This Row],[Color Code]] &amp; " - " &amp;Table14[[#This Row],[Color Name]]</f>
        <v>8A4D4A - K262</v>
      </c>
    </row>
    <row r="1815" spans="1:5" x14ac:dyDescent="0.35">
      <c r="A1815" s="17" t="s">
        <v>4058</v>
      </c>
      <c r="B1815" t="s">
        <v>6402</v>
      </c>
      <c r="C1815" s="9" t="str">
        <f>_xlfn.CONCAT(HEX2DEC(MID(Table14[[#This Row],[Color Code]], 1, 2))," , ",HEX2DEC(MID(Table14[[#This Row],[Color Code]], 3, 2))," , ",HEX2DEC(MID(Table14[[#This Row],[Color Code]], 5, 2)))</f>
        <v>128 , 92 , 65</v>
      </c>
      <c r="D18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138.14847085653898</v>
      </c>
      <c r="E1815" t="str">
        <f>Table14[[#This Row],[Color Code]] &amp; " - " &amp;Table14[[#This Row],[Color Name]]</f>
        <v>805C41 - K195</v>
      </c>
    </row>
    <row r="1816" spans="1:5" x14ac:dyDescent="0.35">
      <c r="A1816" s="17" t="s">
        <v>3694</v>
      </c>
      <c r="B1816" t="s">
        <v>5978</v>
      </c>
      <c r="C1816" s="9" t="str">
        <f>_xlfn.CONCAT(HEX2DEC(MID(Table14[[#This Row],[Color Code]], 1, 2))," , ",HEX2DEC(MID(Table14[[#This Row],[Color Code]], 3, 2))," , ",HEX2DEC(MID(Table14[[#This Row],[Color Code]], 5, 2)))</f>
        <v>112 , 82 , 91</v>
      </c>
      <c r="D18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138.36545811726279</v>
      </c>
      <c r="E1816" t="str">
        <f>Table14[[#This Row],[Color Code]] &amp; " - " &amp;Table14[[#This Row],[Color Name]]</f>
        <v>70525B - K291</v>
      </c>
    </row>
    <row r="1817" spans="1:5" x14ac:dyDescent="0.35">
      <c r="A1817" s="17" t="s">
        <v>4279</v>
      </c>
      <c r="B1817" t="s">
        <v>6650</v>
      </c>
      <c r="C1817" s="9" t="str">
        <f>_xlfn.CONCAT(HEX2DEC(MID(Table14[[#This Row],[Color Code]], 1, 2))," , ",HEX2DEC(MID(Table14[[#This Row],[Color Code]], 3, 2))," , ",HEX2DEC(MID(Table14[[#This Row],[Color Code]], 5, 2)))</f>
        <v>211 , 75 , 61</v>
      </c>
      <c r="D18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138.55323886506588</v>
      </c>
      <c r="E1817" t="str">
        <f>Table14[[#This Row],[Color Code]] &amp; " - " &amp;Table14[[#This Row],[Color Name]]</f>
        <v>D34B3D - 0506</v>
      </c>
    </row>
    <row r="1818" spans="1:5" x14ac:dyDescent="0.35">
      <c r="A1818" s="17" t="s">
        <v>2737</v>
      </c>
      <c r="B1818" t="s">
        <v>4948</v>
      </c>
      <c r="C1818" s="9" t="str">
        <f>_xlfn.CONCAT(HEX2DEC(MID(Table14[[#This Row],[Color Code]], 1, 2))," , ",HEX2DEC(MID(Table14[[#This Row],[Color Code]], 3, 2))," , ",HEX2DEC(MID(Table14[[#This Row],[Color Code]], 5, 2)))</f>
        <v>73 , 104 , 158</v>
      </c>
      <c r="D18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138.60375175297384</v>
      </c>
      <c r="E1818" t="str">
        <f>Table14[[#This Row],[Color Code]] &amp; " - " &amp;Table14[[#This Row],[Color Name]]</f>
        <v>49689E - 9640</v>
      </c>
    </row>
    <row r="1819" spans="1:5" x14ac:dyDescent="0.35">
      <c r="A1819" s="17" t="s">
        <v>3967</v>
      </c>
      <c r="B1819" t="s">
        <v>6306</v>
      </c>
      <c r="C1819" s="9" t="str">
        <f>_xlfn.CONCAT(HEX2DEC(MID(Table14[[#This Row],[Color Code]], 1, 2))," , ",HEX2DEC(MID(Table14[[#This Row],[Color Code]], 3, 2))," , ",HEX2DEC(MID(Table14[[#This Row],[Color Code]], 5, 2)))</f>
        <v>109 , 97 , 76</v>
      </c>
      <c r="D18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138.61457354838271</v>
      </c>
      <c r="E1819" t="str">
        <f>Table14[[#This Row],[Color Code]] &amp; " - " &amp;Table14[[#This Row],[Color Name]]</f>
        <v>6D614C - K179</v>
      </c>
    </row>
    <row r="1820" spans="1:5" x14ac:dyDescent="0.35">
      <c r="A1820" s="17" t="s">
        <v>2632</v>
      </c>
      <c r="B1820" t="s">
        <v>4832</v>
      </c>
      <c r="C1820" s="9" t="str">
        <f>_xlfn.CONCAT(HEX2DEC(MID(Table14[[#This Row],[Color Code]], 1, 2))," , ",HEX2DEC(MID(Table14[[#This Row],[Color Code]], 3, 2))," , ",HEX2DEC(MID(Table14[[#This Row],[Color Code]], 5, 2)))</f>
        <v>106 , 76 , 110</v>
      </c>
      <c r="D18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138.64342753985852</v>
      </c>
      <c r="E1820" t="str">
        <f>Table14[[#This Row],[Color Code]] &amp; " - " &amp;Table14[[#This Row],[Color Name]]</f>
        <v>6A4C6E - 7109</v>
      </c>
    </row>
    <row r="1821" spans="1:5" x14ac:dyDescent="0.35">
      <c r="A1821" s="17" t="s">
        <v>4379</v>
      </c>
      <c r="B1821" t="s">
        <v>6762</v>
      </c>
      <c r="C1821" s="9" t="str">
        <f>_xlfn.CONCAT(HEX2DEC(MID(Table14[[#This Row],[Color Code]], 1, 2))," , ",HEX2DEC(MID(Table14[[#This Row],[Color Code]], 3, 2))," , ",HEX2DEC(MID(Table14[[#This Row],[Color Code]], 5, 2)))</f>
        <v>107 , 76 , 108</v>
      </c>
      <c r="D18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138.69030247281171</v>
      </c>
      <c r="E1821" t="str">
        <f>Table14[[#This Row],[Color Code]] &amp; " - " &amp;Table14[[#This Row],[Color Name]]</f>
        <v>6B4C6C - X140</v>
      </c>
    </row>
    <row r="1822" spans="1:5" x14ac:dyDescent="0.35">
      <c r="A1822" s="17" t="s">
        <v>3479</v>
      </c>
      <c r="B1822" t="s">
        <v>5744</v>
      </c>
      <c r="C1822" s="9" t="str">
        <f>_xlfn.CONCAT(HEX2DEC(MID(Table14[[#This Row],[Color Code]], 1, 2))," , ",HEX2DEC(MID(Table14[[#This Row],[Color Code]], 3, 2))," , ",HEX2DEC(MID(Table14[[#This Row],[Color Code]], 5, 2)))</f>
        <v>148 , 81 , 63</v>
      </c>
      <c r="D18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138.69390758068647</v>
      </c>
      <c r="E1822" t="str">
        <f>Table14[[#This Row],[Color Code]] &amp; " - " &amp;Table14[[#This Row],[Color Name]]</f>
        <v>94513F - 9957</v>
      </c>
    </row>
    <row r="1823" spans="1:5" x14ac:dyDescent="0.35">
      <c r="A1823" s="17" t="s">
        <v>4545</v>
      </c>
      <c r="B1823" t="s">
        <v>6345</v>
      </c>
      <c r="C1823" s="9" t="str">
        <f>_xlfn.CONCAT(HEX2DEC(MID(Table14[[#This Row],[Color Code]], 1, 2))," , ",HEX2DEC(MID(Table14[[#This Row],[Color Code]], 3, 2))," , ",HEX2DEC(MID(Table14[[#This Row],[Color Code]], 5, 2)))</f>
        <v>118 , 94 , 70</v>
      </c>
      <c r="D18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138.78760751594501</v>
      </c>
      <c r="E1823" t="str">
        <f>Table14[[#This Row],[Color Code]] &amp; " - " &amp;Table14[[#This Row],[Color Name]]</f>
        <v>765E46 - K186</v>
      </c>
    </row>
    <row r="1824" spans="1:5" x14ac:dyDescent="0.35">
      <c r="A1824" s="17" t="s">
        <v>3766</v>
      </c>
      <c r="B1824" t="s">
        <v>6059</v>
      </c>
      <c r="C1824" s="9" t="str">
        <f>_xlfn.CONCAT(HEX2DEC(MID(Table14[[#This Row],[Color Code]], 1, 2))," , ",HEX2DEC(MID(Table14[[#This Row],[Color Code]], 3, 2))," , ",HEX2DEC(MID(Table14[[#This Row],[Color Code]], 5, 2)))</f>
        <v>84 , 102 , 107</v>
      </c>
      <c r="D18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138.91364223862249</v>
      </c>
      <c r="E1824" t="str">
        <f>Table14[[#This Row],[Color Code]] &amp; " - " &amp;Table14[[#This Row],[Color Name]]</f>
        <v>54666B - 9470</v>
      </c>
    </row>
    <row r="1825" spans="1:5" x14ac:dyDescent="0.35">
      <c r="A1825" s="17" t="s">
        <v>4420</v>
      </c>
      <c r="B1825" t="s">
        <v>5023</v>
      </c>
      <c r="C1825" s="9" t="str">
        <f>_xlfn.CONCAT(HEX2DEC(MID(Table14[[#This Row],[Color Code]], 1, 2))," , ",HEX2DEC(MID(Table14[[#This Row],[Color Code]], 3, 2))," , ",HEX2DEC(MID(Table14[[#This Row],[Color Code]], 5, 2)))</f>
        <v>72 , 110 , 129</v>
      </c>
      <c r="D18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138.92803892663281</v>
      </c>
      <c r="E1825" t="str">
        <f>Table14[[#This Row],[Color Code]] &amp; " - " &amp;Table14[[#This Row],[Color Name]]</f>
        <v>486E81 - 7366</v>
      </c>
    </row>
    <row r="1826" spans="1:5" x14ac:dyDescent="0.35">
      <c r="A1826" s="17" t="s">
        <v>3962</v>
      </c>
      <c r="B1826" t="s">
        <v>6296</v>
      </c>
      <c r="C1826" s="9" t="str">
        <f>_xlfn.CONCAT(HEX2DEC(MID(Table14[[#This Row],[Color Code]], 1, 2))," , ",HEX2DEC(MID(Table14[[#This Row],[Color Code]], 3, 2))," , ",HEX2DEC(MID(Table14[[#This Row],[Color Code]], 5, 2)))</f>
        <v>125 , 102 , 57</v>
      </c>
      <c r="D18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139.3628357920432</v>
      </c>
      <c r="E1826" t="str">
        <f>Table14[[#This Row],[Color Code]] &amp; " - " &amp;Table14[[#This Row],[Color Name]]</f>
        <v>7D6639 - K169</v>
      </c>
    </row>
    <row r="1827" spans="1:5" x14ac:dyDescent="0.35">
      <c r="A1827" s="17" t="s">
        <v>4477</v>
      </c>
      <c r="B1827" t="s">
        <v>5939</v>
      </c>
      <c r="C1827" s="9" t="str">
        <f>_xlfn.CONCAT(HEX2DEC(MID(Table14[[#This Row],[Color Code]], 1, 2))," , ",HEX2DEC(MID(Table14[[#This Row],[Color Code]], 3, 2))," , ",HEX2DEC(MID(Table14[[#This Row],[Color Code]], 5, 2)))</f>
        <v>97 , 86 , 105</v>
      </c>
      <c r="D18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139.44891537763928</v>
      </c>
      <c r="E1827" t="str">
        <f>Table14[[#This Row],[Color Code]] &amp; " - " &amp;Table14[[#This Row],[Color Name]]</f>
        <v>615669 - K044</v>
      </c>
    </row>
    <row r="1828" spans="1:5" x14ac:dyDescent="0.35">
      <c r="A1828" s="17" t="s">
        <v>2617</v>
      </c>
      <c r="B1828" t="s">
        <v>4815</v>
      </c>
      <c r="C1828" s="9" t="str">
        <f>_xlfn.CONCAT(HEX2DEC(MID(Table14[[#This Row],[Color Code]], 1, 2))," , ",HEX2DEC(MID(Table14[[#This Row],[Color Code]], 3, 2))," , ",HEX2DEC(MID(Table14[[#This Row],[Color Code]], 5, 2)))</f>
        <v>113 , 71 , 106</v>
      </c>
      <c r="D18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139.49193525075205</v>
      </c>
      <c r="E1828" t="str">
        <f>Table14[[#This Row],[Color Code]] &amp; " - " &amp;Table14[[#This Row],[Color Name]]</f>
        <v>71476A - 9592</v>
      </c>
    </row>
    <row r="1829" spans="1:5" x14ac:dyDescent="0.35">
      <c r="A1829" s="17" t="s">
        <v>3229</v>
      </c>
      <c r="B1829" t="s">
        <v>5487</v>
      </c>
      <c r="C1829" s="9" t="str">
        <f>_xlfn.CONCAT(HEX2DEC(MID(Table14[[#This Row],[Color Code]], 1, 2))," , ",HEX2DEC(MID(Table14[[#This Row],[Color Code]], 3, 2))," , ",HEX2DEC(MID(Table14[[#This Row],[Color Code]], 5, 2)))</f>
        <v>117 , 107 , 59</v>
      </c>
      <c r="D18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139.51702405083043</v>
      </c>
      <c r="E1829" t="str">
        <f>Table14[[#This Row],[Color Code]] &amp; " - " &amp;Table14[[#This Row],[Color Name]]</f>
        <v>756B3B - 9862</v>
      </c>
    </row>
    <row r="1830" spans="1:5" x14ac:dyDescent="0.35">
      <c r="A1830" s="17" t="s">
        <v>2884</v>
      </c>
      <c r="B1830" t="s">
        <v>5106</v>
      </c>
      <c r="C1830" s="9" t="str">
        <f>_xlfn.CONCAT(HEX2DEC(MID(Table14[[#This Row],[Color Code]], 1, 2))," , ",HEX2DEC(MID(Table14[[#This Row],[Color Code]], 3, 2))," , ",HEX2DEC(MID(Table14[[#This Row],[Color Code]], 5, 2)))</f>
        <v>59 , 191 , 194</v>
      </c>
      <c r="D18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139.52060779684126</v>
      </c>
      <c r="E1830" t="str">
        <f>Table14[[#This Row],[Color Code]] &amp; " - " &amp;Table14[[#This Row],[Color Name]]</f>
        <v>3BBFC2 - 9702</v>
      </c>
    </row>
    <row r="1831" spans="1:5" x14ac:dyDescent="0.35">
      <c r="A1831" s="17" t="s">
        <v>4293</v>
      </c>
      <c r="B1831" t="s">
        <v>6664</v>
      </c>
      <c r="C1831" s="9" t="str">
        <f>_xlfn.CONCAT(HEX2DEC(MID(Table14[[#This Row],[Color Code]], 1, 2))," , ",HEX2DEC(MID(Table14[[#This Row],[Color Code]], 3, 2))," , ",HEX2DEC(MID(Table14[[#This Row],[Color Code]], 5, 2)))</f>
        <v>254 , 171 , 30</v>
      </c>
      <c r="D18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139.58868148958209</v>
      </c>
      <c r="E1831" t="str">
        <f>Table14[[#This Row],[Color Code]] &amp; " - " &amp;Table14[[#This Row],[Color Name]]</f>
        <v>FEAB1E - X109</v>
      </c>
    </row>
    <row r="1832" spans="1:5" x14ac:dyDescent="0.35">
      <c r="A1832" s="17" t="s">
        <v>3076</v>
      </c>
      <c r="B1832" t="s">
        <v>5327</v>
      </c>
      <c r="C1832" s="9" t="str">
        <f>_xlfn.CONCAT(HEX2DEC(MID(Table14[[#This Row],[Color Code]], 1, 2))," , ",HEX2DEC(MID(Table14[[#This Row],[Color Code]], 3, 2))," , ",HEX2DEC(MID(Table14[[#This Row],[Color Code]], 5, 2)))</f>
        <v>95 , 117 , 73</v>
      </c>
      <c r="D18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139.63165830140383</v>
      </c>
      <c r="E1832" t="str">
        <f>Table14[[#This Row],[Color Code]] &amp; " - " &amp;Table14[[#This Row],[Color Name]]</f>
        <v>5F7549 - 7677</v>
      </c>
    </row>
    <row r="1833" spans="1:5" x14ac:dyDescent="0.35">
      <c r="A1833" s="17" t="s">
        <v>2760</v>
      </c>
      <c r="B1833" t="s">
        <v>4972</v>
      </c>
      <c r="C1833" s="9" t="str">
        <f>_xlfn.CONCAT(HEX2DEC(MID(Table14[[#This Row],[Color Code]], 1, 2))," , ",HEX2DEC(MID(Table14[[#This Row],[Color Code]], 3, 2))," , ",HEX2DEC(MID(Table14[[#This Row],[Color Code]], 5, 2)))</f>
        <v>64 , 126 , 182</v>
      </c>
      <c r="D18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139.6925194847598</v>
      </c>
      <c r="E1833" t="str">
        <f>Table14[[#This Row],[Color Code]] &amp; " - " &amp;Table14[[#This Row],[Color Name]]</f>
        <v>407EB6 - 9651</v>
      </c>
    </row>
    <row r="1834" spans="1:5" x14ac:dyDescent="0.35">
      <c r="A1834" s="17" t="s">
        <v>4546</v>
      </c>
      <c r="B1834" t="s">
        <v>6346</v>
      </c>
      <c r="C1834" s="9" t="str">
        <f>_xlfn.CONCAT(HEX2DEC(MID(Table14[[#This Row],[Color Code]], 1, 2))," , ",HEX2DEC(MID(Table14[[#This Row],[Color Code]], 3, 2))," , ",HEX2DEC(MID(Table14[[#This Row],[Color Code]], 5, 2)))</f>
        <v>121 , 94 , 66</v>
      </c>
      <c r="D18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139.72472937887551</v>
      </c>
      <c r="E1834" t="str">
        <f>Table14[[#This Row],[Color Code]] &amp; " - " &amp;Table14[[#This Row],[Color Name]]</f>
        <v>795E42 - K187</v>
      </c>
    </row>
    <row r="1835" spans="1:5" x14ac:dyDescent="0.35">
      <c r="A1835" s="17" t="s">
        <v>3429</v>
      </c>
      <c r="B1835" t="s">
        <v>5690</v>
      </c>
      <c r="C1835" s="9" t="str">
        <f>_xlfn.CONCAT(HEX2DEC(MID(Table14[[#This Row],[Color Code]], 1, 2))," , ",HEX2DEC(MID(Table14[[#This Row],[Color Code]], 3, 2))," , ",HEX2DEC(MID(Table14[[#This Row],[Color Code]], 5, 2)))</f>
        <v>139 , 84 , 63</v>
      </c>
      <c r="D18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139.83561778030659</v>
      </c>
      <c r="E1835" t="str">
        <f>Table14[[#This Row],[Color Code]] &amp; " - " &amp;Table14[[#This Row],[Color Name]]</f>
        <v>8B543F - 9930</v>
      </c>
    </row>
    <row r="1836" spans="1:5" x14ac:dyDescent="0.35">
      <c r="A1836" s="17" t="s">
        <v>3050</v>
      </c>
      <c r="B1836" t="s">
        <v>5296</v>
      </c>
      <c r="C1836" s="9" t="str">
        <f>_xlfn.CONCAT(HEX2DEC(MID(Table14[[#This Row],[Color Code]], 1, 2))," , ",HEX2DEC(MID(Table14[[#This Row],[Color Code]], 3, 2))," , ",HEX2DEC(MID(Table14[[#This Row],[Color Code]], 5, 2)))</f>
        <v>91 , 118 , 76</v>
      </c>
      <c r="D18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140.32462364104171</v>
      </c>
      <c r="E1836" t="str">
        <f>Table14[[#This Row],[Color Code]] &amp; " - " &amp;Table14[[#This Row],[Color Name]]</f>
        <v>5B764C - 9777</v>
      </c>
    </row>
    <row r="1837" spans="1:5" x14ac:dyDescent="0.35">
      <c r="A1837" s="17" t="s">
        <v>2967</v>
      </c>
      <c r="B1837" t="s">
        <v>5206</v>
      </c>
      <c r="C1837" s="9" t="str">
        <f>_xlfn.CONCAT(HEX2DEC(MID(Table14[[#This Row],[Color Code]], 1, 2))," , ",HEX2DEC(MID(Table14[[#This Row],[Color Code]], 3, 2))," , ",HEX2DEC(MID(Table14[[#This Row],[Color Code]], 5, 2)))</f>
        <v>54 , 164 , 132</v>
      </c>
      <c r="D18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140.33531273346705</v>
      </c>
      <c r="E1837" t="str">
        <f>Table14[[#This Row],[Color Code]] &amp; " - " &amp;Table14[[#This Row],[Color Name]]</f>
        <v>36A484 - 7550</v>
      </c>
    </row>
    <row r="1838" spans="1:5" x14ac:dyDescent="0.35">
      <c r="A1838" s="17" t="s">
        <v>4543</v>
      </c>
      <c r="B1838" t="s">
        <v>6304</v>
      </c>
      <c r="C1838" s="9" t="str">
        <f>_xlfn.CONCAT(HEX2DEC(MID(Table14[[#This Row],[Color Code]], 1, 2))," , ",HEX2DEC(MID(Table14[[#This Row],[Color Code]], 3, 2))," , ",HEX2DEC(MID(Table14[[#This Row],[Color Code]], 5, 2)))</f>
        <v>113 , 96 , 70</v>
      </c>
      <c r="D18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140.38162272890281</v>
      </c>
      <c r="E1838" t="str">
        <f>Table14[[#This Row],[Color Code]] &amp; " - " &amp;Table14[[#This Row],[Color Name]]</f>
        <v>716046 - K177</v>
      </c>
    </row>
    <row r="1839" spans="1:5" x14ac:dyDescent="0.35">
      <c r="A1839" s="17" t="s">
        <v>2673</v>
      </c>
      <c r="B1839" t="s">
        <v>4880</v>
      </c>
      <c r="C1839" s="9" t="str">
        <f>_xlfn.CONCAT(HEX2DEC(MID(Table14[[#This Row],[Color Code]], 1, 2))," , ",HEX2DEC(MID(Table14[[#This Row],[Color Code]], 3, 2))," , ",HEX2DEC(MID(Table14[[#This Row],[Color Code]], 5, 2)))</f>
        <v>92 , 82 , 122</v>
      </c>
      <c r="D18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140.49199265438583</v>
      </c>
      <c r="E1839" t="str">
        <f>Table14[[#This Row],[Color Code]] &amp; " - " &amp;Table14[[#This Row],[Color Name]]</f>
        <v>5C527A - 9629</v>
      </c>
    </row>
    <row r="1840" spans="1:5" x14ac:dyDescent="0.35">
      <c r="A1840" s="17" t="s">
        <v>3590</v>
      </c>
      <c r="B1840" t="s">
        <v>5859</v>
      </c>
      <c r="C1840" s="9" t="str">
        <f>_xlfn.CONCAT(HEX2DEC(MID(Table14[[#This Row],[Color Code]], 1, 2))," , ",HEX2DEC(MID(Table14[[#This Row],[Color Code]], 3, 2))," , ",HEX2DEC(MID(Table14[[#This Row],[Color Code]], 5, 2)))</f>
        <v>127 , 76 , 79</v>
      </c>
      <c r="D18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140.71957930579526</v>
      </c>
      <c r="E1840" t="str">
        <f>Table14[[#This Row],[Color Code]] &amp; " - " &amp;Table14[[#This Row],[Color Name]]</f>
        <v>7F4C4F - 8101</v>
      </c>
    </row>
    <row r="1841" spans="1:5" x14ac:dyDescent="0.35">
      <c r="A1841" s="17" t="s">
        <v>4587</v>
      </c>
      <c r="B1841" t="s">
        <v>6761</v>
      </c>
      <c r="C1841" s="9" t="str">
        <f>_xlfn.CONCAT(HEX2DEC(MID(Table14[[#This Row],[Color Code]], 1, 2))," , ",HEX2DEC(MID(Table14[[#This Row],[Color Code]], 3, 2))," , ",HEX2DEC(MID(Table14[[#This Row],[Color Code]], 5, 2)))</f>
        <v>112 , 73 , 100</v>
      </c>
      <c r="D18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140.81548210335396</v>
      </c>
      <c r="E1841" t="str">
        <f>Table14[[#This Row],[Color Code]] &amp; " - " &amp;Table14[[#This Row],[Color Name]]</f>
        <v>704964 - X139</v>
      </c>
    </row>
    <row r="1842" spans="1:5" x14ac:dyDescent="0.35">
      <c r="A1842" s="17" t="s">
        <v>4344</v>
      </c>
      <c r="B1842" t="s">
        <v>6717</v>
      </c>
      <c r="C1842" s="9" t="str">
        <f>_xlfn.CONCAT(HEX2DEC(MID(Table14[[#This Row],[Color Code]], 1, 2))," , ",HEX2DEC(MID(Table14[[#This Row],[Color Code]], 3, 2))," , ",HEX2DEC(MID(Table14[[#This Row],[Color Code]], 5, 2)))</f>
        <v>54 , 176 , 127</v>
      </c>
      <c r="D18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140.81548210335396</v>
      </c>
      <c r="E1842" t="str">
        <f>Table14[[#This Row],[Color Code]] &amp; " - " &amp;Table14[[#This Row],[Color Name]]</f>
        <v>36B07F - 7566</v>
      </c>
    </row>
    <row r="1843" spans="1:5" x14ac:dyDescent="0.35">
      <c r="A1843" s="17" t="s">
        <v>3519</v>
      </c>
      <c r="B1843" t="s">
        <v>5787</v>
      </c>
      <c r="C1843" s="9" t="str">
        <f>_xlfn.CONCAT(HEX2DEC(MID(Table14[[#This Row],[Color Code]], 1, 2))," , ",HEX2DEC(MID(Table14[[#This Row],[Color Code]], 3, 2))," , ",HEX2DEC(MID(Table14[[#This Row],[Color Code]], 5, 2)))</f>
        <v>141 , 74 , 71</v>
      </c>
      <c r="D18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140.91841611372163</v>
      </c>
      <c r="E1843" t="str">
        <f>Table14[[#This Row],[Color Code]] &amp; " - " &amp;Table14[[#This Row],[Color Name]]</f>
        <v>8D4A47 - 9986</v>
      </c>
    </row>
    <row r="1844" spans="1:5" x14ac:dyDescent="0.35">
      <c r="A1844" s="17" t="s">
        <v>3895</v>
      </c>
      <c r="B1844" t="s">
        <v>6220</v>
      </c>
      <c r="C1844" s="9" t="str">
        <f>_xlfn.CONCAT(HEX2DEC(MID(Table14[[#This Row],[Color Code]], 1, 2))," , ",HEX2DEC(MID(Table14[[#This Row],[Color Code]], 3, 2))," , ",HEX2DEC(MID(Table14[[#This Row],[Color Code]], 5, 2)))</f>
        <v>100 , 100 , 79</v>
      </c>
      <c r="D18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140.94325099131211</v>
      </c>
      <c r="E1844" t="str">
        <f>Table14[[#This Row],[Color Code]] &amp; " - " &amp;Table14[[#This Row],[Color Name]]</f>
        <v>64644F - 8405</v>
      </c>
    </row>
    <row r="1845" spans="1:5" x14ac:dyDescent="0.35">
      <c r="A1845" s="17" t="s">
        <v>4469</v>
      </c>
      <c r="B1845" t="s">
        <v>5716</v>
      </c>
      <c r="C1845" s="9" t="str">
        <f>_xlfn.CONCAT(HEX2DEC(MID(Table14[[#This Row],[Color Code]], 1, 2))," , ",HEX2DEC(MID(Table14[[#This Row],[Color Code]], 3, 2))," , ",HEX2DEC(MID(Table14[[#This Row],[Color Code]], 5, 2)))</f>
        <v>131 , 84 , 66</v>
      </c>
      <c r="D18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141.14885759367661</v>
      </c>
      <c r="E1845" t="str">
        <f>Table14[[#This Row],[Color Code]] &amp; " - " &amp;Table14[[#This Row],[Color Name]]</f>
        <v>835442 - 9950</v>
      </c>
    </row>
    <row r="1846" spans="1:5" x14ac:dyDescent="0.35">
      <c r="A1846" s="17" t="s">
        <v>4533</v>
      </c>
      <c r="B1846" t="s">
        <v>6268</v>
      </c>
      <c r="C1846" s="9" t="str">
        <f>_xlfn.CONCAT(HEX2DEC(MID(Table14[[#This Row],[Color Code]], 1, 2))," , ",HEX2DEC(MID(Table14[[#This Row],[Color Code]], 3, 2))," , ",HEX2DEC(MID(Table14[[#This Row],[Color Code]], 5, 2)))</f>
        <v>104 , 94 , 80</v>
      </c>
      <c r="D18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141.17365193264641</v>
      </c>
      <c r="E1846" t="str">
        <f>Table14[[#This Row],[Color Code]] &amp; " - " &amp;Table14[[#This Row],[Color Name]]</f>
        <v>685E50 - 8461</v>
      </c>
    </row>
    <row r="1847" spans="1:5" x14ac:dyDescent="0.35">
      <c r="A1847" s="17" t="s">
        <v>4073</v>
      </c>
      <c r="B1847" t="s">
        <v>6418</v>
      </c>
      <c r="C1847" s="9" t="str">
        <f>_xlfn.CONCAT(HEX2DEC(MID(Table14[[#This Row],[Color Code]], 1, 2))," , ",HEX2DEC(MID(Table14[[#This Row],[Color Code]], 3, 2))," , ",HEX2DEC(MID(Table14[[#This Row],[Color Code]], 5, 2)))</f>
        <v>117 , 87 , 74</v>
      </c>
      <c r="D18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141.17365193264641</v>
      </c>
      <c r="E1847" t="str">
        <f>Table14[[#This Row],[Color Code]] &amp; " - " &amp;Table14[[#This Row],[Color Name]]</f>
        <v>75574A - K209</v>
      </c>
    </row>
    <row r="1848" spans="1:5" x14ac:dyDescent="0.35">
      <c r="A1848" s="17" t="s">
        <v>4370</v>
      </c>
      <c r="B1848" t="s">
        <v>6751</v>
      </c>
      <c r="C1848" s="9" t="str">
        <f>_xlfn.CONCAT(HEX2DEC(MID(Table14[[#This Row],[Color Code]], 1, 2))," , ",HEX2DEC(MID(Table14[[#This Row],[Color Code]], 3, 2))," , ",HEX2DEC(MID(Table14[[#This Row],[Color Code]], 5, 2)))</f>
        <v>92 , 79 , 128</v>
      </c>
      <c r="D18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141.22676800097071</v>
      </c>
      <c r="E1848" t="str">
        <f>Table14[[#This Row],[Color Code]] &amp; " - " &amp;Table14[[#This Row],[Color Name]]</f>
        <v>5C4F80 - 7157</v>
      </c>
    </row>
    <row r="1849" spans="1:5" x14ac:dyDescent="0.35">
      <c r="A1849" s="17" t="s">
        <v>2712</v>
      </c>
      <c r="B1849" t="s">
        <v>4920</v>
      </c>
      <c r="C1849" s="9" t="str">
        <f>_xlfn.CONCAT(HEX2DEC(MID(Table14[[#This Row],[Color Code]], 1, 2))," , ",HEX2DEC(MID(Table14[[#This Row],[Color Code]], 3, 2))," , ",HEX2DEC(MID(Table14[[#This Row],[Color Code]], 5, 2)))</f>
        <v>82 , 87 , 141</v>
      </c>
      <c r="D18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141.5627069534911</v>
      </c>
      <c r="E1849" t="str">
        <f>Table14[[#This Row],[Color Code]] &amp; " - " &amp;Table14[[#This Row],[Color Name]]</f>
        <v>52578D - 7205</v>
      </c>
    </row>
    <row r="1850" spans="1:5" x14ac:dyDescent="0.35">
      <c r="A1850" s="17" t="s">
        <v>4459</v>
      </c>
      <c r="B1850" t="s">
        <v>5376</v>
      </c>
      <c r="C1850" s="9" t="str">
        <f>_xlfn.CONCAT(HEX2DEC(MID(Table14[[#This Row],[Color Code]], 1, 2))," , ",HEX2DEC(MID(Table14[[#This Row],[Color Code]], 3, 2))," , ",HEX2DEC(MID(Table14[[#This Row],[Color Code]], 5, 2)))</f>
        <v>102 , 110 , 67</v>
      </c>
      <c r="D18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141.66509803053114</v>
      </c>
      <c r="E1850" t="str">
        <f>Table14[[#This Row],[Color Code]] &amp; " - " &amp;Table14[[#This Row],[Color Name]]</f>
        <v>666E43 - 9808</v>
      </c>
    </row>
    <row r="1851" spans="1:5" x14ac:dyDescent="0.35">
      <c r="A1851" s="17" t="s">
        <v>4273</v>
      </c>
      <c r="B1851" t="s">
        <v>6644</v>
      </c>
      <c r="C1851" s="9" t="str">
        <f>_xlfn.CONCAT(HEX2DEC(MID(Table14[[#This Row],[Color Code]], 1, 2))," , ",HEX2DEC(MID(Table14[[#This Row],[Color Code]], 3, 2))," , ",HEX2DEC(MID(Table14[[#This Row],[Color Code]], 5, 2)))</f>
        <v>155 , 72 , 65</v>
      </c>
      <c r="D18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141.69685952765502</v>
      </c>
      <c r="E1851" t="str">
        <f>Table14[[#This Row],[Color Code]] &amp; " - " &amp;Table14[[#This Row],[Color Name]]</f>
        <v>9B4841 - X118</v>
      </c>
    </row>
    <row r="1852" spans="1:5" x14ac:dyDescent="0.35">
      <c r="A1852" s="17" t="s">
        <v>3012</v>
      </c>
      <c r="B1852" t="s">
        <v>5256</v>
      </c>
      <c r="C1852" s="9" t="str">
        <f>_xlfn.CONCAT(HEX2DEC(MID(Table14[[#This Row],[Color Code]], 1, 2))," , ",HEX2DEC(MID(Table14[[#This Row],[Color Code]], 3, 2))," , ",HEX2DEC(MID(Table14[[#This Row],[Color Code]], 5, 2)))</f>
        <v>90 , 109 , 82</v>
      </c>
      <c r="D18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141.73566946961517</v>
      </c>
      <c r="E1852" t="str">
        <f>Table14[[#This Row],[Color Code]] &amp; " - " &amp;Table14[[#This Row],[Color Name]]</f>
        <v>5A6D52 - 2361</v>
      </c>
    </row>
    <row r="1853" spans="1:5" x14ac:dyDescent="0.35">
      <c r="A1853" s="17" t="s">
        <v>4568</v>
      </c>
      <c r="B1853" t="s">
        <v>6587</v>
      </c>
      <c r="C1853" s="9" t="str">
        <f>_xlfn.CONCAT(HEX2DEC(MID(Table14[[#This Row],[Color Code]], 1, 2))," , ",HEX2DEC(MID(Table14[[#This Row],[Color Code]], 3, 2))," , ",HEX2DEC(MID(Table14[[#This Row],[Color Code]], 5, 2)))</f>
        <v>104 , 89 , 84</v>
      </c>
      <c r="D18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142.05984654363104</v>
      </c>
      <c r="E1853" t="str">
        <f>Table14[[#This Row],[Color Code]] &amp; " - " &amp;Table14[[#This Row],[Color Name]]</f>
        <v>685954 - K280</v>
      </c>
    </row>
    <row r="1854" spans="1:5" x14ac:dyDescent="0.35">
      <c r="A1854" s="17" t="s">
        <v>3376</v>
      </c>
      <c r="B1854" t="s">
        <v>5635</v>
      </c>
      <c r="C1854" s="9" t="str">
        <f>_xlfn.CONCAT(HEX2DEC(MID(Table14[[#This Row],[Color Code]], 1, 2))," , ",HEX2DEC(MID(Table14[[#This Row],[Color Code]], 3, 2))," , ",HEX2DEC(MID(Table14[[#This Row],[Color Code]], 5, 2)))</f>
        <v>254 , 160 , 28</v>
      </c>
      <c r="D18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142.11966788590522</v>
      </c>
      <c r="E1854" t="str">
        <f>Table14[[#This Row],[Color Code]] &amp; " - " &amp;Table14[[#This Row],[Color Name]]</f>
        <v>FEA01C - 7949</v>
      </c>
    </row>
    <row r="1855" spans="1:5" x14ac:dyDescent="0.35">
      <c r="A1855" s="17" t="s">
        <v>4258</v>
      </c>
      <c r="B1855" t="s">
        <v>6627</v>
      </c>
      <c r="C1855" s="9" t="str">
        <f>_xlfn.CONCAT(HEX2DEC(MID(Table14[[#This Row],[Color Code]], 1, 2))," , ",HEX2DEC(MID(Table14[[#This Row],[Color Code]], 3, 2))," , ",HEX2DEC(MID(Table14[[#This Row],[Color Code]], 5, 2)))</f>
        <v>112 , 88 , 76</v>
      </c>
      <c r="D18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142.16187955988764</v>
      </c>
      <c r="E1855" t="str">
        <f>Table14[[#This Row],[Color Code]] &amp; " - " &amp;Table14[[#This Row],[Color Name]]</f>
        <v>70584C - K284</v>
      </c>
    </row>
    <row r="1856" spans="1:5" x14ac:dyDescent="0.35">
      <c r="A1856" s="17" t="s">
        <v>4399</v>
      </c>
      <c r="B1856" t="s">
        <v>6787</v>
      </c>
      <c r="C1856" s="9" t="str">
        <f>_xlfn.CONCAT(HEX2DEC(MID(Table14[[#This Row],[Color Code]], 1, 2))," , ",HEX2DEC(MID(Table14[[#This Row],[Color Code]], 3, 2))," , ",HEX2DEC(MID(Table14[[#This Row],[Color Code]], 5, 2)))</f>
        <v>130 , 72 , 79</v>
      </c>
      <c r="D18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142.22868908908637</v>
      </c>
      <c r="E1856" t="str">
        <f>Table14[[#This Row],[Color Code]] &amp; " - " &amp;Table14[[#This Row],[Color Name]]</f>
        <v>82484F - X163</v>
      </c>
    </row>
    <row r="1857" spans="1:5" x14ac:dyDescent="0.35">
      <c r="A1857" s="17" t="s">
        <v>4386</v>
      </c>
      <c r="B1857" t="s">
        <v>6770</v>
      </c>
      <c r="C1857" s="9" t="str">
        <f>_xlfn.CONCAT(HEX2DEC(MID(Table14[[#This Row],[Color Code]], 1, 2))," , ",HEX2DEC(MID(Table14[[#This Row],[Color Code]], 3, 2))," , ",HEX2DEC(MID(Table14[[#This Row],[Color Code]], 5, 2)))</f>
        <v>117 , 71 , 93</v>
      </c>
      <c r="D18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142.42541907960108</v>
      </c>
      <c r="E1857" t="str">
        <f>Table14[[#This Row],[Color Code]] &amp; " - " &amp;Table14[[#This Row],[Color Name]]</f>
        <v>75475D - X136</v>
      </c>
    </row>
    <row r="1858" spans="1:5" x14ac:dyDescent="0.35">
      <c r="A1858" s="17" t="s">
        <v>4470</v>
      </c>
      <c r="B1858" t="s">
        <v>5745</v>
      </c>
      <c r="C1858" s="9" t="str">
        <f>_xlfn.CONCAT(HEX2DEC(MID(Table14[[#This Row],[Color Code]], 1, 2))," , ",HEX2DEC(MID(Table14[[#This Row],[Color Code]], 3, 2))," , ",HEX2DEC(MID(Table14[[#This Row],[Color Code]], 5, 2)))</f>
        <v>131 , 82 , 66</v>
      </c>
      <c r="D18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142.44648117801998</v>
      </c>
      <c r="E1858" t="str">
        <f>Table14[[#This Row],[Color Code]] &amp; " - " &amp;Table14[[#This Row],[Color Name]]</f>
        <v>835242 - 9958</v>
      </c>
    </row>
    <row r="1859" spans="1:5" x14ac:dyDescent="0.35">
      <c r="A1859" s="17" t="s">
        <v>2852</v>
      </c>
      <c r="B1859" t="s">
        <v>5069</v>
      </c>
      <c r="C1859" s="9" t="str">
        <f>_xlfn.CONCAT(HEX2DEC(MID(Table14[[#This Row],[Color Code]], 1, 2))," , ",HEX2DEC(MID(Table14[[#This Row],[Color Code]], 3, 2))," , ",HEX2DEC(MID(Table14[[#This Row],[Color Code]], 5, 2)))</f>
        <v>58 , 128 , 143</v>
      </c>
      <c r="D18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142.50964879614293</v>
      </c>
      <c r="E1859" t="str">
        <f>Table14[[#This Row],[Color Code]] &amp; " - " &amp;Table14[[#This Row],[Color Name]]</f>
        <v>3A808F - 9686</v>
      </c>
    </row>
    <row r="1860" spans="1:5" x14ac:dyDescent="0.35">
      <c r="A1860" s="17" t="s">
        <v>4262</v>
      </c>
      <c r="B1860" t="s">
        <v>6632</v>
      </c>
      <c r="C1860" s="9" t="str">
        <f>_xlfn.CONCAT(HEX2DEC(MID(Table14[[#This Row],[Color Code]], 1, 2))," , ",HEX2DEC(MID(Table14[[#This Row],[Color Code]], 3, 2))," , ",HEX2DEC(MID(Table14[[#This Row],[Color Code]], 5, 2)))</f>
        <v>186 , 62 , 68</v>
      </c>
      <c r="D18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142.73752134600068</v>
      </c>
      <c r="E1860" t="str">
        <f>Table14[[#This Row],[Color Code]] &amp; " - " &amp;Table14[[#This Row],[Color Name]]</f>
        <v>BA3E44 - 8085</v>
      </c>
    </row>
    <row r="1861" spans="1:5" x14ac:dyDescent="0.35">
      <c r="A1861" s="17" t="s">
        <v>3166</v>
      </c>
      <c r="B1861" t="s">
        <v>5422</v>
      </c>
      <c r="C1861" s="9" t="str">
        <f>_xlfn.CONCAT(HEX2DEC(MID(Table14[[#This Row],[Color Code]], 1, 2))," , ",HEX2DEC(MID(Table14[[#This Row],[Color Code]], 3, 2))," , ",HEX2DEC(MID(Table14[[#This Row],[Color Code]], 5, 2)))</f>
        <v>106 , 110 , 61</v>
      </c>
      <c r="D18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143.02796929272262</v>
      </c>
      <c r="E1861" t="str">
        <f>Table14[[#This Row],[Color Code]] &amp; " - " &amp;Table14[[#This Row],[Color Name]]</f>
        <v>6A6E3D - 9845</v>
      </c>
    </row>
    <row r="1862" spans="1:5" x14ac:dyDescent="0.35">
      <c r="A1862" s="17" t="s">
        <v>4147</v>
      </c>
      <c r="B1862" t="s">
        <v>6500</v>
      </c>
      <c r="C1862" s="9" t="str">
        <f>_xlfn.CONCAT(HEX2DEC(MID(Table14[[#This Row],[Color Code]], 1, 2))," , ",HEX2DEC(MID(Table14[[#This Row],[Color Code]], 3, 2))," , ",HEX2DEC(MID(Table14[[#This Row],[Color Code]], 5, 2)))</f>
        <v>138 , 74 , 69</v>
      </c>
      <c r="D18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143.22360140703069</v>
      </c>
      <c r="E1862" t="str">
        <f>Table14[[#This Row],[Color Code]] &amp; " - " &amp;Table14[[#This Row],[Color Name]]</f>
        <v>8A4A45 - 8669</v>
      </c>
    </row>
    <row r="1863" spans="1:5" x14ac:dyDescent="0.35">
      <c r="A1863" s="17" t="s">
        <v>4467</v>
      </c>
      <c r="B1863" t="s">
        <v>5706</v>
      </c>
      <c r="C1863" s="9" t="str">
        <f>_xlfn.CONCAT(HEX2DEC(MID(Table14[[#This Row],[Color Code]], 1, 2))," , ",HEX2DEC(MID(Table14[[#This Row],[Color Code]], 3, 2))," , ",HEX2DEC(MID(Table14[[#This Row],[Color Code]], 5, 2)))</f>
        <v>134 , 78 , 67</v>
      </c>
      <c r="D18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143.23756490529991</v>
      </c>
      <c r="E1863" t="str">
        <f>Table14[[#This Row],[Color Code]] &amp; " - " &amp;Table14[[#This Row],[Color Name]]</f>
        <v>864E43 - 9946</v>
      </c>
    </row>
    <row r="1864" spans="1:5" x14ac:dyDescent="0.35">
      <c r="A1864" s="17" t="s">
        <v>4452</v>
      </c>
      <c r="B1864" t="s">
        <v>5302</v>
      </c>
      <c r="C1864" s="9" t="str">
        <f>_xlfn.CONCAT(HEX2DEC(MID(Table14[[#This Row],[Color Code]], 1, 2))," , ",HEX2DEC(MID(Table14[[#This Row],[Color Code]], 3, 2))," , ",HEX2DEC(MID(Table14[[#This Row],[Color Code]], 5, 2)))</f>
        <v>85 , 128 , 72</v>
      </c>
      <c r="D18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143.34224778480348</v>
      </c>
      <c r="E1864" t="str">
        <f>Table14[[#This Row],[Color Code]] &amp; " - " &amp;Table14[[#This Row],[Color Name]]</f>
        <v>558048 - 9783</v>
      </c>
    </row>
    <row r="1865" spans="1:5" x14ac:dyDescent="0.35">
      <c r="A1865" s="17" t="s">
        <v>4218</v>
      </c>
      <c r="B1865" t="s">
        <v>6578</v>
      </c>
      <c r="C1865" s="9" t="str">
        <f>_xlfn.CONCAT(HEX2DEC(MID(Table14[[#This Row],[Color Code]], 1, 2))," , ",HEX2DEC(MID(Table14[[#This Row],[Color Code]], 3, 2))," , ",HEX2DEC(MID(Table14[[#This Row],[Color Code]], 5, 2)))</f>
        <v>108 , 87 , 79</v>
      </c>
      <c r="D18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143.44336861632885</v>
      </c>
      <c r="E1865" t="str">
        <f>Table14[[#This Row],[Color Code]] &amp; " - " &amp;Table14[[#This Row],[Color Name]]</f>
        <v>6C574F - K271</v>
      </c>
    </row>
    <row r="1866" spans="1:5" x14ac:dyDescent="0.35">
      <c r="A1866" s="17" t="s">
        <v>4528</v>
      </c>
      <c r="B1866" t="s">
        <v>6211</v>
      </c>
      <c r="C1866" s="9" t="str">
        <f>_xlfn.CONCAT(HEX2DEC(MID(Table14[[#This Row],[Color Code]], 1, 2))," , ",HEX2DEC(MID(Table14[[#This Row],[Color Code]], 3, 2))," , ",HEX2DEC(MID(Table14[[#This Row],[Color Code]], 5, 2)))</f>
        <v>97 , 97 , 81</v>
      </c>
      <c r="D18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143.47473645210155</v>
      </c>
      <c r="E1866" t="str">
        <f>Table14[[#This Row],[Color Code]] &amp; " - " &amp;Table14[[#This Row],[Color Name]]</f>
        <v>616151 - 8397</v>
      </c>
    </row>
    <row r="1867" spans="1:5" x14ac:dyDescent="0.35">
      <c r="A1867" s="17" t="s">
        <v>2929</v>
      </c>
      <c r="B1867" t="s">
        <v>5158</v>
      </c>
      <c r="C1867" s="9" t="str">
        <f>_xlfn.CONCAT(HEX2DEC(MID(Table14[[#This Row],[Color Code]], 1, 2))," , ",HEX2DEC(MID(Table14[[#This Row],[Color Code]], 3, 2))," , ",HEX2DEC(MID(Table14[[#This Row],[Color Code]], 5, 2)))</f>
        <v>51 , 189 , 178</v>
      </c>
      <c r="D18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143.54790141273401</v>
      </c>
      <c r="E1867" t="str">
        <f>Table14[[#This Row],[Color Code]] &amp; " - " &amp;Table14[[#This Row],[Color Name]]</f>
        <v>33BDB2 - 7511</v>
      </c>
    </row>
    <row r="1868" spans="1:5" x14ac:dyDescent="0.35">
      <c r="A1868" s="17" t="s">
        <v>3844</v>
      </c>
      <c r="B1868" t="s">
        <v>6162</v>
      </c>
      <c r="C1868" s="9" t="str">
        <f>_xlfn.CONCAT(HEX2DEC(MID(Table14[[#This Row],[Color Code]], 1, 2))," , ",HEX2DEC(MID(Table14[[#This Row],[Color Code]], 3, 2))," , ",HEX2DEC(MID(Table14[[#This Row],[Color Code]], 5, 2)))</f>
        <v>88 , 99 , 91</v>
      </c>
      <c r="D18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143.83323677092162</v>
      </c>
      <c r="E1868" t="str">
        <f>Table14[[#This Row],[Color Code]] &amp; " - " &amp;Table14[[#This Row],[Color Name]]</f>
        <v>58635B - K139</v>
      </c>
    </row>
    <row r="1869" spans="1:5" x14ac:dyDescent="0.35">
      <c r="A1869" s="17" t="s">
        <v>4496</v>
      </c>
      <c r="B1869" t="s">
        <v>6049</v>
      </c>
      <c r="C1869" s="9" t="str">
        <f>_xlfn.CONCAT(HEX2DEC(MID(Table14[[#This Row],[Color Code]], 1, 2))," , ",HEX2DEC(MID(Table14[[#This Row],[Color Code]], 3, 2))," , ",HEX2DEC(MID(Table14[[#This Row],[Color Code]], 5, 2)))</f>
        <v>83 , 97 , 102</v>
      </c>
      <c r="D18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144.13188405068465</v>
      </c>
      <c r="E1869" t="str">
        <f>Table14[[#This Row],[Color Code]] &amp; " - " &amp;Table14[[#This Row],[Color Name]]</f>
        <v>536166 - K293</v>
      </c>
    </row>
    <row r="1870" spans="1:5" x14ac:dyDescent="0.35">
      <c r="A1870" s="17" t="s">
        <v>3309</v>
      </c>
      <c r="B1870" t="s">
        <v>5568</v>
      </c>
      <c r="C1870" s="9" t="str">
        <f>_xlfn.CONCAT(HEX2DEC(MID(Table14[[#This Row],[Color Code]], 1, 2))," , ",HEX2DEC(MID(Table14[[#This Row],[Color Code]], 3, 2))," , ",HEX2DEC(MID(Table14[[#This Row],[Color Code]], 5, 2)))</f>
        <v>124 , 94 , 57</v>
      </c>
      <c r="D18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144.183910336764</v>
      </c>
      <c r="E1870" t="str">
        <f>Table14[[#This Row],[Color Code]] &amp; " - " &amp;Table14[[#This Row],[Color Name]]</f>
        <v>7C5E39 - 9885</v>
      </c>
    </row>
    <row r="1871" spans="1:5" x14ac:dyDescent="0.35">
      <c r="A1871" s="17" t="s">
        <v>3630</v>
      </c>
      <c r="B1871" t="s">
        <v>5900</v>
      </c>
      <c r="C1871" s="9" t="str">
        <f>_xlfn.CONCAT(HEX2DEC(MID(Table14[[#This Row],[Color Code]], 1, 2))," , ",HEX2DEC(MID(Table14[[#This Row],[Color Code]], 3, 2))," , ",HEX2DEC(MID(Table14[[#This Row],[Color Code]], 5, 2)))</f>
        <v>142 , 63 , 79</v>
      </c>
      <c r="D18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144.29137188342204</v>
      </c>
      <c r="E1871" t="str">
        <f>Table14[[#This Row],[Color Code]] &amp; " - " &amp;Table14[[#This Row],[Color Name]]</f>
        <v>8E3F4F - 8133</v>
      </c>
    </row>
    <row r="1872" spans="1:5" x14ac:dyDescent="0.35">
      <c r="A1872" s="17" t="s">
        <v>2664</v>
      </c>
      <c r="B1872" t="s">
        <v>4871</v>
      </c>
      <c r="C1872" s="9" t="str">
        <f>_xlfn.CONCAT(HEX2DEC(MID(Table14[[#This Row],[Color Code]], 1, 2))," , ",HEX2DEC(MID(Table14[[#This Row],[Color Code]], 3, 2))," , ",HEX2DEC(MID(Table14[[#This Row],[Color Code]], 5, 2)))</f>
        <v>94 , 80 , 108</v>
      </c>
      <c r="D18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144.35373219975992</v>
      </c>
      <c r="E1872" t="str">
        <f>Table14[[#This Row],[Color Code]] &amp; " - " &amp;Table14[[#This Row],[Color Name]]</f>
        <v>5E506C - 7149</v>
      </c>
    </row>
    <row r="1873" spans="1:5" x14ac:dyDescent="0.35">
      <c r="A1873" s="17" t="s">
        <v>4005</v>
      </c>
      <c r="B1873" t="s">
        <v>6347</v>
      </c>
      <c r="C1873" s="9" t="str">
        <f>_xlfn.CONCAT(HEX2DEC(MID(Table14[[#This Row],[Color Code]], 1, 2))," , ",HEX2DEC(MID(Table14[[#This Row],[Color Code]], 3, 2))," , ",HEX2DEC(MID(Table14[[#This Row],[Color Code]], 5, 2)))</f>
        <v>111 , 91 , 70</v>
      </c>
      <c r="D18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144.36758638974331</v>
      </c>
      <c r="E1873" t="str">
        <f>Table14[[#This Row],[Color Code]] &amp; " - " &amp;Table14[[#This Row],[Color Name]]</f>
        <v>6F5B46 - K188</v>
      </c>
    </row>
    <row r="1874" spans="1:5" x14ac:dyDescent="0.35">
      <c r="A1874" s="17" t="s">
        <v>3606</v>
      </c>
      <c r="B1874" t="s">
        <v>5875</v>
      </c>
      <c r="C1874" s="9" t="str">
        <f>_xlfn.CONCAT(HEX2DEC(MID(Table14[[#This Row],[Color Code]], 1, 2))," , ",HEX2DEC(MID(Table14[[#This Row],[Color Code]], 3, 2))," , ",HEX2DEC(MID(Table14[[#This Row],[Color Code]], 5, 2)))</f>
        <v>152 , 63 , 73</v>
      </c>
      <c r="D18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144.45760623795482</v>
      </c>
      <c r="E1874" t="str">
        <f>Table14[[#This Row],[Color Code]] &amp; " - " &amp;Table14[[#This Row],[Color Name]]</f>
        <v>983F49 - 8117</v>
      </c>
    </row>
    <row r="1875" spans="1:5" x14ac:dyDescent="0.35">
      <c r="A1875" s="17" t="s">
        <v>4449</v>
      </c>
      <c r="B1875" t="s">
        <v>5280</v>
      </c>
      <c r="C1875" s="9" t="str">
        <f>_xlfn.CONCAT(HEX2DEC(MID(Table14[[#This Row],[Color Code]], 1, 2))," , ",HEX2DEC(MID(Table14[[#This Row],[Color Code]], 3, 2))," , ",HEX2DEC(MID(Table14[[#This Row],[Color Code]], 5, 2)))</f>
        <v>81 , 158 , 64</v>
      </c>
      <c r="D18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144.53719244540486</v>
      </c>
      <c r="E1875" t="str">
        <f>Table14[[#This Row],[Color Code]] &amp; " - " &amp;Table14[[#This Row],[Color Name]]</f>
        <v>519E40 - 7653</v>
      </c>
    </row>
    <row r="1876" spans="1:5" x14ac:dyDescent="0.35">
      <c r="A1876" s="17" t="s">
        <v>3805</v>
      </c>
      <c r="B1876" t="s">
        <v>6114</v>
      </c>
      <c r="C1876" s="9" t="str">
        <f>_xlfn.CONCAT(HEX2DEC(MID(Table14[[#This Row],[Color Code]], 1, 2))," , ",HEX2DEC(MID(Table14[[#This Row],[Color Code]], 3, 2))," , ",HEX2DEC(MID(Table14[[#This Row],[Color Code]], 5, 2)))</f>
        <v>94 , 93 , 87</v>
      </c>
      <c r="D18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144.74805698177784</v>
      </c>
      <c r="E1876" t="str">
        <f>Table14[[#This Row],[Color Code]] &amp; " - " &amp;Table14[[#This Row],[Color Name]]</f>
        <v>5E5D57 - K120</v>
      </c>
    </row>
    <row r="1877" spans="1:5" x14ac:dyDescent="0.35">
      <c r="A1877" s="17" t="s">
        <v>4461</v>
      </c>
      <c r="B1877" t="s">
        <v>5423</v>
      </c>
      <c r="C1877" s="9" t="str">
        <f>_xlfn.CONCAT(HEX2DEC(MID(Table14[[#This Row],[Color Code]], 1, 2))," , ",HEX2DEC(MID(Table14[[#This Row],[Color Code]], 3, 2))," , ",HEX2DEC(MID(Table14[[#This Row],[Color Code]], 5, 2)))</f>
        <v>98 , 105 , 70</v>
      </c>
      <c r="D18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144.77914214416384</v>
      </c>
      <c r="E1877" t="str">
        <f>Table14[[#This Row],[Color Code]] &amp; " - " &amp;Table14[[#This Row],[Color Name]]</f>
        <v>626946 - 9846</v>
      </c>
    </row>
    <row r="1878" spans="1:5" x14ac:dyDescent="0.35">
      <c r="A1878" s="17" t="s">
        <v>4118</v>
      </c>
      <c r="B1878" t="s">
        <v>6468</v>
      </c>
      <c r="C1878" s="9" t="str">
        <f>_xlfn.CONCAT(HEX2DEC(MID(Table14[[#This Row],[Color Code]], 1, 2))," , ",HEX2DEC(MID(Table14[[#This Row],[Color Code]], 3, 2))," , ",HEX2DEC(MID(Table14[[#This Row],[Color Code]], 5, 2)))</f>
        <v>142 , 75 , 63</v>
      </c>
      <c r="D18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144.78950238190612</v>
      </c>
      <c r="E1878" t="str">
        <f>Table14[[#This Row],[Color Code]] &amp; " - " &amp;Table14[[#This Row],[Color Name]]</f>
        <v>8E4B3F - 0427</v>
      </c>
    </row>
    <row r="1879" spans="1:5" x14ac:dyDescent="0.35">
      <c r="A1879" s="17" t="s">
        <v>3583</v>
      </c>
      <c r="B1879" t="s">
        <v>5852</v>
      </c>
      <c r="C1879" s="9" t="str">
        <f>_xlfn.CONCAT(HEX2DEC(MID(Table14[[#This Row],[Color Code]], 1, 2))," , ",HEX2DEC(MID(Table14[[#This Row],[Color Code]], 3, 2))," , ",HEX2DEC(MID(Table14[[#This Row],[Color Code]], 5, 2)))</f>
        <v>129 , 69 , 79</v>
      </c>
      <c r="D18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144.8481963988506</v>
      </c>
      <c r="E1879" t="str">
        <f>Table14[[#This Row],[Color Code]] &amp; " - " &amp;Table14[[#This Row],[Color Name]]</f>
        <v>81454F - 8109</v>
      </c>
    </row>
    <row r="1880" spans="1:5" x14ac:dyDescent="0.35">
      <c r="A1880" s="17" t="s">
        <v>3793</v>
      </c>
      <c r="B1880" t="s">
        <v>6092</v>
      </c>
      <c r="C1880" s="9" t="str">
        <f>_xlfn.CONCAT(HEX2DEC(MID(Table14[[#This Row],[Color Code]], 1, 2))," , ",HEX2DEC(MID(Table14[[#This Row],[Color Code]], 3, 2))," , ",HEX2DEC(MID(Table14[[#This Row],[Color Code]], 5, 2)))</f>
        <v>87 , 93 , 98</v>
      </c>
      <c r="D18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144.90686664199183</v>
      </c>
      <c r="E1880" t="str">
        <f>Table14[[#This Row],[Color Code]] &amp; " - " &amp;Table14[[#This Row],[Color Name]]</f>
        <v>575D62 - K296</v>
      </c>
    </row>
    <row r="1881" spans="1:5" x14ac:dyDescent="0.35">
      <c r="A1881" s="17" t="s">
        <v>4307</v>
      </c>
      <c r="B1881" t="s">
        <v>6678</v>
      </c>
      <c r="C1881" s="9" t="str">
        <f>_xlfn.CONCAT(HEX2DEC(MID(Table14[[#This Row],[Color Code]], 1, 2))," , ",HEX2DEC(MID(Table14[[#This Row],[Color Code]], 3, 2))," , ",HEX2DEC(MID(Table14[[#This Row],[Color Code]], 5, 2)))</f>
        <v>254 , 191 , 25</v>
      </c>
      <c r="D18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144.91376746189439</v>
      </c>
      <c r="E1881" t="str">
        <f>Table14[[#This Row],[Color Code]] &amp; " - " &amp;Table14[[#This Row],[Color Name]]</f>
        <v>FEBF19 - 7869</v>
      </c>
    </row>
    <row r="1882" spans="1:5" x14ac:dyDescent="0.35">
      <c r="A1882" s="17" t="s">
        <v>3966</v>
      </c>
      <c r="B1882" t="s">
        <v>6305</v>
      </c>
      <c r="C1882" s="9" t="str">
        <f>_xlfn.CONCAT(HEX2DEC(MID(Table14[[#This Row],[Color Code]], 1, 2))," , ",HEX2DEC(MID(Table14[[#This Row],[Color Code]], 3, 2))," , ",HEX2DEC(MID(Table14[[#This Row],[Color Code]], 5, 2)))</f>
        <v>106 , 94 , 71</v>
      </c>
      <c r="D18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144.95861478366851</v>
      </c>
      <c r="E1882" t="str">
        <f>Table14[[#This Row],[Color Code]] &amp; " - " &amp;Table14[[#This Row],[Color Name]]</f>
        <v>6A5E47 - K178</v>
      </c>
    </row>
    <row r="1883" spans="1:5" x14ac:dyDescent="0.35">
      <c r="A1883" s="17" t="s">
        <v>4530</v>
      </c>
      <c r="B1883" t="s">
        <v>6235</v>
      </c>
      <c r="C1883" s="9" t="str">
        <f>_xlfn.CONCAT(HEX2DEC(MID(Table14[[#This Row],[Color Code]], 1, 2))," , ",HEX2DEC(MID(Table14[[#This Row],[Color Code]], 3, 2))," , ",HEX2DEC(MID(Table14[[#This Row],[Color Code]], 5, 2)))</f>
        <v>98 , 94 , 80</v>
      </c>
      <c r="D18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144.98965480336864</v>
      </c>
      <c r="E1883" t="str">
        <f>Table14[[#This Row],[Color Code]] &amp; " - " &amp;Table14[[#This Row],[Color Name]]</f>
        <v>625E50 - 8421</v>
      </c>
    </row>
    <row r="1884" spans="1:5" x14ac:dyDescent="0.35">
      <c r="A1884" s="17" t="s">
        <v>3932</v>
      </c>
      <c r="B1884" t="s">
        <v>6260</v>
      </c>
      <c r="C1884" s="9" t="str">
        <f>_xlfn.CONCAT(HEX2DEC(MID(Table14[[#This Row],[Color Code]], 1, 2))," , ",HEX2DEC(MID(Table14[[#This Row],[Color Code]], 3, 2))," , ",HEX2DEC(MID(Table14[[#This Row],[Color Code]], 5, 2)))</f>
        <v>105 , 91 , 75</v>
      </c>
      <c r="D18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145</v>
      </c>
      <c r="E1884" t="str">
        <f>Table14[[#This Row],[Color Code]] &amp; " - " &amp;Table14[[#This Row],[Color Name]]</f>
        <v>695B4B - 8453</v>
      </c>
    </row>
    <row r="1885" spans="1:5" x14ac:dyDescent="0.35">
      <c r="A1885" s="17" t="s">
        <v>4471</v>
      </c>
      <c r="B1885" t="s">
        <v>5746</v>
      </c>
      <c r="C1885" s="9" t="str">
        <f>_xlfn.CONCAT(HEX2DEC(MID(Table14[[#This Row],[Color Code]], 1, 2))," , ",HEX2DEC(MID(Table14[[#This Row],[Color Code]], 3, 2))," , ",HEX2DEC(MID(Table14[[#This Row],[Color Code]], 5, 2)))</f>
        <v>131 , 78 , 66</v>
      </c>
      <c r="D18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145.08962747212496</v>
      </c>
      <c r="E1885" t="str">
        <f>Table14[[#This Row],[Color Code]] &amp; " - " &amp;Table14[[#This Row],[Color Name]]</f>
        <v>834E42 - 9959</v>
      </c>
    </row>
    <row r="1886" spans="1:5" x14ac:dyDescent="0.35">
      <c r="A1886" s="17" t="s">
        <v>3301</v>
      </c>
      <c r="B1886" t="s">
        <v>5560</v>
      </c>
      <c r="C1886" s="9" t="str">
        <f>_xlfn.CONCAT(HEX2DEC(MID(Table14[[#This Row],[Color Code]], 1, 2))," , ",HEX2DEC(MID(Table14[[#This Row],[Color Code]], 3, 2))," , ",HEX2DEC(MID(Table14[[#This Row],[Color Code]], 5, 2)))</f>
        <v>124 , 91 , 58</v>
      </c>
      <c r="D18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145.22052196573321</v>
      </c>
      <c r="E1886" t="str">
        <f>Table14[[#This Row],[Color Code]] &amp; " - " &amp;Table14[[#This Row],[Color Name]]</f>
        <v>7C5B3A - 9884</v>
      </c>
    </row>
    <row r="1887" spans="1:5" x14ac:dyDescent="0.35">
      <c r="A1887" s="17" t="s">
        <v>4280</v>
      </c>
      <c r="B1887" t="s">
        <v>6651</v>
      </c>
      <c r="C1887" s="9" t="str">
        <f>_xlfn.CONCAT(HEX2DEC(MID(Table14[[#This Row],[Color Code]], 1, 2))," , ",HEX2DEC(MID(Table14[[#This Row],[Color Code]], 3, 2))," , ",HEX2DEC(MID(Table14[[#This Row],[Color Code]], 5, 2)))</f>
        <v>186 , 67 , 58</v>
      </c>
      <c r="D18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145.28936643815334</v>
      </c>
      <c r="E1887" t="str">
        <f>Table14[[#This Row],[Color Code]] &amp; " - " &amp;Table14[[#This Row],[Color Name]]</f>
        <v>BA433A - X120</v>
      </c>
    </row>
    <row r="1888" spans="1:5" x14ac:dyDescent="0.35">
      <c r="A1888" s="17" t="s">
        <v>4563</v>
      </c>
      <c r="B1888" t="s">
        <v>6572</v>
      </c>
      <c r="C1888" s="9" t="str">
        <f>_xlfn.CONCAT(HEX2DEC(MID(Table14[[#This Row],[Color Code]], 1, 2))," , ",HEX2DEC(MID(Table14[[#This Row],[Color Code]], 3, 2))," , ",HEX2DEC(MID(Table14[[#This Row],[Color Code]], 5, 2)))</f>
        <v>120 , 72 , 82</v>
      </c>
      <c r="D18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145.33409785731632</v>
      </c>
      <c r="E1888" t="str">
        <f>Table14[[#This Row],[Color Code]] &amp; " - " &amp;Table14[[#This Row],[Color Name]]</f>
        <v>784852 - K265</v>
      </c>
    </row>
    <row r="1889" spans="1:5" x14ac:dyDescent="0.35">
      <c r="A1889" s="17" t="s">
        <v>3614</v>
      </c>
      <c r="B1889" t="s">
        <v>5884</v>
      </c>
      <c r="C1889" s="9" t="str">
        <f>_xlfn.CONCAT(HEX2DEC(MID(Table14[[#This Row],[Color Code]], 1, 2))," , ",HEX2DEC(MID(Table14[[#This Row],[Color Code]], 3, 2))," , ",HEX2DEC(MID(Table14[[#This Row],[Color Code]], 5, 2)))</f>
        <v>149 , 62 , 74</v>
      </c>
      <c r="D18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145.53006562219369</v>
      </c>
      <c r="E1889" t="str">
        <f>Table14[[#This Row],[Color Code]] &amp; " - " &amp;Table14[[#This Row],[Color Name]]</f>
        <v>953E4A - 8125</v>
      </c>
    </row>
    <row r="1890" spans="1:5" x14ac:dyDescent="0.35">
      <c r="A1890" s="17" t="s">
        <v>3968</v>
      </c>
      <c r="B1890" t="s">
        <v>6307</v>
      </c>
      <c r="C1890" s="9" t="str">
        <f>_xlfn.CONCAT(HEX2DEC(MID(Table14[[#This Row],[Color Code]], 1, 2))," , ",HEX2DEC(MID(Table14[[#This Row],[Color Code]], 3, 2))," , ",HEX2DEC(MID(Table14[[#This Row],[Color Code]], 5, 2)))</f>
        <v>102 , 94 , 74</v>
      </c>
      <c r="D18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145.67772650614782</v>
      </c>
      <c r="E1890" t="str">
        <f>Table14[[#This Row],[Color Code]] &amp; " - " &amp;Table14[[#This Row],[Color Name]]</f>
        <v>665E4A - K180</v>
      </c>
    </row>
    <row r="1891" spans="1:5" x14ac:dyDescent="0.35">
      <c r="A1891" s="17" t="s">
        <v>4549</v>
      </c>
      <c r="B1891" t="s">
        <v>6412</v>
      </c>
      <c r="C1891" s="9" t="str">
        <f>_xlfn.CONCAT(HEX2DEC(MID(Table14[[#This Row],[Color Code]], 1, 2))," , ",HEX2DEC(MID(Table14[[#This Row],[Color Code]], 3, 2))," , ",HEX2DEC(MID(Table14[[#This Row],[Color Code]], 5, 2)))</f>
        <v>113 , 85 , 72</v>
      </c>
      <c r="D18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145.70518178843196</v>
      </c>
      <c r="E1891" t="str">
        <f>Table14[[#This Row],[Color Code]] &amp; " - " &amp;Table14[[#This Row],[Color Name]]</f>
        <v>715548 - K205</v>
      </c>
    </row>
    <row r="1892" spans="1:5" x14ac:dyDescent="0.35">
      <c r="A1892" s="17" t="s">
        <v>4489</v>
      </c>
      <c r="B1892" t="s">
        <v>5979</v>
      </c>
      <c r="C1892" s="9" t="str">
        <f>_xlfn.CONCAT(HEX2DEC(MID(Table14[[#This Row],[Color Code]], 1, 2))," , ",HEX2DEC(MID(Table14[[#This Row],[Color Code]], 3, 2))," , ",HEX2DEC(MID(Table14[[#This Row],[Color Code]], 5, 2)))</f>
        <v>103 , 81 , 88</v>
      </c>
      <c r="D18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145.7600768386186</v>
      </c>
      <c r="E1892" t="str">
        <f>Table14[[#This Row],[Color Code]] &amp; " - " &amp;Table14[[#This Row],[Color Name]]</f>
        <v>675158 - K292</v>
      </c>
    </row>
    <row r="1893" spans="1:5" x14ac:dyDescent="0.35">
      <c r="A1893" s="17" t="s">
        <v>4272</v>
      </c>
      <c r="B1893" t="s">
        <v>6643</v>
      </c>
      <c r="C1893" s="9" t="str">
        <f>_xlfn.CONCAT(HEX2DEC(MID(Table14[[#This Row],[Color Code]], 1, 2))," , ",HEX2DEC(MID(Table14[[#This Row],[Color Code]], 3, 2))," , ",HEX2DEC(MID(Table14[[#This Row],[Color Code]], 5, 2)))</f>
        <v>184 , 63 , 62</v>
      </c>
      <c r="D18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145.79780519610026</v>
      </c>
      <c r="E1893" t="str">
        <f>Table14[[#This Row],[Color Code]] &amp; " - " &amp;Table14[[#This Row],[Color Name]]</f>
        <v>B83F3E - 0520</v>
      </c>
    </row>
    <row r="1894" spans="1:5" x14ac:dyDescent="0.35">
      <c r="A1894" s="17" t="s">
        <v>4400</v>
      </c>
      <c r="B1894" t="s">
        <v>4800</v>
      </c>
      <c r="C1894" s="9" t="str">
        <f>_xlfn.CONCAT(HEX2DEC(MID(Table14[[#This Row],[Color Code]], 1, 2))," , ",HEX2DEC(MID(Table14[[#This Row],[Color Code]], 3, 2))," , ",HEX2DEC(MID(Table14[[#This Row],[Color Code]], 5, 2)))</f>
        <v>118 , 64 , 96</v>
      </c>
      <c r="D18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145.86980496319313</v>
      </c>
      <c r="E1894" t="str">
        <f>Table14[[#This Row],[Color Code]] &amp; " - " &amp;Table14[[#This Row],[Color Name]]</f>
        <v>764060 - 9585</v>
      </c>
    </row>
    <row r="1895" spans="1:5" x14ac:dyDescent="0.35">
      <c r="A1895" s="17" t="s">
        <v>3437</v>
      </c>
      <c r="B1895" t="s">
        <v>5699</v>
      </c>
      <c r="C1895" s="9" t="str">
        <f>_xlfn.CONCAT(HEX2DEC(MID(Table14[[#This Row],[Color Code]], 1, 2))," , ",HEX2DEC(MID(Table14[[#This Row],[Color Code]], 3, 2))," , ",HEX2DEC(MID(Table14[[#This Row],[Color Code]], 5, 2)))</f>
        <v>122 , 81 , 68</v>
      </c>
      <c r="D18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145.96232390586277</v>
      </c>
      <c r="E1895" t="str">
        <f>Table14[[#This Row],[Color Code]] &amp; " - " &amp;Table14[[#This Row],[Color Name]]</f>
        <v>7A5144 - 9939</v>
      </c>
    </row>
    <row r="1896" spans="1:5" x14ac:dyDescent="0.35">
      <c r="A1896" s="17" t="s">
        <v>2915</v>
      </c>
      <c r="B1896" t="s">
        <v>5142</v>
      </c>
      <c r="C1896" s="9" t="str">
        <f>_xlfn.CONCAT(HEX2DEC(MID(Table14[[#This Row],[Color Code]], 1, 2))," , ",HEX2DEC(MID(Table14[[#This Row],[Color Code]], 3, 2))," , ",HEX2DEC(MID(Table14[[#This Row],[Color Code]], 5, 2)))</f>
        <v>49 , 187 , 183</v>
      </c>
      <c r="D18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146.20875486782589</v>
      </c>
      <c r="E1896" t="str">
        <f>Table14[[#This Row],[Color Code]] &amp; " - " &amp;Table14[[#This Row],[Color Name]]</f>
        <v>31BBB7 - 7503</v>
      </c>
    </row>
    <row r="1897" spans="1:5" x14ac:dyDescent="0.35">
      <c r="A1897" s="17" t="s">
        <v>3062</v>
      </c>
      <c r="B1897" t="s">
        <v>5311</v>
      </c>
      <c r="C1897" s="9" t="str">
        <f>_xlfn.CONCAT(HEX2DEC(MID(Table14[[#This Row],[Color Code]], 1, 2))," , ",HEX2DEC(MID(Table14[[#This Row],[Color Code]], 3, 2))," , ",HEX2DEC(MID(Table14[[#This Row],[Color Code]], 5, 2)))</f>
        <v>85 , 107 , 82</v>
      </c>
      <c r="D18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146.29422408283929</v>
      </c>
      <c r="E1897" t="str">
        <f>Table14[[#This Row],[Color Code]] &amp; " - " &amp;Table14[[#This Row],[Color Name]]</f>
        <v>556B52 - X157</v>
      </c>
    </row>
    <row r="1898" spans="1:5" x14ac:dyDescent="0.35">
      <c r="A1898" s="17" t="s">
        <v>4575</v>
      </c>
      <c r="B1898" t="s">
        <v>6635</v>
      </c>
      <c r="C1898" s="9" t="str">
        <f>_xlfn.CONCAT(HEX2DEC(MID(Table14[[#This Row],[Color Code]], 1, 2))," , ",HEX2DEC(MID(Table14[[#This Row],[Color Code]], 3, 2))," , ",HEX2DEC(MID(Table14[[#This Row],[Color Code]], 5, 2)))</f>
        <v>145 , 64 , 72</v>
      </c>
      <c r="D18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146.35231463834114</v>
      </c>
      <c r="E1898" t="str">
        <f>Table14[[#This Row],[Color Code]] &amp; " - " &amp;Table14[[#This Row],[Color Name]]</f>
        <v>914048 - X123</v>
      </c>
    </row>
    <row r="1899" spans="1:5" x14ac:dyDescent="0.35">
      <c r="A1899" s="17" t="s">
        <v>3739</v>
      </c>
      <c r="B1899" t="s">
        <v>6028</v>
      </c>
      <c r="C1899" s="9" t="str">
        <f>_xlfn.CONCAT(HEX2DEC(MID(Table14[[#This Row],[Color Code]], 1, 2))," , ",HEX2DEC(MID(Table14[[#This Row],[Color Code]], 3, 2))," , ",HEX2DEC(MID(Table14[[#This Row],[Color Code]], 5, 2)))</f>
        <v>94 , 89 , 88</v>
      </c>
      <c r="D18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146.59126849850233</v>
      </c>
      <c r="E1899" t="str">
        <f>Table14[[#This Row],[Color Code]] &amp; " - " &amp;Table14[[#This Row],[Color Name]]</f>
        <v>5E5958 - K090</v>
      </c>
    </row>
    <row r="1900" spans="1:5" x14ac:dyDescent="0.35">
      <c r="A1900" s="17" t="s">
        <v>4329</v>
      </c>
      <c r="B1900" t="s">
        <v>6701</v>
      </c>
      <c r="C1900" s="9" t="str">
        <f>_xlfn.CONCAT(HEX2DEC(MID(Table14[[#This Row],[Color Code]], 1, 2))," , ",HEX2DEC(MID(Table14[[#This Row],[Color Code]], 3, 2))," , ",HEX2DEC(MID(Table14[[#This Row],[Color Code]], 5, 2)))</f>
        <v>250 , 202 , 23</v>
      </c>
      <c r="D19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146.68674105044394</v>
      </c>
      <c r="E1900" t="str">
        <f>Table14[[#This Row],[Color Code]] &amp; " - " &amp;Table14[[#This Row],[Color Name]]</f>
        <v>FACA17 - X168</v>
      </c>
    </row>
    <row r="1901" spans="1:5" x14ac:dyDescent="0.35">
      <c r="A1901" s="17" t="s">
        <v>3963</v>
      </c>
      <c r="B1901" t="s">
        <v>6297</v>
      </c>
      <c r="C1901" s="9" t="str">
        <f>_xlfn.CONCAT(HEX2DEC(MID(Table14[[#This Row],[Color Code]], 1, 2))," , ",HEX2DEC(MID(Table14[[#This Row],[Color Code]], 3, 2))," , ",HEX2DEC(MID(Table14[[#This Row],[Color Code]], 5, 2)))</f>
        <v>114 , 96 , 59</v>
      </c>
      <c r="D19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146.76852523616907</v>
      </c>
      <c r="E1901" t="str">
        <f>Table14[[#This Row],[Color Code]] &amp; " - " &amp;Table14[[#This Row],[Color Name]]</f>
        <v>72603B - K170</v>
      </c>
    </row>
    <row r="1902" spans="1:5" x14ac:dyDescent="0.35">
      <c r="A1902" s="17" t="s">
        <v>3874</v>
      </c>
      <c r="B1902" t="s">
        <v>6196</v>
      </c>
      <c r="C1902" s="9" t="str">
        <f>_xlfn.CONCAT(HEX2DEC(MID(Table14[[#This Row],[Color Code]], 1, 2))," , ",HEX2DEC(MID(Table14[[#This Row],[Color Code]], 3, 2))," , ",HEX2DEC(MID(Table14[[#This Row],[Color Code]], 5, 2)))</f>
        <v>92 , 100 , 78</v>
      </c>
      <c r="D19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146.81280598094978</v>
      </c>
      <c r="E1902" t="str">
        <f>Table14[[#This Row],[Color Code]] &amp; " - " &amp;Table14[[#This Row],[Color Name]]</f>
        <v>5C644E - 8381</v>
      </c>
    </row>
    <row r="1903" spans="1:5" x14ac:dyDescent="0.35">
      <c r="A1903" s="17" t="s">
        <v>4551</v>
      </c>
      <c r="B1903" t="s">
        <v>6436</v>
      </c>
      <c r="C1903" s="9" t="str">
        <f>_xlfn.CONCAT(HEX2DEC(MID(Table14[[#This Row],[Color Code]], 1, 2))," , ",HEX2DEC(MID(Table14[[#This Row],[Color Code]], 3, 2))," , ",HEX2DEC(MID(Table14[[#This Row],[Color Code]], 5, 2)))</f>
        <v>115 , 83 , 70</v>
      </c>
      <c r="D19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147.03060905811415</v>
      </c>
      <c r="E1903" t="str">
        <f>Table14[[#This Row],[Color Code]] &amp; " - " &amp;Table14[[#This Row],[Color Name]]</f>
        <v>735346 - 0419</v>
      </c>
    </row>
    <row r="1904" spans="1:5" x14ac:dyDescent="0.35">
      <c r="A1904" s="17" t="s">
        <v>4562</v>
      </c>
      <c r="B1904" t="s">
        <v>6563</v>
      </c>
      <c r="C1904" s="9" t="str">
        <f>_xlfn.CONCAT(HEX2DEC(MID(Table14[[#This Row],[Color Code]], 1, 2))," , ",HEX2DEC(MID(Table14[[#This Row],[Color Code]], 3, 2))," , ",HEX2DEC(MID(Table14[[#This Row],[Color Code]], 5, 2)))</f>
        <v>118 , 71 , 82</v>
      </c>
      <c r="D19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147.04081066153029</v>
      </c>
      <c r="E1904" t="str">
        <f>Table14[[#This Row],[Color Code]] &amp; " - " &amp;Table14[[#This Row],[Color Name]]</f>
        <v>764752 - 8701</v>
      </c>
    </row>
    <row r="1905" spans="1:5" x14ac:dyDescent="0.35">
      <c r="A1905" s="17" t="s">
        <v>3444</v>
      </c>
      <c r="B1905" t="s">
        <v>5707</v>
      </c>
      <c r="C1905" s="9" t="str">
        <f>_xlfn.CONCAT(HEX2DEC(MID(Table14[[#This Row],[Color Code]], 1, 2))," , ",HEX2DEC(MID(Table14[[#This Row],[Color Code]], 3, 2))," , ",HEX2DEC(MID(Table14[[#This Row],[Color Code]], 5, 2)))</f>
        <v>127 , 74 , 70</v>
      </c>
      <c r="D19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147.1427877947132</v>
      </c>
      <c r="E1905" t="str">
        <f>Table14[[#This Row],[Color Code]] &amp; " - " &amp;Table14[[#This Row],[Color Name]]</f>
        <v>7F4A46 - 9947</v>
      </c>
    </row>
    <row r="1906" spans="1:5" x14ac:dyDescent="0.35">
      <c r="A1906" s="17" t="s">
        <v>4192</v>
      </c>
      <c r="B1906" t="s">
        <v>6547</v>
      </c>
      <c r="C1906" s="9" t="str">
        <f>_xlfn.CONCAT(HEX2DEC(MID(Table14[[#This Row],[Color Code]], 1, 2))," , ",HEX2DEC(MID(Table14[[#This Row],[Color Code]], 3, 2))," , ",HEX2DEC(MID(Table14[[#This Row],[Color Code]], 5, 2)))</f>
        <v>119 , 74 , 76</v>
      </c>
      <c r="D19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147.54999152829524</v>
      </c>
      <c r="E1906" t="str">
        <f>Table14[[#This Row],[Color Code]] &amp; " - " &amp;Table14[[#This Row],[Color Name]]</f>
        <v>774A4C - 8693</v>
      </c>
    </row>
    <row r="1907" spans="1:5" x14ac:dyDescent="0.35">
      <c r="A1907" s="17" t="s">
        <v>3061</v>
      </c>
      <c r="B1907" t="s">
        <v>5310</v>
      </c>
      <c r="C1907" s="9" t="str">
        <f>_xlfn.CONCAT(HEX2DEC(MID(Table14[[#This Row],[Color Code]], 1, 2))," , ",HEX2DEC(MID(Table14[[#This Row],[Color Code]], 3, 2))," , ",HEX2DEC(MID(Table14[[#This Row],[Color Code]], 5, 2)))</f>
        <v>93 , 114 , 64</v>
      </c>
      <c r="D19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147.65838953476364</v>
      </c>
      <c r="E1907" t="str">
        <f>Table14[[#This Row],[Color Code]] &amp; " - " &amp;Table14[[#This Row],[Color Name]]</f>
        <v>5D7240 - 9791</v>
      </c>
    </row>
    <row r="1908" spans="1:5" x14ac:dyDescent="0.35">
      <c r="A1908" s="17" t="s">
        <v>4393</v>
      </c>
      <c r="B1908" t="s">
        <v>6778</v>
      </c>
      <c r="C1908" s="9" t="str">
        <f>_xlfn.CONCAT(HEX2DEC(MID(Table14[[#This Row],[Color Code]], 1, 2))," , ",HEX2DEC(MID(Table14[[#This Row],[Color Code]], 3, 2))," , ",HEX2DEC(MID(Table14[[#This Row],[Color Code]], 5, 2)))</f>
        <v>127 , 69 , 75</v>
      </c>
      <c r="D19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147.85465836421929</v>
      </c>
      <c r="E1908" t="str">
        <f>Table14[[#This Row],[Color Code]] &amp; " - " &amp;Table14[[#This Row],[Color Name]]</f>
        <v>7F454B - X129</v>
      </c>
    </row>
    <row r="1909" spans="1:5" x14ac:dyDescent="0.35">
      <c r="A1909" s="17" t="s">
        <v>3924</v>
      </c>
      <c r="B1909" t="s">
        <v>6252</v>
      </c>
      <c r="C1909" s="9" t="str">
        <f>_xlfn.CONCAT(HEX2DEC(MID(Table14[[#This Row],[Color Code]], 1, 2))," , ",HEX2DEC(MID(Table14[[#This Row],[Color Code]], 3, 2))," , ",HEX2DEC(MID(Table14[[#This Row],[Color Code]], 5, 2)))</f>
        <v>100 , 89 , 77</v>
      </c>
      <c r="D19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148.13507349712964</v>
      </c>
      <c r="E1909" t="str">
        <f>Table14[[#This Row],[Color Code]] &amp; " - " &amp;Table14[[#This Row],[Color Name]]</f>
        <v>64594D - 8437</v>
      </c>
    </row>
    <row r="1910" spans="1:5" x14ac:dyDescent="0.35">
      <c r="A1910" s="17" t="s">
        <v>4251</v>
      </c>
      <c r="B1910" t="s">
        <v>6619</v>
      </c>
      <c r="C1910" s="9" t="str">
        <f>_xlfn.CONCAT(HEX2DEC(MID(Table14[[#This Row],[Color Code]], 1, 2))," , ",HEX2DEC(MID(Table14[[#This Row],[Color Code]], 3, 2))," , ",HEX2DEC(MID(Table14[[#This Row],[Color Code]], 5, 2)))</f>
        <v>105 , 86 , 74</v>
      </c>
      <c r="D19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148.49579118614776</v>
      </c>
      <c r="E1910" t="str">
        <f>Table14[[#This Row],[Color Code]] &amp; " - " &amp;Table14[[#This Row],[Color Name]]</f>
        <v>69564A - 8765</v>
      </c>
    </row>
    <row r="1911" spans="1:5" x14ac:dyDescent="0.35">
      <c r="A1911" s="17" t="s">
        <v>4260</v>
      </c>
      <c r="B1911" t="s">
        <v>6630</v>
      </c>
      <c r="C1911" s="9" t="str">
        <f>_xlfn.CONCAT(HEX2DEC(MID(Table14[[#This Row],[Color Code]], 1, 2))," , ",HEX2DEC(MID(Table14[[#This Row],[Color Code]], 3, 2))," , ",HEX2DEC(MID(Table14[[#This Row],[Color Code]], 5, 2)))</f>
        <v>199 , 61 , 60</v>
      </c>
      <c r="D19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148.55975228843107</v>
      </c>
      <c r="E1911" t="str">
        <f>Table14[[#This Row],[Color Code]] &amp; " - " &amp;Table14[[#This Row],[Color Name]]</f>
        <v>C73D3C - 8093</v>
      </c>
    </row>
    <row r="1912" spans="1:5" x14ac:dyDescent="0.35">
      <c r="A1912" s="17" t="s">
        <v>3121</v>
      </c>
      <c r="B1912" t="s">
        <v>5375</v>
      </c>
      <c r="C1912" s="9" t="str">
        <f>_xlfn.CONCAT(HEX2DEC(MID(Table14[[#This Row],[Color Code]], 1, 2))," , ",HEX2DEC(MID(Table14[[#This Row],[Color Code]], 3, 2))," , ",HEX2DEC(MID(Table14[[#This Row],[Color Code]], 5, 2)))</f>
        <v>98 , 110 , 60</v>
      </c>
      <c r="D19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148.61359291801003</v>
      </c>
      <c r="E1912" t="str">
        <f>Table14[[#This Row],[Color Code]] &amp; " - " &amp;Table14[[#This Row],[Color Name]]</f>
        <v>626E3C - 9807</v>
      </c>
    </row>
    <row r="1913" spans="1:5" x14ac:dyDescent="0.35">
      <c r="A1913" s="17" t="s">
        <v>2874</v>
      </c>
      <c r="B1913" t="s">
        <v>5094</v>
      </c>
      <c r="C1913" s="9" t="str">
        <f>_xlfn.CONCAT(HEX2DEC(MID(Table14[[#This Row],[Color Code]], 1, 2))," , ",HEX2DEC(MID(Table14[[#This Row],[Color Code]], 3, 2))," , ",HEX2DEC(MID(Table14[[#This Row],[Color Code]], 5, 2)))</f>
        <v>46 , 147 , 149</v>
      </c>
      <c r="D19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148.78171930717832</v>
      </c>
      <c r="E1913" t="str">
        <f>Table14[[#This Row],[Color Code]] &amp; " - " &amp;Table14[[#This Row],[Color Name]]</f>
        <v>2E9395 - 7454</v>
      </c>
    </row>
    <row r="1914" spans="1:5" x14ac:dyDescent="0.35">
      <c r="A1914" s="17" t="s">
        <v>2761</v>
      </c>
      <c r="B1914" t="s">
        <v>4973</v>
      </c>
      <c r="C1914" s="9" t="str">
        <f>_xlfn.CONCAT(HEX2DEC(MID(Table14[[#This Row],[Color Code]], 1, 2))," , ",HEX2DEC(MID(Table14[[#This Row],[Color Code]], 3, 2))," , ",HEX2DEC(MID(Table14[[#This Row],[Color Code]], 5, 2)))</f>
        <v>61 , 105 , 146</v>
      </c>
      <c r="D19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148.80188170853216</v>
      </c>
      <c r="E1914" t="str">
        <f>Table14[[#This Row],[Color Code]] &amp; " - " &amp;Table14[[#This Row],[Color Name]]</f>
        <v>3D6992 - 9652</v>
      </c>
    </row>
    <row r="1915" spans="1:5" x14ac:dyDescent="0.35">
      <c r="A1915" s="17" t="s">
        <v>3636</v>
      </c>
      <c r="B1915" t="s">
        <v>5906</v>
      </c>
      <c r="C1915" s="9" t="str">
        <f>_xlfn.CONCAT(HEX2DEC(MID(Table14[[#This Row],[Color Code]], 1, 2))," , ",HEX2DEC(MID(Table14[[#This Row],[Color Code]], 3, 2))," , ",HEX2DEC(MID(Table14[[#This Row],[Color Code]], 5, 2)))</f>
        <v>118 , 72 , 77</v>
      </c>
      <c r="D19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148.89257872708095</v>
      </c>
      <c r="E1915" t="str">
        <f>Table14[[#This Row],[Color Code]] &amp; " - " &amp;Table14[[#This Row],[Color Name]]</f>
        <v>76484D - K028</v>
      </c>
    </row>
    <row r="1916" spans="1:5" x14ac:dyDescent="0.35">
      <c r="A1916" s="17" t="s">
        <v>2618</v>
      </c>
      <c r="B1916" t="s">
        <v>4816</v>
      </c>
      <c r="C1916" s="9" t="str">
        <f>_xlfn.CONCAT(HEX2DEC(MID(Table14[[#This Row],[Color Code]], 1, 2))," , ",HEX2DEC(MID(Table14[[#This Row],[Color Code]], 3, 2))," , ",HEX2DEC(MID(Table14[[#This Row],[Color Code]], 5, 2)))</f>
        <v>106 , 71 , 92</v>
      </c>
      <c r="D19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148.93287078412206</v>
      </c>
      <c r="E1916" t="str">
        <f>Table14[[#This Row],[Color Code]] &amp; " - " &amp;Table14[[#This Row],[Color Name]]</f>
        <v>6A475C - 9101</v>
      </c>
    </row>
    <row r="1917" spans="1:5" x14ac:dyDescent="0.35">
      <c r="A1917" s="17" t="s">
        <v>4405</v>
      </c>
      <c r="B1917" t="s">
        <v>4839</v>
      </c>
      <c r="C1917" s="9" t="str">
        <f>_xlfn.CONCAT(HEX2DEC(MID(Table14[[#This Row],[Color Code]], 1, 2))," , ",HEX2DEC(MID(Table14[[#This Row],[Color Code]], 3, 2))," , ",HEX2DEC(MID(Table14[[#This Row],[Color Code]], 5, 2)))</f>
        <v>101 , 71 , 99</v>
      </c>
      <c r="D19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149.10734388352574</v>
      </c>
      <c r="E1917" t="str">
        <f>Table14[[#This Row],[Color Code]] &amp; " - " &amp;Table14[[#This Row],[Color Name]]</f>
        <v>654763 - 9607</v>
      </c>
    </row>
    <row r="1918" spans="1:5" x14ac:dyDescent="0.35">
      <c r="A1918" s="17" t="s">
        <v>4511</v>
      </c>
      <c r="B1918" t="s">
        <v>6108</v>
      </c>
      <c r="C1918" s="9" t="str">
        <f>_xlfn.CONCAT(HEX2DEC(MID(Table14[[#This Row],[Color Code]], 1, 2))," , ",HEX2DEC(MID(Table14[[#This Row],[Color Code]], 3, 2))," , ",HEX2DEC(MID(Table14[[#This Row],[Color Code]], 5, 2)))</f>
        <v>96 , 86 , 83</v>
      </c>
      <c r="D19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149.40214188558343</v>
      </c>
      <c r="E1918" t="str">
        <f>Table14[[#This Row],[Color Code]] &amp; " - " &amp;Table14[[#This Row],[Color Name]]</f>
        <v>605653 - K114</v>
      </c>
    </row>
    <row r="1919" spans="1:5" x14ac:dyDescent="0.35">
      <c r="A1919" s="17" t="s">
        <v>4380</v>
      </c>
      <c r="B1919" t="s">
        <v>6763</v>
      </c>
      <c r="C1919" s="9" t="str">
        <f>_xlfn.CONCAT(HEX2DEC(MID(Table14[[#This Row],[Color Code]], 1, 2))," , ",HEX2DEC(MID(Table14[[#This Row],[Color Code]], 3, 2))," , ",HEX2DEC(MID(Table14[[#This Row],[Color Code]], 5, 2)))</f>
        <v>92 , 75 , 106</v>
      </c>
      <c r="D19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149.66963619919707</v>
      </c>
      <c r="E1919" t="str">
        <f>Table14[[#This Row],[Color Code]] &amp; " - " &amp;Table14[[#This Row],[Color Name]]</f>
        <v>5C4B6A - X141</v>
      </c>
    </row>
    <row r="1920" spans="1:5" x14ac:dyDescent="0.35">
      <c r="A1920" s="17" t="s">
        <v>3852</v>
      </c>
      <c r="B1920" t="s">
        <v>6172</v>
      </c>
      <c r="C1920" s="9" t="str">
        <f>_xlfn.CONCAT(HEX2DEC(MID(Table14[[#This Row],[Color Code]], 1, 2))," , ",HEX2DEC(MID(Table14[[#This Row],[Color Code]], 3, 2))," , ",HEX2DEC(MID(Table14[[#This Row],[Color Code]], 5, 2)))</f>
        <v>88 , 93 , 85</v>
      </c>
      <c r="D19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149.79986648859204</v>
      </c>
      <c r="E1920" t="str">
        <f>Table14[[#This Row],[Color Code]] &amp; " - " &amp;Table14[[#This Row],[Color Name]]</f>
        <v>585D55 - K148</v>
      </c>
    </row>
    <row r="1921" spans="1:5" x14ac:dyDescent="0.35">
      <c r="A1921" s="17" t="s">
        <v>3480</v>
      </c>
      <c r="B1921" t="s">
        <v>5747</v>
      </c>
      <c r="C1921" s="9" t="str">
        <f>_xlfn.CONCAT(HEX2DEC(MID(Table14[[#This Row],[Color Code]], 1, 2))," , ",HEX2DEC(MID(Table14[[#This Row],[Color Code]], 3, 2))," , ",HEX2DEC(MID(Table14[[#This Row],[Color Code]], 5, 2)))</f>
        <v>117 , 77 , 70</v>
      </c>
      <c r="D19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149.84658821608184</v>
      </c>
      <c r="E1921" t="str">
        <f>Table14[[#This Row],[Color Code]] &amp; " - " &amp;Table14[[#This Row],[Color Name]]</f>
        <v>754D46 - 9960</v>
      </c>
    </row>
    <row r="1922" spans="1:5" x14ac:dyDescent="0.35">
      <c r="A1922" s="17" t="s">
        <v>3758</v>
      </c>
      <c r="B1922" t="s">
        <v>6050</v>
      </c>
      <c r="C1922" s="9" t="str">
        <f>_xlfn.CONCAT(HEX2DEC(MID(Table14[[#This Row],[Color Code]], 1, 2))," , ",HEX2DEC(MID(Table14[[#This Row],[Color Code]], 3, 2))," , ",HEX2DEC(MID(Table14[[#This Row],[Color Code]], 5, 2)))</f>
        <v>86 , 91 , 90</v>
      </c>
      <c r="D19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150.05665596700467</v>
      </c>
      <c r="E1922" t="str">
        <f>Table14[[#This Row],[Color Code]] &amp; " - " &amp;Table14[[#This Row],[Color Name]]</f>
        <v>565B5A - K097</v>
      </c>
    </row>
    <row r="1923" spans="1:5" x14ac:dyDescent="0.35">
      <c r="A1923" s="17" t="s">
        <v>3004</v>
      </c>
      <c r="B1923" t="s">
        <v>5248</v>
      </c>
      <c r="C1923" s="9" t="str">
        <f>_xlfn.CONCAT(HEX2DEC(MID(Table14[[#This Row],[Color Code]], 1, 2))," , ",HEX2DEC(MID(Table14[[#This Row],[Color Code]], 3, 2))," , ",HEX2DEC(MID(Table14[[#This Row],[Color Code]], 5, 2)))</f>
        <v>75 , 107 , 90</v>
      </c>
      <c r="D19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150.12661323029971</v>
      </c>
      <c r="E1923" t="str">
        <f>Table14[[#This Row],[Color Code]] &amp; " - " &amp;Table14[[#This Row],[Color Name]]</f>
        <v>4B6B5A - 0757</v>
      </c>
    </row>
    <row r="1924" spans="1:5" x14ac:dyDescent="0.35">
      <c r="A1924" s="17" t="s">
        <v>3692</v>
      </c>
      <c r="B1924" t="s">
        <v>5972</v>
      </c>
      <c r="C1924" s="9" t="str">
        <f>_xlfn.CONCAT(HEX2DEC(MID(Table14[[#This Row],[Color Code]], 1, 2))," , ",HEX2DEC(MID(Table14[[#This Row],[Color Code]], 3, 2))," , ",HEX2DEC(MID(Table14[[#This Row],[Color Code]], 5, 2)))</f>
        <v>104 , 74 , 87</v>
      </c>
      <c r="D19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150.22982393652734</v>
      </c>
      <c r="E1924" t="str">
        <f>Table14[[#This Row],[Color Code]] &amp; " - " &amp;Table14[[#This Row],[Color Name]]</f>
        <v>684A57 - K067</v>
      </c>
    </row>
    <row r="1925" spans="1:5" x14ac:dyDescent="0.35">
      <c r="A1925" s="17" t="s">
        <v>4371</v>
      </c>
      <c r="B1925" t="s">
        <v>6752</v>
      </c>
      <c r="C1925" s="9" t="str">
        <f>_xlfn.CONCAT(HEX2DEC(MID(Table14[[#This Row],[Color Code]], 1, 2))," , ",HEX2DEC(MID(Table14[[#This Row],[Color Code]], 3, 2))," , ",HEX2DEC(MID(Table14[[#This Row],[Color Code]], 5, 2)))</f>
        <v>79 , 79 , 130</v>
      </c>
      <c r="D19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150.36621961065589</v>
      </c>
      <c r="E1925" t="str">
        <f>Table14[[#This Row],[Color Code]] &amp; " - " &amp;Table14[[#This Row],[Color Name]]</f>
        <v>4F4F82 - X187</v>
      </c>
    </row>
    <row r="1926" spans="1:5" x14ac:dyDescent="0.35">
      <c r="A1926" s="17" t="s">
        <v>2704</v>
      </c>
      <c r="B1926" t="s">
        <v>4912</v>
      </c>
      <c r="C1926" s="9" t="str">
        <f>_xlfn.CONCAT(HEX2DEC(MID(Table14[[#This Row],[Color Code]], 1, 2))," , ",HEX2DEC(MID(Table14[[#This Row],[Color Code]], 3, 2))," , ",HEX2DEC(MID(Table14[[#This Row],[Color Code]], 5, 2)))</f>
        <v>83 , 81 , 111</v>
      </c>
      <c r="D19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150.50913593533119</v>
      </c>
      <c r="E1926" t="str">
        <f>Table14[[#This Row],[Color Code]] &amp; " - " &amp;Table14[[#This Row],[Color Name]]</f>
        <v>53516F - 7197</v>
      </c>
    </row>
    <row r="1927" spans="1:5" x14ac:dyDescent="0.35">
      <c r="A1927" s="17" t="s">
        <v>3702</v>
      </c>
      <c r="B1927" t="s">
        <v>5987</v>
      </c>
      <c r="C1927" s="9" t="str">
        <f>_xlfn.CONCAT(HEX2DEC(MID(Table14[[#This Row],[Color Code]], 1, 2))," , ",HEX2DEC(MID(Table14[[#This Row],[Color Code]], 3, 2))," , ",HEX2DEC(MID(Table14[[#This Row],[Color Code]], 5, 2)))</f>
        <v>98 , 77 , 90</v>
      </c>
      <c r="D19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150.5489953470298</v>
      </c>
      <c r="E1927" t="str">
        <f>Table14[[#This Row],[Color Code]] &amp; " - " &amp;Table14[[#This Row],[Color Name]]</f>
        <v>624D5A - K074</v>
      </c>
    </row>
    <row r="1928" spans="1:5" x14ac:dyDescent="0.35">
      <c r="A1928" s="17" t="s">
        <v>4450</v>
      </c>
      <c r="B1928" t="s">
        <v>5295</v>
      </c>
      <c r="C1928" s="9" t="str">
        <f>_xlfn.CONCAT(HEX2DEC(MID(Table14[[#This Row],[Color Code]], 1, 2))," , ",HEX2DEC(MID(Table14[[#This Row],[Color Code]], 3, 2))," , ",HEX2DEC(MID(Table14[[#This Row],[Color Code]], 5, 2)))</f>
        <v>80 , 118 , 72</v>
      </c>
      <c r="D19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150.60544478869281</v>
      </c>
      <c r="E1928" t="str">
        <f>Table14[[#This Row],[Color Code]] &amp; " - " &amp;Table14[[#This Row],[Color Name]]</f>
        <v>507648 - 9776</v>
      </c>
    </row>
    <row r="1929" spans="1:5" x14ac:dyDescent="0.35">
      <c r="A1929" s="17" t="s">
        <v>4155</v>
      </c>
      <c r="B1929" t="s">
        <v>6508</v>
      </c>
      <c r="C1929" s="9" t="str">
        <f>_xlfn.CONCAT(HEX2DEC(MID(Table14[[#This Row],[Color Code]], 1, 2))," , ",HEX2DEC(MID(Table14[[#This Row],[Color Code]], 3, 2))," , ",HEX2DEC(MID(Table14[[#This Row],[Color Code]], 5, 2)))</f>
        <v>140 , 72 , 58</v>
      </c>
      <c r="D19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150.73818361649447</v>
      </c>
      <c r="E1929" t="str">
        <f>Table14[[#This Row],[Color Code]] &amp; " - " &amp;Table14[[#This Row],[Color Name]]</f>
        <v>8C483A - K230</v>
      </c>
    </row>
    <row r="1930" spans="1:5" x14ac:dyDescent="0.35">
      <c r="A1930" s="17" t="s">
        <v>3814</v>
      </c>
      <c r="B1930" t="s">
        <v>6123</v>
      </c>
      <c r="C1930" s="9" t="str">
        <f>_xlfn.CONCAT(HEX2DEC(MID(Table14[[#This Row],[Color Code]], 1, 2))," , ",HEX2DEC(MID(Table14[[#This Row],[Color Code]], 3, 2))," , ",HEX2DEC(MID(Table14[[#This Row],[Color Code]], 5, 2)))</f>
        <v>87 , 90 , 88</v>
      </c>
      <c r="D19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150.79456223617615</v>
      </c>
      <c r="E1930" t="str">
        <f>Table14[[#This Row],[Color Code]] &amp; " - " &amp;Table14[[#This Row],[Color Name]]</f>
        <v>575A58 - K128</v>
      </c>
    </row>
    <row r="1931" spans="1:5" x14ac:dyDescent="0.35">
      <c r="A1931" s="17" t="s">
        <v>3599</v>
      </c>
      <c r="B1931" t="s">
        <v>5868</v>
      </c>
      <c r="C1931" s="9" t="str">
        <f>_xlfn.CONCAT(HEX2DEC(MID(Table14[[#This Row],[Color Code]], 1, 2))," , ",HEX2DEC(MID(Table14[[#This Row],[Color Code]], 3, 2))," , ",HEX2DEC(MID(Table14[[#This Row],[Color Code]], 5, 2)))</f>
        <v>122 , 68 , 75</v>
      </c>
      <c r="D19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150.82771628583387</v>
      </c>
      <c r="E1931" t="str">
        <f>Table14[[#This Row],[Color Code]] &amp; " - " &amp;Table14[[#This Row],[Color Name]]</f>
        <v>7A444B - K010</v>
      </c>
    </row>
    <row r="1932" spans="1:5" x14ac:dyDescent="0.35">
      <c r="A1932" s="17" t="s">
        <v>3024</v>
      </c>
      <c r="B1932" t="s">
        <v>5268</v>
      </c>
      <c r="C1932" s="9" t="str">
        <f>_xlfn.CONCAT(HEX2DEC(MID(Table14[[#This Row],[Color Code]], 1, 2))," , ",HEX2DEC(MID(Table14[[#This Row],[Color Code]], 3, 2))," , ",HEX2DEC(MID(Table14[[#This Row],[Color Code]], 5, 2)))</f>
        <v>74 , 131 , 72</v>
      </c>
      <c r="D19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150.82771628583387</v>
      </c>
      <c r="E1932" t="str">
        <f>Table14[[#This Row],[Color Code]] &amp; " - " &amp;Table14[[#This Row],[Color Name]]</f>
        <v>4A8348 - 9764</v>
      </c>
    </row>
    <row r="1933" spans="1:5" x14ac:dyDescent="0.35">
      <c r="A1933" s="17" t="s">
        <v>2866</v>
      </c>
      <c r="B1933" t="s">
        <v>5085</v>
      </c>
      <c r="C1933" s="9" t="str">
        <f>_xlfn.CONCAT(HEX2DEC(MID(Table14[[#This Row],[Color Code]], 1, 2))," , ",HEX2DEC(MID(Table14[[#This Row],[Color Code]], 3, 2))," , ",HEX2DEC(MID(Table14[[#This Row],[Color Code]], 5, 2)))</f>
        <v>45 , 177 , 190</v>
      </c>
      <c r="D19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151.12246689357607</v>
      </c>
      <c r="E1933" t="str">
        <f>Table14[[#This Row],[Color Code]] &amp; " - " &amp;Table14[[#This Row],[Color Name]]</f>
        <v>2DB1BE - 7439</v>
      </c>
    </row>
    <row r="1934" spans="1:5" x14ac:dyDescent="0.35">
      <c r="A1934" s="17" t="s">
        <v>3230</v>
      </c>
      <c r="B1934" t="s">
        <v>5488</v>
      </c>
      <c r="C1934" s="9" t="str">
        <f>_xlfn.CONCAT(HEX2DEC(MID(Table14[[#This Row],[Color Code]], 1, 2))," , ",HEX2DEC(MID(Table14[[#This Row],[Color Code]], 3, 2))," , ",HEX2DEC(MID(Table14[[#This Row],[Color Code]], 5, 2)))</f>
        <v>102 , 98 , 61</v>
      </c>
      <c r="D19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151.21177202850313</v>
      </c>
      <c r="E1934" t="str">
        <f>Table14[[#This Row],[Color Code]] &amp; " - " &amp;Table14[[#This Row],[Color Name]]</f>
        <v>66623D - 9863</v>
      </c>
    </row>
    <row r="1935" spans="1:5" x14ac:dyDescent="0.35">
      <c r="A1935" s="17" t="s">
        <v>4552</v>
      </c>
      <c r="B1935" t="s">
        <v>6455</v>
      </c>
      <c r="C1935" s="9" t="str">
        <f>_xlfn.CONCAT(HEX2DEC(MID(Table14[[#This Row],[Color Code]], 1, 2))," , ",HEX2DEC(MID(Table14[[#This Row],[Color Code]], 3, 2))," , ",HEX2DEC(MID(Table14[[#This Row],[Color Code]], 5, 2)))</f>
        <v>114 , 78 , 69</v>
      </c>
      <c r="D19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151.29111011556495</v>
      </c>
      <c r="E1935" t="str">
        <f>Table14[[#This Row],[Color Code]] &amp; " - " &amp;Table14[[#This Row],[Color Name]]</f>
        <v>724E45 - K214</v>
      </c>
    </row>
    <row r="1936" spans="1:5" x14ac:dyDescent="0.35">
      <c r="A1936" s="17" t="s">
        <v>4574</v>
      </c>
      <c r="B1936" t="s">
        <v>6628</v>
      </c>
      <c r="C1936" s="9" t="str">
        <f>_xlfn.CONCAT(HEX2DEC(MID(Table14[[#This Row],[Color Code]], 1, 2))," , ",HEX2DEC(MID(Table14[[#This Row],[Color Code]], 3, 2))," , ",HEX2DEC(MID(Table14[[#This Row],[Color Code]], 5, 2)))</f>
        <v>104 , 85 , 71</v>
      </c>
      <c r="D19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151.32745950421557</v>
      </c>
      <c r="E1936" t="str">
        <f>Table14[[#This Row],[Color Code]] &amp; " - " &amp;Table14[[#This Row],[Color Name]]</f>
        <v>685547 - 8773</v>
      </c>
    </row>
    <row r="1937" spans="1:5" x14ac:dyDescent="0.35">
      <c r="A1937" s="17" t="s">
        <v>3019</v>
      </c>
      <c r="B1937" t="s">
        <v>5263</v>
      </c>
      <c r="C1937" s="9" t="str">
        <f>_xlfn.CONCAT(HEX2DEC(MID(Table14[[#This Row],[Color Code]], 1, 2))," , ",HEX2DEC(MID(Table14[[#This Row],[Color Code]], 3, 2))," , ",HEX2DEC(MID(Table14[[#This Row],[Color Code]], 5, 2)))</f>
        <v>65 , 141 , 80</v>
      </c>
      <c r="D19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151.36049682793725</v>
      </c>
      <c r="E1937" t="str">
        <f>Table14[[#This Row],[Color Code]] &amp; " - " &amp;Table14[[#This Row],[Color Name]]</f>
        <v>418D50 - 9759</v>
      </c>
    </row>
    <row r="1938" spans="1:5" x14ac:dyDescent="0.35">
      <c r="A1938" s="17" t="s">
        <v>4246</v>
      </c>
      <c r="B1938" t="s">
        <v>6612</v>
      </c>
      <c r="C1938" s="9" t="str">
        <f>_xlfn.CONCAT(HEX2DEC(MID(Table14[[#This Row],[Color Code]], 1, 2))," , ",HEX2DEC(MID(Table14[[#This Row],[Color Code]], 3, 2))," , ",HEX2DEC(MID(Table14[[#This Row],[Color Code]], 5, 2)))</f>
        <v>100 , 86 , 74</v>
      </c>
      <c r="D19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151.47937153289223</v>
      </c>
      <c r="E1938" t="str">
        <f>Table14[[#This Row],[Color Code]] &amp; " - " &amp;Table14[[#This Row],[Color Name]]</f>
        <v>64564A - 8757</v>
      </c>
    </row>
    <row r="1939" spans="1:5" x14ac:dyDescent="0.35">
      <c r="A1939" s="17" t="s">
        <v>2611</v>
      </c>
      <c r="B1939" t="s">
        <v>4808</v>
      </c>
      <c r="C1939" s="9" t="str">
        <f>_xlfn.CONCAT(HEX2DEC(MID(Table14[[#This Row],[Color Code]], 1, 2))," , ",HEX2DEC(MID(Table14[[#This Row],[Color Code]], 3, 2))," , ",HEX2DEC(MID(Table14[[#This Row],[Color Code]], 5, 2)))</f>
        <v>109 , 67 , 88</v>
      </c>
      <c r="D19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151.79591562357663</v>
      </c>
      <c r="E1939" t="str">
        <f>Table14[[#This Row],[Color Code]] &amp; " - " &amp;Table14[[#This Row],[Color Name]]</f>
        <v>6D4358 - 8165</v>
      </c>
    </row>
    <row r="1940" spans="1:5" x14ac:dyDescent="0.35">
      <c r="A1940" s="17" t="s">
        <v>3881</v>
      </c>
      <c r="B1940" t="s">
        <v>6203</v>
      </c>
      <c r="C1940" s="9" t="str">
        <f>_xlfn.CONCAT(HEX2DEC(MID(Table14[[#This Row],[Color Code]], 1, 2))," , ",HEX2DEC(MID(Table14[[#This Row],[Color Code]], 3, 2))," , ",HEX2DEC(MID(Table14[[#This Row],[Color Code]], 5, 2)))</f>
        <v>90 , 92 , 79</v>
      </c>
      <c r="D19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151.88482478509826</v>
      </c>
      <c r="E1940" t="str">
        <f>Table14[[#This Row],[Color Code]] &amp; " - " &amp;Table14[[#This Row],[Color Name]]</f>
        <v>5A5C4F - 8389</v>
      </c>
    </row>
    <row r="1941" spans="1:5" x14ac:dyDescent="0.35">
      <c r="A1941" s="17" t="s">
        <v>4059</v>
      </c>
      <c r="B1941" t="s">
        <v>6403</v>
      </c>
      <c r="C1941" s="9" t="str">
        <f>_xlfn.CONCAT(HEX2DEC(MID(Table14[[#This Row],[Color Code]], 1, 2))," , ",HEX2DEC(MID(Table14[[#This Row],[Color Code]], 3, 2))," , ",HEX2DEC(MID(Table14[[#This Row],[Color Code]], 5, 2)))</f>
        <v>109 , 83 , 67</v>
      </c>
      <c r="D19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151.97697193983041</v>
      </c>
      <c r="E1941" t="str">
        <f>Table14[[#This Row],[Color Code]] &amp; " - " &amp;Table14[[#This Row],[Color Name]]</f>
        <v>6D5343 - K196</v>
      </c>
    </row>
    <row r="1942" spans="1:5" x14ac:dyDescent="0.35">
      <c r="A1942" s="17" t="s">
        <v>4544</v>
      </c>
      <c r="B1942" t="s">
        <v>6308</v>
      </c>
      <c r="C1942" s="9" t="str">
        <f>_xlfn.CONCAT(HEX2DEC(MID(Table14[[#This Row],[Color Code]], 1, 2))," , ",HEX2DEC(MID(Table14[[#This Row],[Color Code]], 3, 2))," , ",HEX2DEC(MID(Table14[[#This Row],[Color Code]], 5, 2)))</f>
        <v>99 , 89 , 71</v>
      </c>
      <c r="D19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151.99013125857877</v>
      </c>
      <c r="E1942" t="str">
        <f>Table14[[#This Row],[Color Code]] &amp; " - " &amp;Table14[[#This Row],[Color Name]]</f>
        <v>635947 - K181</v>
      </c>
    </row>
    <row r="1943" spans="1:5" x14ac:dyDescent="0.35">
      <c r="A1943" s="17" t="s">
        <v>4109</v>
      </c>
      <c r="B1943" t="s">
        <v>6457</v>
      </c>
      <c r="C1943" s="9" t="str">
        <f>_xlfn.CONCAT(HEX2DEC(MID(Table14[[#This Row],[Color Code]], 1, 2))," , ",HEX2DEC(MID(Table14[[#This Row],[Color Code]], 3, 2))," , ",HEX2DEC(MID(Table14[[#This Row],[Color Code]], 5, 2)))</f>
        <v>108 , 81 , 70</v>
      </c>
      <c r="D19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152.04275714416653</v>
      </c>
      <c r="E1943" t="str">
        <f>Table14[[#This Row],[Color Code]] &amp; " - " &amp;Table14[[#This Row],[Color Name]]</f>
        <v>6C5146 - K216</v>
      </c>
    </row>
    <row r="1944" spans="1:5" x14ac:dyDescent="0.35">
      <c r="A1944" s="17" t="s">
        <v>3023</v>
      </c>
      <c r="B1944" t="s">
        <v>5267</v>
      </c>
      <c r="C1944" s="9" t="str">
        <f>_xlfn.CONCAT(HEX2DEC(MID(Table14[[#This Row],[Color Code]], 1, 2))," , ",HEX2DEC(MID(Table14[[#This Row],[Color Code]], 3, 2))," , ",HEX2DEC(MID(Table14[[#This Row],[Color Code]], 5, 2)))</f>
        <v>79 , 139 , 59</v>
      </c>
      <c r="D19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152.58112596255148</v>
      </c>
      <c r="E1944" t="str">
        <f>Table14[[#This Row],[Color Code]] &amp; " - " &amp;Table14[[#This Row],[Color Name]]</f>
        <v>4F8B3B - 9763</v>
      </c>
    </row>
    <row r="1945" spans="1:5" x14ac:dyDescent="0.35">
      <c r="A1945" s="17" t="s">
        <v>4206</v>
      </c>
      <c r="B1945" t="s">
        <v>6564</v>
      </c>
      <c r="C1945" s="9" t="str">
        <f>_xlfn.CONCAT(HEX2DEC(MID(Table14[[#This Row],[Color Code]], 1, 2))," , ",HEX2DEC(MID(Table14[[#This Row],[Color Code]], 3, 2))," , ",HEX2DEC(MID(Table14[[#This Row],[Color Code]], 5, 2)))</f>
        <v>108 , 72 , 80</v>
      </c>
      <c r="D19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152.6106156202772</v>
      </c>
      <c r="E1945" t="str">
        <f>Table14[[#This Row],[Color Code]] &amp; " - " &amp;Table14[[#This Row],[Color Name]]</f>
        <v>6C4850 - K264</v>
      </c>
    </row>
    <row r="1946" spans="1:5" x14ac:dyDescent="0.35">
      <c r="A1946" s="17" t="s">
        <v>4108</v>
      </c>
      <c r="B1946" t="s">
        <v>6456</v>
      </c>
      <c r="C1946" s="9" t="str">
        <f>_xlfn.CONCAT(HEX2DEC(MID(Table14[[#This Row],[Color Code]], 1, 2))," , ",HEX2DEC(MID(Table14[[#This Row],[Color Code]], 3, 2))," , ",HEX2DEC(MID(Table14[[#This Row],[Color Code]], 5, 2)))</f>
        <v>111 , 79 , 68</v>
      </c>
      <c r="D19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152.79397893896211</v>
      </c>
      <c r="E1946" t="str">
        <f>Table14[[#This Row],[Color Code]] &amp; " - " &amp;Table14[[#This Row],[Color Name]]</f>
        <v>6F4F44 - K215</v>
      </c>
    </row>
    <row r="1947" spans="1:5" x14ac:dyDescent="0.35">
      <c r="A1947" s="17" t="s">
        <v>4132</v>
      </c>
      <c r="B1947" t="s">
        <v>6484</v>
      </c>
      <c r="C1947" s="9" t="str">
        <f>_xlfn.CONCAT(HEX2DEC(MID(Table14[[#This Row],[Color Code]], 1, 2))," , ",HEX2DEC(MID(Table14[[#This Row],[Color Code]], 3, 2))," , ",HEX2DEC(MID(Table14[[#This Row],[Color Code]], 5, 2)))</f>
        <v>108 , 78 , 72</v>
      </c>
      <c r="D19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152.8201557386983</v>
      </c>
      <c r="E1947" t="str">
        <f>Table14[[#This Row],[Color Code]] &amp; " - " &amp;Table14[[#This Row],[Color Name]]</f>
        <v>6C4E48 - K221</v>
      </c>
    </row>
    <row r="1948" spans="1:5" x14ac:dyDescent="0.35">
      <c r="A1948" s="17" t="s">
        <v>4412</v>
      </c>
      <c r="B1948" t="s">
        <v>4888</v>
      </c>
      <c r="C1948" s="9" t="str">
        <f>_xlfn.CONCAT(HEX2DEC(MID(Table14[[#This Row],[Color Code]], 1, 2))," , ",HEX2DEC(MID(Table14[[#This Row],[Color Code]], 3, 2))," , ",HEX2DEC(MID(Table14[[#This Row],[Color Code]], 5, 2)))</f>
        <v>82 , 78 , 112</v>
      </c>
      <c r="D19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152.83324245726124</v>
      </c>
      <c r="E1948" t="str">
        <f>Table14[[#This Row],[Color Code]] &amp; " - " &amp;Table14[[#This Row],[Color Name]]</f>
        <v>524E70 - 7165</v>
      </c>
    </row>
    <row r="1949" spans="1:5" x14ac:dyDescent="0.35">
      <c r="A1949" s="17" t="s">
        <v>3077</v>
      </c>
      <c r="B1949" t="s">
        <v>5328</v>
      </c>
      <c r="C1949" s="9" t="str">
        <f>_xlfn.CONCAT(HEX2DEC(MID(Table14[[#This Row],[Color Code]], 1, 2))," , ",HEX2DEC(MID(Table14[[#This Row],[Color Code]], 3, 2))," , ",HEX2DEC(MID(Table14[[#This Row],[Color Code]], 5, 2)))</f>
        <v>86 , 99 , 75</v>
      </c>
      <c r="D19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153.0098036074813</v>
      </c>
      <c r="E1949" t="str">
        <f>Table14[[#This Row],[Color Code]] &amp; " - " &amp;Table14[[#This Row],[Color Name]]</f>
        <v>56634B - 9794</v>
      </c>
    </row>
    <row r="1950" spans="1:5" x14ac:dyDescent="0.35">
      <c r="A1950" s="17" t="s">
        <v>4537</v>
      </c>
      <c r="B1950" t="s">
        <v>6291</v>
      </c>
      <c r="C1950" s="9" t="str">
        <f>_xlfn.CONCAT(HEX2DEC(MID(Table14[[#This Row],[Color Code]], 1, 2))," , ",HEX2DEC(MID(Table14[[#This Row],[Color Code]], 3, 2))," , ",HEX2DEC(MID(Table14[[#This Row],[Color Code]], 5, 2)))</f>
        <v>101 , 87 , 69</v>
      </c>
      <c r="D19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153.03921066184313</v>
      </c>
      <c r="E1950" t="str">
        <f>Table14[[#This Row],[Color Code]] &amp; " - " &amp;Table14[[#This Row],[Color Name]]</f>
        <v>655745 - 8493</v>
      </c>
    </row>
    <row r="1951" spans="1:5" x14ac:dyDescent="0.35">
      <c r="A1951" s="17" t="s">
        <v>4394</v>
      </c>
      <c r="B1951" t="s">
        <v>6779</v>
      </c>
      <c r="C1951" s="9" t="str">
        <f>_xlfn.CONCAT(HEX2DEC(MID(Table14[[#This Row],[Color Code]], 1, 2))," , ",HEX2DEC(MID(Table14[[#This Row],[Color Code]], 3, 2))," , ",HEX2DEC(MID(Table14[[#This Row],[Color Code]], 5, 2)))</f>
        <v>113 , 71 , 75</v>
      </c>
      <c r="D19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153.15678241592829</v>
      </c>
      <c r="E1951" t="str">
        <f>Table14[[#This Row],[Color Code]] &amp; " - " &amp;Table14[[#This Row],[Color Name]]</f>
        <v>71474B - X128</v>
      </c>
    </row>
    <row r="1952" spans="1:5" x14ac:dyDescent="0.35">
      <c r="A1952" s="17" t="s">
        <v>4387</v>
      </c>
      <c r="B1952" t="s">
        <v>6771</v>
      </c>
      <c r="C1952" s="9" t="str">
        <f>_xlfn.CONCAT(HEX2DEC(MID(Table14[[#This Row],[Color Code]], 1, 2))," , ",HEX2DEC(MID(Table14[[#This Row],[Color Code]], 3, 2))," , ",HEX2DEC(MID(Table14[[#This Row],[Color Code]], 5, 2)))</f>
        <v>108 , 68 , 84</v>
      </c>
      <c r="D19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153.44705927452634</v>
      </c>
      <c r="E1952" t="str">
        <f>Table14[[#This Row],[Color Code]] &amp; " - " &amp;Table14[[#This Row],[Color Name]]</f>
        <v>6C4454 - X135</v>
      </c>
    </row>
    <row r="1953" spans="1:5" x14ac:dyDescent="0.35">
      <c r="A1953" s="17" t="s">
        <v>2638</v>
      </c>
      <c r="B1953" t="s">
        <v>4838</v>
      </c>
      <c r="C1953" s="9" t="str">
        <f>_xlfn.CONCAT(HEX2DEC(MID(Table14[[#This Row],[Color Code]], 1, 2))," , ",HEX2DEC(MID(Table14[[#This Row],[Color Code]], 3, 2))," , ",HEX2DEC(MID(Table14[[#This Row],[Color Code]], 5, 2)))</f>
        <v>95 , 68 , 103</v>
      </c>
      <c r="D19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153.49918566559236</v>
      </c>
      <c r="E1953" t="str">
        <f>Table14[[#This Row],[Color Code]] &amp; " - " &amp;Table14[[#This Row],[Color Name]]</f>
        <v>5F4467 - 9606</v>
      </c>
    </row>
    <row r="1954" spans="1:5" x14ac:dyDescent="0.35">
      <c r="A1954" s="17" t="s">
        <v>4409</v>
      </c>
      <c r="B1954" t="s">
        <v>4854</v>
      </c>
      <c r="C1954" s="9" t="str">
        <f>_xlfn.CONCAT(HEX2DEC(MID(Table14[[#This Row],[Color Code]], 1, 2))," , ",HEX2DEC(MID(Table14[[#This Row],[Color Code]], 3, 2))," , ",HEX2DEC(MID(Table14[[#This Row],[Color Code]], 5, 2)))</f>
        <v>83 , 73 , 119</v>
      </c>
      <c r="D19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153.56106277308712</v>
      </c>
      <c r="E1954" t="str">
        <f>Table14[[#This Row],[Color Code]] &amp; " - " &amp;Table14[[#This Row],[Color Name]]</f>
        <v>534977 - 9621</v>
      </c>
    </row>
    <row r="1955" spans="1:5" x14ac:dyDescent="0.35">
      <c r="A1955" s="17" t="s">
        <v>4177</v>
      </c>
      <c r="B1955" t="s">
        <v>6532</v>
      </c>
      <c r="C1955" s="9" t="str">
        <f>_xlfn.CONCAT(HEX2DEC(MID(Table14[[#This Row],[Color Code]], 1, 2))," , ",HEX2DEC(MID(Table14[[#This Row],[Color Code]], 3, 2))," , ",HEX2DEC(MID(Table14[[#This Row],[Color Code]], 5, 2)))</f>
        <v>122 , 72 , 65</v>
      </c>
      <c r="D19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153.6522046701576</v>
      </c>
      <c r="E1955" t="str">
        <f>Table14[[#This Row],[Color Code]] &amp; " - " &amp;Table14[[#This Row],[Color Name]]</f>
        <v>7A4841 - K254</v>
      </c>
    </row>
    <row r="1956" spans="1:5" x14ac:dyDescent="0.35">
      <c r="A1956" s="17" t="s">
        <v>4265</v>
      </c>
      <c r="B1956" t="s">
        <v>6636</v>
      </c>
      <c r="C1956" s="9" t="str">
        <f>_xlfn.CONCAT(HEX2DEC(MID(Table14[[#This Row],[Color Code]], 1, 2))," , ",HEX2DEC(MID(Table14[[#This Row],[Color Code]], 3, 2))," , ",HEX2DEC(MID(Table14[[#This Row],[Color Code]], 5, 2)))</f>
        <v>105 , 76 , 76</v>
      </c>
      <c r="D19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153.65871273702641</v>
      </c>
      <c r="E1956" t="str">
        <f>Table14[[#This Row],[Color Code]] &amp; " - " &amp;Table14[[#This Row],[Color Name]]</f>
        <v>694C4C - X127</v>
      </c>
    </row>
    <row r="1957" spans="1:5" x14ac:dyDescent="0.35">
      <c r="A1957" s="17" t="s">
        <v>3838</v>
      </c>
      <c r="B1957" t="s">
        <v>6154</v>
      </c>
      <c r="C1957" s="9" t="str">
        <f>_xlfn.CONCAT(HEX2DEC(MID(Table14[[#This Row],[Color Code]], 1, 2))," , ",HEX2DEC(MID(Table14[[#This Row],[Color Code]], 3, 2))," , ",HEX2DEC(MID(Table14[[#This Row],[Color Code]], 5, 2)))</f>
        <v>77 , 95 , 91</v>
      </c>
      <c r="D19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154.01623291069029</v>
      </c>
      <c r="E1957" t="str">
        <f>Table14[[#This Row],[Color Code]] &amp; " - " &amp;Table14[[#This Row],[Color Name]]</f>
        <v>4D5F5B - K132</v>
      </c>
    </row>
    <row r="1958" spans="1:5" x14ac:dyDescent="0.35">
      <c r="A1958" s="17" t="s">
        <v>4462</v>
      </c>
      <c r="B1958" t="s">
        <v>5424</v>
      </c>
      <c r="C1958" s="9" t="str">
        <f>_xlfn.CONCAT(HEX2DEC(MID(Table14[[#This Row],[Color Code]], 1, 2))," , ",HEX2DEC(MID(Table14[[#This Row],[Color Code]], 3, 2))," , ",HEX2DEC(MID(Table14[[#This Row],[Color Code]], 5, 2)))</f>
        <v>96 , 96 , 64</v>
      </c>
      <c r="D19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154.07141201403977</v>
      </c>
      <c r="E1958" t="str">
        <f>Table14[[#This Row],[Color Code]] &amp; " - " &amp;Table14[[#This Row],[Color Name]]</f>
        <v>606040 - 9847</v>
      </c>
    </row>
    <row r="1959" spans="1:5" x14ac:dyDescent="0.35">
      <c r="A1959" s="17" t="s">
        <v>3055</v>
      </c>
      <c r="B1959" t="s">
        <v>5303</v>
      </c>
      <c r="C1959" s="9" t="str">
        <f>_xlfn.CONCAT(HEX2DEC(MID(Table14[[#This Row],[Color Code]], 1, 2))," , ",HEX2DEC(MID(Table14[[#This Row],[Color Code]], 3, 2))," , ",HEX2DEC(MID(Table14[[#This Row],[Color Code]], 5, 2)))</f>
        <v>79 , 112 , 71</v>
      </c>
      <c r="D19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154.25303886795876</v>
      </c>
      <c r="E1959" t="str">
        <f>Table14[[#This Row],[Color Code]] &amp; " - " &amp;Table14[[#This Row],[Color Name]]</f>
        <v>4F7047 - 9784</v>
      </c>
    </row>
    <row r="1960" spans="1:5" x14ac:dyDescent="0.35">
      <c r="A1960" s="17" t="s">
        <v>4053</v>
      </c>
      <c r="B1960" t="s">
        <v>6396</v>
      </c>
      <c r="C1960" s="9" t="str">
        <f>_xlfn.CONCAT(HEX2DEC(MID(Table14[[#This Row],[Color Code]], 1, 2))," , ",HEX2DEC(MID(Table14[[#This Row],[Color Code]], 3, 2))," , ",HEX2DEC(MID(Table14[[#This Row],[Color Code]], 5, 2)))</f>
        <v>107 , 80 , 68</v>
      </c>
      <c r="D19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154.33405327405873</v>
      </c>
      <c r="E1960" t="str">
        <f>Table14[[#This Row],[Color Code]] &amp; " - " &amp;Table14[[#This Row],[Color Name]]</f>
        <v>6B5044 - 8645</v>
      </c>
    </row>
    <row r="1961" spans="1:5" x14ac:dyDescent="0.35">
      <c r="A1961" s="17" t="s">
        <v>3511</v>
      </c>
      <c r="B1961" t="s">
        <v>5779</v>
      </c>
      <c r="C1961" s="9" t="str">
        <f>_xlfn.CONCAT(HEX2DEC(MID(Table14[[#This Row],[Color Code]], 1, 2))," , ",HEX2DEC(MID(Table14[[#This Row],[Color Code]], 3, 2))," , ",HEX2DEC(MID(Table14[[#This Row],[Color Code]], 5, 2)))</f>
        <v>122 , 69 , 67</v>
      </c>
      <c r="D19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154.53155017665486</v>
      </c>
      <c r="E1961" t="str">
        <f>Table14[[#This Row],[Color Code]] &amp; " - " &amp;Table14[[#This Row],[Color Name]]</f>
        <v>7A4543 - 9979</v>
      </c>
    </row>
    <row r="1962" spans="1:5" x14ac:dyDescent="0.35">
      <c r="A1962" s="17" t="s">
        <v>4219</v>
      </c>
      <c r="B1962" t="s">
        <v>6579</v>
      </c>
      <c r="C1962" s="9" t="str">
        <f>_xlfn.CONCAT(HEX2DEC(MID(Table14[[#This Row],[Color Code]], 1, 2))," , ",HEX2DEC(MID(Table14[[#This Row],[Color Code]], 3, 2))," , ",HEX2DEC(MID(Table14[[#This Row],[Color Code]], 5, 2)))</f>
        <v>97 , 83 , 75</v>
      </c>
      <c r="D19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154.56066770042111</v>
      </c>
      <c r="E1962" t="str">
        <f>Table14[[#This Row],[Color Code]] &amp; " - " &amp;Table14[[#This Row],[Color Name]]</f>
        <v>61534B - K272</v>
      </c>
    </row>
    <row r="1963" spans="1:5" x14ac:dyDescent="0.35">
      <c r="A1963" s="17" t="s">
        <v>3136</v>
      </c>
      <c r="B1963" t="s">
        <v>5392</v>
      </c>
      <c r="C1963" s="9" t="str">
        <f>_xlfn.CONCAT(HEX2DEC(MID(Table14[[#This Row],[Color Code]], 1, 2))," , ",HEX2DEC(MID(Table14[[#This Row],[Color Code]], 3, 2))," , ",HEX2DEC(MID(Table14[[#This Row],[Color Code]], 5, 2)))</f>
        <v>96 , 100 , 59</v>
      </c>
      <c r="D19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155.10319145652679</v>
      </c>
      <c r="E1963" t="str">
        <f>Table14[[#This Row],[Color Code]] &amp; " - " &amp;Table14[[#This Row],[Color Name]]</f>
        <v>60643B - 9824</v>
      </c>
    </row>
    <row r="1964" spans="1:5" x14ac:dyDescent="0.35">
      <c r="A1964" s="17" t="s">
        <v>3415</v>
      </c>
      <c r="B1964" t="s">
        <v>5676</v>
      </c>
      <c r="C1964" s="9" t="str">
        <f>_xlfn.CONCAT(HEX2DEC(MID(Table14[[#This Row],[Color Code]], 1, 2))," , ",HEX2DEC(MID(Table14[[#This Row],[Color Code]], 3, 2))," , ",HEX2DEC(MID(Table14[[#This Row],[Color Code]], 5, 2)))</f>
        <v>110 , 75 , 69</v>
      </c>
      <c r="D19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155.3061492665374</v>
      </c>
      <c r="E1964" t="str">
        <f>Table14[[#This Row],[Color Code]] &amp; " - " &amp;Table14[[#This Row],[Color Name]]</f>
        <v>6E4B45 - 9916</v>
      </c>
    </row>
    <row r="1965" spans="1:5" x14ac:dyDescent="0.35">
      <c r="A1965" s="17" t="s">
        <v>3695</v>
      </c>
      <c r="B1965" t="s">
        <v>5980</v>
      </c>
      <c r="C1965" s="9" t="str">
        <f>_xlfn.CONCAT(HEX2DEC(MID(Table14[[#This Row],[Color Code]], 1, 2))," , ",HEX2DEC(MID(Table14[[#This Row],[Color Code]], 3, 2))," , ",HEX2DEC(MID(Table14[[#This Row],[Color Code]], 5, 2)))</f>
        <v>92 , 81 , 82</v>
      </c>
      <c r="D19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155.45095689637938</v>
      </c>
      <c r="E1965" t="str">
        <f>Table14[[#This Row],[Color Code]] &amp; " - " &amp;Table14[[#This Row],[Color Name]]</f>
        <v>5C5152 - K073</v>
      </c>
    </row>
    <row r="1966" spans="1:5" x14ac:dyDescent="0.35">
      <c r="A1966" s="17" t="s">
        <v>4421</v>
      </c>
      <c r="B1966" t="s">
        <v>5054</v>
      </c>
      <c r="C1966" s="9" t="str">
        <f>_xlfn.CONCAT(HEX2DEC(MID(Table14[[#This Row],[Color Code]], 1, 2))," , ",HEX2DEC(MID(Table14[[#This Row],[Color Code]], 3, 2))," , ",HEX2DEC(MID(Table14[[#This Row],[Color Code]], 5, 2)))</f>
        <v>48 , 116 , 144</v>
      </c>
      <c r="D19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156.00641012471252</v>
      </c>
      <c r="E1966" t="str">
        <f>Table14[[#This Row],[Color Code]] &amp; " - " &amp;Table14[[#This Row],[Color Name]]</f>
        <v>307490 - 9675</v>
      </c>
    </row>
    <row r="1967" spans="1:5" x14ac:dyDescent="0.35">
      <c r="A1967" s="17" t="s">
        <v>3025</v>
      </c>
      <c r="B1967" t="s">
        <v>5269</v>
      </c>
      <c r="C1967" s="9" t="str">
        <f>_xlfn.CONCAT(HEX2DEC(MID(Table14[[#This Row],[Color Code]], 1, 2))," , ",HEX2DEC(MID(Table14[[#This Row],[Color Code]], 3, 2))," , ",HEX2DEC(MID(Table14[[#This Row],[Color Code]], 5, 2)))</f>
        <v>67 , 125 , 76</v>
      </c>
      <c r="D19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156.09612423119287</v>
      </c>
      <c r="E1967" t="str">
        <f>Table14[[#This Row],[Color Code]] &amp; " - " &amp;Table14[[#This Row],[Color Name]]</f>
        <v>437D4C - 2435</v>
      </c>
    </row>
    <row r="1968" spans="1:5" x14ac:dyDescent="0.35">
      <c r="A1968" s="17" t="s">
        <v>2650</v>
      </c>
      <c r="B1968" t="s">
        <v>4855</v>
      </c>
      <c r="C1968" s="9" t="str">
        <f>_xlfn.CONCAT(HEX2DEC(MID(Table14[[#This Row],[Color Code]], 1, 2))," , ",HEX2DEC(MID(Table14[[#This Row],[Color Code]], 3, 2))," , ",HEX2DEC(MID(Table14[[#This Row],[Color Code]], 5, 2)))</f>
        <v>86 , 75 , 98</v>
      </c>
      <c r="D19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156.4768353463221</v>
      </c>
      <c r="E1968" t="str">
        <f>Table14[[#This Row],[Color Code]] &amp; " - " &amp;Table14[[#This Row],[Color Name]]</f>
        <v>564B62 - 9622</v>
      </c>
    </row>
    <row r="1969" spans="1:5" x14ac:dyDescent="0.35">
      <c r="A1969" s="17" t="s">
        <v>2624</v>
      </c>
      <c r="B1969" t="s">
        <v>4824</v>
      </c>
      <c r="C1969" s="9" t="str">
        <f>_xlfn.CONCAT(HEX2DEC(MID(Table14[[#This Row],[Color Code]], 1, 2))," , ",HEX2DEC(MID(Table14[[#This Row],[Color Code]], 3, 2))," , ",HEX2DEC(MID(Table14[[#This Row],[Color Code]], 5, 2)))</f>
        <v>100 , 64 , 94</v>
      </c>
      <c r="D19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156.54392354863219</v>
      </c>
      <c r="E1969" t="str">
        <f>Table14[[#This Row],[Color Code]] &amp; " - " &amp;Table14[[#This Row],[Color Name]]</f>
        <v>64405E - 9600</v>
      </c>
    </row>
    <row r="1970" spans="1:5" x14ac:dyDescent="0.35">
      <c r="A1970" s="17" t="s">
        <v>2839</v>
      </c>
      <c r="B1970" t="s">
        <v>5056</v>
      </c>
      <c r="C1970" s="9" t="str">
        <f>_xlfn.CONCAT(HEX2DEC(MID(Table14[[#This Row],[Color Code]], 1, 2))," , ",HEX2DEC(MID(Table14[[#This Row],[Color Code]], 3, 2))," , ",HEX2DEC(MID(Table14[[#This Row],[Color Code]], 5, 2)))</f>
        <v>58 , 101 , 122</v>
      </c>
      <c r="D19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156.59182609574486</v>
      </c>
      <c r="E1970" t="str">
        <f>Table14[[#This Row],[Color Code]] &amp; " - " &amp;Table14[[#This Row],[Color Name]]</f>
        <v>3A657A - 9677</v>
      </c>
    </row>
    <row r="1971" spans="1:5" x14ac:dyDescent="0.35">
      <c r="A1971" s="17" t="s">
        <v>4553</v>
      </c>
      <c r="B1971" t="s">
        <v>6458</v>
      </c>
      <c r="C1971" s="9" t="str">
        <f>_xlfn.CONCAT(HEX2DEC(MID(Table14[[#This Row],[Color Code]], 1, 2))," , ",HEX2DEC(MID(Table14[[#This Row],[Color Code]], 3, 2))," , ",HEX2DEC(MID(Table14[[#This Row],[Color Code]], 5, 2)))</f>
        <v>101 , 80 , 70</v>
      </c>
      <c r="D19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156.62375298785304</v>
      </c>
      <c r="E1971" t="str">
        <f>Table14[[#This Row],[Color Code]] &amp; " - " &amp;Table14[[#This Row],[Color Name]]</f>
        <v>655046 - K217</v>
      </c>
    </row>
    <row r="1972" spans="1:5" x14ac:dyDescent="0.35">
      <c r="A1972" s="17" t="s">
        <v>2830</v>
      </c>
      <c r="B1972" t="s">
        <v>5046</v>
      </c>
      <c r="C1972" s="9" t="str">
        <f>_xlfn.CONCAT(HEX2DEC(MID(Table14[[#This Row],[Color Code]], 1, 2))," , ",HEX2DEC(MID(Table14[[#This Row],[Color Code]], 3, 2))," , ",HEX2DEC(MID(Table14[[#This Row],[Color Code]], 5, 2)))</f>
        <v>42 , 171 , 200</v>
      </c>
      <c r="D19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156.65567337316577</v>
      </c>
      <c r="E1972" t="str">
        <f>Table14[[#This Row],[Color Code]] &amp; " - " &amp;Table14[[#This Row],[Color Name]]</f>
        <v>2AABC8 - 7407</v>
      </c>
    </row>
    <row r="1973" spans="1:5" x14ac:dyDescent="0.35">
      <c r="A1973" s="17" t="s">
        <v>4573</v>
      </c>
      <c r="B1973" t="s">
        <v>6620</v>
      </c>
      <c r="C1973" s="9" t="str">
        <f>_xlfn.CONCAT(HEX2DEC(MID(Table14[[#This Row],[Color Code]], 1, 2))," , ",HEX2DEC(MID(Table14[[#This Row],[Color Code]], 3, 2))," , ",HEX2DEC(MID(Table14[[#This Row],[Color Code]], 5, 2)))</f>
        <v>101 , 83 , 66</v>
      </c>
      <c r="D19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157.05413079572278</v>
      </c>
      <c r="E1973" t="str">
        <f>Table14[[#This Row],[Color Code]] &amp; " - " &amp;Table14[[#This Row],[Color Name]]</f>
        <v>655342 - K283</v>
      </c>
    </row>
    <row r="1974" spans="1:5" x14ac:dyDescent="0.35">
      <c r="A1974" s="17" t="s">
        <v>4124</v>
      </c>
      <c r="B1974" t="s">
        <v>6475</v>
      </c>
      <c r="C1974" s="9" t="str">
        <f>_xlfn.CONCAT(HEX2DEC(MID(Table14[[#This Row],[Color Code]], 1, 2))," , ",HEX2DEC(MID(Table14[[#This Row],[Color Code]], 3, 2))," , ",HEX2DEC(MID(Table14[[#This Row],[Color Code]], 5, 2)))</f>
        <v>110 , 72 , 69</v>
      </c>
      <c r="D19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157.25457068079135</v>
      </c>
      <c r="E1974" t="str">
        <f>Table14[[#This Row],[Color Code]] &amp; " - " &amp;Table14[[#This Row],[Color Name]]</f>
        <v>6E4845 - 4181</v>
      </c>
    </row>
    <row r="1975" spans="1:5" x14ac:dyDescent="0.35">
      <c r="A1975" s="17" t="s">
        <v>2783</v>
      </c>
      <c r="B1975" t="s">
        <v>4997</v>
      </c>
      <c r="C1975" s="9" t="str">
        <f>_xlfn.CONCAT(HEX2DEC(MID(Table14[[#This Row],[Color Code]], 1, 2))," , ",HEX2DEC(MID(Table14[[#This Row],[Color Code]], 3, 2))," , ",HEX2DEC(MID(Table14[[#This Row],[Color Code]], 5, 2)))</f>
        <v>44 , 127 , 178</v>
      </c>
      <c r="D19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157.28000508646991</v>
      </c>
      <c r="E1975" t="str">
        <f>Table14[[#This Row],[Color Code]] &amp; " - " &amp;Table14[[#This Row],[Color Name]]</f>
        <v>2C7FB2 - 9657</v>
      </c>
    </row>
    <row r="1976" spans="1:5" x14ac:dyDescent="0.35">
      <c r="A1976" s="17" t="s">
        <v>3591</v>
      </c>
      <c r="B1976" t="s">
        <v>5860</v>
      </c>
      <c r="C1976" s="9" t="str">
        <f>_xlfn.CONCAT(HEX2DEC(MID(Table14[[#This Row],[Color Code]], 1, 2))," , ",HEX2DEC(MID(Table14[[#This Row],[Color Code]], 3, 2))," , ",HEX2DEC(MID(Table14[[#This Row],[Color Code]], 5, 2)))</f>
        <v>124 , 65 , 65</v>
      </c>
      <c r="D19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157.55633912984905</v>
      </c>
      <c r="E1976" t="str">
        <f>Table14[[#This Row],[Color Code]] &amp; " - " &amp;Table14[[#This Row],[Color Name]]</f>
        <v>7C4141 - K008</v>
      </c>
    </row>
    <row r="1977" spans="1:5" x14ac:dyDescent="0.35">
      <c r="A1977" s="17" t="s">
        <v>2657</v>
      </c>
      <c r="B1977" t="s">
        <v>4864</v>
      </c>
      <c r="C1977" s="9" t="str">
        <f>_xlfn.CONCAT(HEX2DEC(MID(Table14[[#This Row],[Color Code]], 1, 2))," , ",HEX2DEC(MID(Table14[[#This Row],[Color Code]], 3, 2))," , ",HEX2DEC(MID(Table14[[#This Row],[Color Code]], 5, 2)))</f>
        <v>85 , 77 , 93</v>
      </c>
      <c r="D19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157.78783223049868</v>
      </c>
      <c r="E1977" t="str">
        <f>Table14[[#This Row],[Color Code]] &amp; " - " &amp;Table14[[#This Row],[Color Name]]</f>
        <v>554D5D - 9625</v>
      </c>
    </row>
    <row r="1978" spans="1:5" x14ac:dyDescent="0.35">
      <c r="A1978" s="17" t="s">
        <v>4495</v>
      </c>
      <c r="B1978" t="s">
        <v>6044</v>
      </c>
      <c r="C1978" s="9" t="str">
        <f>_xlfn.CONCAT(HEX2DEC(MID(Table14[[#This Row],[Color Code]], 1, 2))," , ",HEX2DEC(MID(Table14[[#This Row],[Color Code]], 3, 2))," , ",HEX2DEC(MID(Table14[[#This Row],[Color Code]], 5, 2)))</f>
        <v>83 , 84 , 86</v>
      </c>
      <c r="D19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157.87019984784968</v>
      </c>
      <c r="E1978" t="str">
        <f>Table14[[#This Row],[Color Code]] &amp; " - " &amp;Table14[[#This Row],[Color Name]]</f>
        <v>535456 - 8261</v>
      </c>
    </row>
    <row r="1979" spans="1:5" x14ac:dyDescent="0.35">
      <c r="A1979" s="17" t="s">
        <v>2782</v>
      </c>
      <c r="B1979" t="s">
        <v>4996</v>
      </c>
      <c r="C1979" s="9" t="str">
        <f>_xlfn.CONCAT(HEX2DEC(MID(Table14[[#This Row],[Color Code]], 1, 2))," , ",HEX2DEC(MID(Table14[[#This Row],[Color Code]], 3, 2))," , ",HEX2DEC(MID(Table14[[#This Row],[Color Code]], 5, 2)))</f>
        <v>43 , 136 , 190</v>
      </c>
      <c r="D19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157.94619336976754</v>
      </c>
      <c r="E1979" t="str">
        <f>Table14[[#This Row],[Color Code]] &amp; " - " &amp;Table14[[#This Row],[Color Name]]</f>
        <v>2B88BE - 7326</v>
      </c>
    </row>
    <row r="1980" spans="1:5" x14ac:dyDescent="0.35">
      <c r="A1980" s="17" t="s">
        <v>3127</v>
      </c>
      <c r="B1980" t="s">
        <v>5382</v>
      </c>
      <c r="C1980" s="9" t="str">
        <f>_xlfn.CONCAT(HEX2DEC(MID(Table14[[#This Row],[Color Code]], 1, 2))," , ",HEX2DEC(MID(Table14[[#This Row],[Color Code]], 3, 2))," , ",HEX2DEC(MID(Table14[[#This Row],[Color Code]], 5, 2)))</f>
        <v>89 , 102 , 60</v>
      </c>
      <c r="D19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157.99683541134613</v>
      </c>
      <c r="E1980" t="str">
        <f>Table14[[#This Row],[Color Code]] &amp; " - " &amp;Table14[[#This Row],[Color Name]]</f>
        <v>59663C - 9814</v>
      </c>
    </row>
    <row r="1981" spans="1:5" x14ac:dyDescent="0.35">
      <c r="A1981" s="17" t="s">
        <v>4374</v>
      </c>
      <c r="B1981" t="s">
        <v>6755</v>
      </c>
      <c r="C1981" s="9" t="str">
        <f>_xlfn.CONCAT(HEX2DEC(MID(Table14[[#This Row],[Color Code]], 1, 2))," , ",HEX2DEC(MID(Table14[[#This Row],[Color Code]], 3, 2))," , ",HEX2DEC(MID(Table14[[#This Row],[Color Code]], 5, 2)))</f>
        <v>65 , 86 , 124</v>
      </c>
      <c r="D19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158.14866423716643</v>
      </c>
      <c r="E1981" t="str">
        <f>Table14[[#This Row],[Color Code]] &amp; " - " &amp;Table14[[#This Row],[Color Name]]</f>
        <v>41567C - X142</v>
      </c>
    </row>
    <row r="1982" spans="1:5" x14ac:dyDescent="0.35">
      <c r="A1982" s="17" t="s">
        <v>3806</v>
      </c>
      <c r="B1982" t="s">
        <v>6115</v>
      </c>
      <c r="C1982" s="9" t="str">
        <f>_xlfn.CONCAT(HEX2DEC(MID(Table14[[#This Row],[Color Code]], 1, 2))," , ",HEX2DEC(MID(Table14[[#This Row],[Color Code]], 3, 2))," , ",HEX2DEC(MID(Table14[[#This Row],[Color Code]], 5, 2)))</f>
        <v>91 , 84 , 74</v>
      </c>
      <c r="D19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158.24980252752292</v>
      </c>
      <c r="E1982" t="str">
        <f>Table14[[#This Row],[Color Code]] &amp; " - " &amp;Table14[[#This Row],[Color Name]]</f>
        <v>5B544A - 8469</v>
      </c>
    </row>
    <row r="1983" spans="1:5" x14ac:dyDescent="0.35">
      <c r="A1983" s="17" t="s">
        <v>2835</v>
      </c>
      <c r="B1983" t="s">
        <v>5051</v>
      </c>
      <c r="C1983" s="9" t="str">
        <f>_xlfn.CONCAT(HEX2DEC(MID(Table14[[#This Row],[Color Code]], 1, 2))," , ",HEX2DEC(MID(Table14[[#This Row],[Color Code]], 3, 2))," , ",HEX2DEC(MID(Table14[[#This Row],[Color Code]], 5, 2)))</f>
        <v>38 , 138 , 165</v>
      </c>
      <c r="D19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158.6978260720669</v>
      </c>
      <c r="E1983" t="str">
        <f>Table14[[#This Row],[Color Code]] &amp; " - " &amp;Table14[[#This Row],[Color Name]]</f>
        <v>268AA5 - 9672</v>
      </c>
    </row>
    <row r="1984" spans="1:5" x14ac:dyDescent="0.35">
      <c r="A1984" s="17" t="s">
        <v>4579</v>
      </c>
      <c r="B1984" t="s">
        <v>6724</v>
      </c>
      <c r="C1984" s="9" t="str">
        <f>_xlfn.CONCAT(HEX2DEC(MID(Table14[[#This Row],[Color Code]], 1, 2))," , ",HEX2DEC(MID(Table14[[#This Row],[Color Code]], 3, 2))," , ",HEX2DEC(MID(Table14[[#This Row],[Color Code]], 5, 2)))</f>
        <v>68 , 101 , 89</v>
      </c>
      <c r="D19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158.77027429591473</v>
      </c>
      <c r="E1984" t="str">
        <f>Table14[[#This Row],[Color Code]] &amp; " - " &amp;Table14[[#This Row],[Color Name]]</f>
        <v>446559 - X153</v>
      </c>
    </row>
    <row r="1985" spans="1:5" x14ac:dyDescent="0.35">
      <c r="A1985" s="17" t="s">
        <v>4372</v>
      </c>
      <c r="B1985" t="s">
        <v>6753</v>
      </c>
      <c r="C1985" s="9" t="str">
        <f>_xlfn.CONCAT(HEX2DEC(MID(Table14[[#This Row],[Color Code]], 1, 2))," , ",HEX2DEC(MID(Table14[[#This Row],[Color Code]], 3, 2))," , ",HEX2DEC(MID(Table14[[#This Row],[Color Code]], 5, 2)))</f>
        <v>72 , 76 , 123</v>
      </c>
      <c r="D19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158.8238017426859</v>
      </c>
      <c r="E1985" t="str">
        <f>Table14[[#This Row],[Color Code]] &amp; " - " &amp;Table14[[#This Row],[Color Name]]</f>
        <v>484C7B - 7213</v>
      </c>
    </row>
    <row r="1986" spans="1:5" x14ac:dyDescent="0.35">
      <c r="A1986" s="17" t="s">
        <v>3182</v>
      </c>
      <c r="B1986" t="s">
        <v>5440</v>
      </c>
      <c r="C1986" s="9" t="str">
        <f>_xlfn.CONCAT(HEX2DEC(MID(Table14[[#This Row],[Color Code]], 1, 2))," , ",HEX2DEC(MID(Table14[[#This Row],[Color Code]], 3, 2))," , ",HEX2DEC(MID(Table14[[#This Row],[Color Code]], 5, 2)))</f>
        <v>98 , 89 , 60</v>
      </c>
      <c r="D19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158.92451038150156</v>
      </c>
      <c r="E1986" t="str">
        <f>Table14[[#This Row],[Color Code]] &amp; " - " &amp;Table14[[#This Row],[Color Name]]</f>
        <v>62593C - 9853</v>
      </c>
    </row>
    <row r="1987" spans="1:5" x14ac:dyDescent="0.35">
      <c r="A1987" s="17" t="s">
        <v>4590</v>
      </c>
      <c r="B1987" t="s">
        <v>6780</v>
      </c>
      <c r="C1987" s="9" t="str">
        <f>_xlfn.CONCAT(HEX2DEC(MID(Table14[[#This Row],[Color Code]], 1, 2))," , ",HEX2DEC(MID(Table14[[#This Row],[Color Code]], 3, 2))," , ",HEX2DEC(MID(Table14[[#This Row],[Color Code]], 5, 2)))</f>
        <v>97 , 72 , 80</v>
      </c>
      <c r="D19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158.93080255255745</v>
      </c>
      <c r="E1987" t="str">
        <f>Table14[[#This Row],[Color Code]] &amp; " - " &amp;Table14[[#This Row],[Color Name]]</f>
        <v>614850 - X134</v>
      </c>
    </row>
    <row r="1988" spans="1:5" x14ac:dyDescent="0.35">
      <c r="A1988" s="17" t="s">
        <v>3828</v>
      </c>
      <c r="B1988" t="s">
        <v>6140</v>
      </c>
      <c r="C1988" s="9" t="str">
        <f>_xlfn.CONCAT(HEX2DEC(MID(Table14[[#This Row],[Color Code]], 1, 2))," , ",HEX2DEC(MID(Table14[[#This Row],[Color Code]], 3, 2))," , ",HEX2DEC(MID(Table14[[#This Row],[Color Code]], 5, 2)))</f>
        <v>86 , 85 , 78</v>
      </c>
      <c r="D19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158.94967757123635</v>
      </c>
      <c r="E1988" t="str">
        <f>Table14[[#This Row],[Color Code]] &amp; " - " &amp;Table14[[#This Row],[Color Name]]</f>
        <v>56554E - 8325</v>
      </c>
    </row>
    <row r="1989" spans="1:5" x14ac:dyDescent="0.35">
      <c r="A1989" s="17" t="s">
        <v>4353</v>
      </c>
      <c r="B1989" t="s">
        <v>6729</v>
      </c>
      <c r="C1989" s="9" t="str">
        <f>_xlfn.CONCAT(HEX2DEC(MID(Table14[[#This Row],[Color Code]], 1, 2))," , ",HEX2DEC(MID(Table14[[#This Row],[Color Code]], 3, 2))," , ",HEX2DEC(MID(Table14[[#This Row],[Color Code]], 5, 2)))</f>
        <v>53 , 107 , 116</v>
      </c>
      <c r="D19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159.58070058750837</v>
      </c>
      <c r="E1989" t="str">
        <f>Table14[[#This Row],[Color Code]] &amp; " - " &amp;Table14[[#This Row],[Color Name]]</f>
        <v>356B74 - X181</v>
      </c>
    </row>
    <row r="1990" spans="1:5" x14ac:dyDescent="0.35">
      <c r="A1990" s="17" t="s">
        <v>3703</v>
      </c>
      <c r="B1990" t="s">
        <v>5988</v>
      </c>
      <c r="C1990" s="9" t="str">
        <f>_xlfn.CONCAT(HEX2DEC(MID(Table14[[#This Row],[Color Code]], 1, 2))," , ",HEX2DEC(MID(Table14[[#This Row],[Color Code]], 3, 2))," , ",HEX2DEC(MID(Table14[[#This Row],[Color Code]], 5, 2)))</f>
        <v>89 , 74 , 86</v>
      </c>
      <c r="D19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159.90934932016953</v>
      </c>
      <c r="E1990" t="str">
        <f>Table14[[#This Row],[Color Code]] &amp; " - " &amp;Table14[[#This Row],[Color Name]]</f>
        <v>594A56 - 8205</v>
      </c>
    </row>
    <row r="1991" spans="1:5" x14ac:dyDescent="0.35">
      <c r="A1991" s="17" t="s">
        <v>2980</v>
      </c>
      <c r="B1991" t="s">
        <v>5223</v>
      </c>
      <c r="C1991" s="9" t="str">
        <f>_xlfn.CONCAT(HEX2DEC(MID(Table14[[#This Row],[Color Code]], 1, 2))," , ",HEX2DEC(MID(Table14[[#This Row],[Color Code]], 3, 2))," , ",HEX2DEC(MID(Table14[[#This Row],[Color Code]], 5, 2)))</f>
        <v>62 , 109 , 89</v>
      </c>
      <c r="D19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160.03749560649842</v>
      </c>
      <c r="E1991" t="str">
        <f>Table14[[#This Row],[Color Code]] &amp; " - " &amp;Table14[[#This Row],[Color Name]]</f>
        <v>3E6D59 - 9749</v>
      </c>
    </row>
    <row r="1992" spans="1:5" x14ac:dyDescent="0.35">
      <c r="A1992" s="17" t="s">
        <v>2985</v>
      </c>
      <c r="B1992" t="s">
        <v>5229</v>
      </c>
      <c r="C1992" s="9" t="str">
        <f>_xlfn.CONCAT(HEX2DEC(MID(Table14[[#This Row],[Color Code]], 1, 2))," , ",HEX2DEC(MID(Table14[[#This Row],[Color Code]], 3, 2))," , ",HEX2DEC(MID(Table14[[#This Row],[Color Code]], 5, 2)))</f>
        <v>51 , 133 , 92</v>
      </c>
      <c r="D19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160.04374402018968</v>
      </c>
      <c r="E1992" t="str">
        <f>Table14[[#This Row],[Color Code]] &amp; " - " &amp;Table14[[#This Row],[Color Name]]</f>
        <v>33855C - 9754</v>
      </c>
    </row>
    <row r="1993" spans="1:5" x14ac:dyDescent="0.35">
      <c r="A1993" s="17" t="s">
        <v>2738</v>
      </c>
      <c r="B1993" t="s">
        <v>4949</v>
      </c>
      <c r="C1993" s="9" t="str">
        <f>_xlfn.CONCAT(HEX2DEC(MID(Table14[[#This Row],[Color Code]], 1, 2))," , ",HEX2DEC(MID(Table14[[#This Row],[Color Code]], 3, 2))," , ",HEX2DEC(MID(Table14[[#This Row],[Color Code]], 5, 2)))</f>
        <v>66 , 79 , 129</v>
      </c>
      <c r="D19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160.52414148656894</v>
      </c>
      <c r="E1993" t="str">
        <f>Table14[[#This Row],[Color Code]] &amp; " - " &amp;Table14[[#This Row],[Color Name]]</f>
        <v>424F81 - 9641</v>
      </c>
    </row>
    <row r="1994" spans="1:5" x14ac:dyDescent="0.35">
      <c r="A1994" s="17" t="s">
        <v>3859</v>
      </c>
      <c r="B1994" t="s">
        <v>6180</v>
      </c>
      <c r="C1994" s="9" t="str">
        <f>_xlfn.CONCAT(HEX2DEC(MID(Table14[[#This Row],[Color Code]], 1, 2))," , ",HEX2DEC(MID(Table14[[#This Row],[Color Code]], 3, 2))," , ",HEX2DEC(MID(Table14[[#This Row],[Color Code]], 5, 2)))</f>
        <v>82 , 87 , 78</v>
      </c>
      <c r="D19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160.53971471259067</v>
      </c>
      <c r="E1994" t="str">
        <f>Table14[[#This Row],[Color Code]] &amp; " - " &amp;Table14[[#This Row],[Color Name]]</f>
        <v>52574E - 8365</v>
      </c>
    </row>
    <row r="1995" spans="1:5" x14ac:dyDescent="0.35">
      <c r="A1995" s="17" t="s">
        <v>3438</v>
      </c>
      <c r="B1995" t="s">
        <v>5700</v>
      </c>
      <c r="C1995" s="9" t="str">
        <f>_xlfn.CONCAT(HEX2DEC(MID(Table14[[#This Row],[Color Code]], 1, 2))," , ",HEX2DEC(MID(Table14[[#This Row],[Color Code]], 3, 2))," , ",HEX2DEC(MID(Table14[[#This Row],[Color Code]], 5, 2)))</f>
        <v>102 , 75 , 67</v>
      </c>
      <c r="D19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160.76069171286866</v>
      </c>
      <c r="E1995" t="str">
        <f>Table14[[#This Row],[Color Code]] &amp; " - " &amp;Table14[[#This Row],[Color Name]]</f>
        <v>664B43 - 9940</v>
      </c>
    </row>
    <row r="1996" spans="1:5" x14ac:dyDescent="0.35">
      <c r="A1996" s="17" t="s">
        <v>3652</v>
      </c>
      <c r="B1996" t="s">
        <v>5924</v>
      </c>
      <c r="C1996" s="9" t="str">
        <f>_xlfn.CONCAT(HEX2DEC(MID(Table14[[#This Row],[Color Code]], 1, 2))," , ",HEX2DEC(MID(Table14[[#This Row],[Color Code]], 3, 2))," , ",HEX2DEC(MID(Table14[[#This Row],[Color Code]], 5, 2)))</f>
        <v>95 , 67 , 85</v>
      </c>
      <c r="D19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161.1614097729354</v>
      </c>
      <c r="E1996" t="str">
        <f>Table14[[#This Row],[Color Code]] &amp; " - " &amp;Table14[[#This Row],[Color Name]]</f>
        <v>5F4355 - K039</v>
      </c>
    </row>
    <row r="1997" spans="1:5" x14ac:dyDescent="0.35">
      <c r="A1997" s="17" t="s">
        <v>4468</v>
      </c>
      <c r="B1997" t="s">
        <v>5708</v>
      </c>
      <c r="C1997" s="9" t="str">
        <f>_xlfn.CONCAT(HEX2DEC(MID(Table14[[#This Row],[Color Code]], 1, 2))," , ",HEX2DEC(MID(Table14[[#This Row],[Color Code]], 3, 2))," , ",HEX2DEC(MID(Table14[[#This Row],[Color Code]], 5, 2)))</f>
        <v>117 , 64 , 65</v>
      </c>
      <c r="D19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161.38773187575319</v>
      </c>
      <c r="E1997" t="str">
        <f>Table14[[#This Row],[Color Code]] &amp; " - " &amp;Table14[[#This Row],[Color Name]]</f>
        <v>754041 - 9948</v>
      </c>
    </row>
    <row r="1998" spans="1:5" x14ac:dyDescent="0.35">
      <c r="A1998" s="17" t="s">
        <v>3882</v>
      </c>
      <c r="B1998" t="s">
        <v>6204</v>
      </c>
      <c r="C1998" s="9" t="str">
        <f>_xlfn.CONCAT(HEX2DEC(MID(Table14[[#This Row],[Color Code]], 1, 2))," , ",HEX2DEC(MID(Table14[[#This Row],[Color Code]], 3, 2))," , ",HEX2DEC(MID(Table14[[#This Row],[Color Code]], 5, 2)))</f>
        <v>83 , 85 , 77</v>
      </c>
      <c r="D19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161.4465855941215</v>
      </c>
      <c r="E1998" t="str">
        <f>Table14[[#This Row],[Color Code]] &amp; " - " &amp;Table14[[#This Row],[Color Name]]</f>
        <v>53554D - K299</v>
      </c>
    </row>
    <row r="1999" spans="1:5" x14ac:dyDescent="0.35">
      <c r="A1999" s="17" t="s">
        <v>3481</v>
      </c>
      <c r="B1999" t="s">
        <v>5748</v>
      </c>
      <c r="C1999" s="9" t="str">
        <f>_xlfn.CONCAT(HEX2DEC(MID(Table14[[#This Row],[Color Code]], 1, 2))," , ",HEX2DEC(MID(Table14[[#This Row],[Color Code]], 3, 2))," , ",HEX2DEC(MID(Table14[[#This Row],[Color Code]], 5, 2)))</f>
        <v>109 , 68 , 67</v>
      </c>
      <c r="D19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161.49922600433726</v>
      </c>
      <c r="E1999" t="str">
        <f>Table14[[#This Row],[Color Code]] &amp; " - " &amp;Table14[[#This Row],[Color Name]]</f>
        <v>6D4443 - 9961</v>
      </c>
    </row>
    <row r="2000" spans="1:5" x14ac:dyDescent="0.35">
      <c r="A2000" s="17" t="s">
        <v>2854</v>
      </c>
      <c r="B2000" t="s">
        <v>5071</v>
      </c>
      <c r="C2000" s="9" t="str">
        <f>_xlfn.CONCAT(HEX2DEC(MID(Table14[[#This Row],[Color Code]], 1, 2))," , ",HEX2DEC(MID(Table14[[#This Row],[Color Code]], 3, 2))," , ",HEX2DEC(MID(Table14[[#This Row],[Color Code]], 5, 2)))</f>
        <v>64 , 93 , 100</v>
      </c>
      <c r="D20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161.65704438718407</v>
      </c>
      <c r="E2000" t="str">
        <f>Table14[[#This Row],[Color Code]] &amp; " - " &amp;Table14[[#This Row],[Color Name]]</f>
        <v>405D64 - 7413</v>
      </c>
    </row>
    <row r="2001" spans="1:5" x14ac:dyDescent="0.35">
      <c r="A2001" s="17" t="s">
        <v>2951</v>
      </c>
      <c r="B2001" t="s">
        <v>5184</v>
      </c>
      <c r="C2001" s="9" t="str">
        <f>_xlfn.CONCAT(HEX2DEC(MID(Table14[[#This Row],[Color Code]], 1, 2))," , ",HEX2DEC(MID(Table14[[#This Row],[Color Code]], 3, 2))," , ",HEX2DEC(MID(Table14[[#This Row],[Color Code]], 5, 2)))</f>
        <v>54 , 111 , 100</v>
      </c>
      <c r="D20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161.75598906995685</v>
      </c>
      <c r="E2001" t="str">
        <f>Table14[[#This Row],[Color Code]] &amp; " - " &amp;Table14[[#This Row],[Color Name]]</f>
        <v>366F64 - 9725</v>
      </c>
    </row>
    <row r="2002" spans="1:5" x14ac:dyDescent="0.35">
      <c r="A2002" s="17" t="s">
        <v>2799</v>
      </c>
      <c r="B2002" t="s">
        <v>5014</v>
      </c>
      <c r="C2002" s="9" t="str">
        <f>_xlfn.CONCAT(HEX2DEC(MID(Table14[[#This Row],[Color Code]], 1, 2))," , ",HEX2DEC(MID(Table14[[#This Row],[Color Code]], 3, 2))," , ",HEX2DEC(MID(Table14[[#This Row],[Color Code]], 5, 2)))</f>
        <v>35 , 140 , 176</v>
      </c>
      <c r="D20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162.21898779119539</v>
      </c>
      <c r="E2002" t="str">
        <f>Table14[[#This Row],[Color Code]] &amp; " - " &amp;Table14[[#This Row],[Color Name]]</f>
        <v>238CB0 - 7358</v>
      </c>
    </row>
    <row r="2003" spans="1:5" x14ac:dyDescent="0.35">
      <c r="A2003" s="17" t="s">
        <v>3866</v>
      </c>
      <c r="B2003" t="s">
        <v>6187</v>
      </c>
      <c r="C2003" s="9" t="str">
        <f>_xlfn.CONCAT(HEX2DEC(MID(Table14[[#This Row],[Color Code]], 1, 2))," , ",HEX2DEC(MID(Table14[[#This Row],[Color Code]], 3, 2))," , ",HEX2DEC(MID(Table14[[#This Row],[Color Code]], 5, 2)))</f>
        <v>88 , 92 , 62</v>
      </c>
      <c r="D20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162.33915116200404</v>
      </c>
      <c r="E2003" t="str">
        <f>Table14[[#This Row],[Color Code]] &amp; " - " &amp;Table14[[#This Row],[Color Name]]</f>
        <v>585C3E - K154</v>
      </c>
    </row>
    <row r="2004" spans="1:5" x14ac:dyDescent="0.35">
      <c r="A2004" s="17" t="s">
        <v>4416</v>
      </c>
      <c r="B2004" t="s">
        <v>4951</v>
      </c>
      <c r="C2004" s="9" t="str">
        <f>_xlfn.CONCAT(HEX2DEC(MID(Table14[[#This Row],[Color Code]], 1, 2))," , ",HEX2DEC(MID(Table14[[#This Row],[Color Code]], 3, 2))," , ",HEX2DEC(MID(Table14[[#This Row],[Color Code]], 5, 2)))</f>
        <v>65 , 82 , 115</v>
      </c>
      <c r="D20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162.41305366256739</v>
      </c>
      <c r="E2004" t="str">
        <f>Table14[[#This Row],[Color Code]] &amp; " - " &amp;Table14[[#This Row],[Color Name]]</f>
        <v>415273 - 9643</v>
      </c>
    </row>
    <row r="2005" spans="1:5" x14ac:dyDescent="0.35">
      <c r="A2005" s="17" t="s">
        <v>4074</v>
      </c>
      <c r="B2005" t="s">
        <v>6420</v>
      </c>
      <c r="C2005" s="9" t="str">
        <f>_xlfn.CONCAT(HEX2DEC(MID(Table14[[#This Row],[Color Code]], 1, 2))," , ",HEX2DEC(MID(Table14[[#This Row],[Color Code]], 3, 2))," , ",HEX2DEC(MID(Table14[[#This Row],[Color Code]], 5, 2)))</f>
        <v>89 , 79 , 74</v>
      </c>
      <c r="D20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162.43768035772982</v>
      </c>
      <c r="E2005" t="str">
        <f>Table14[[#This Row],[Color Code]] &amp; " - " &amp;Table14[[#This Row],[Color Name]]</f>
        <v>594F4A - K211</v>
      </c>
    </row>
    <row r="2006" spans="1:5" x14ac:dyDescent="0.35">
      <c r="A2006" s="17" t="s">
        <v>3063</v>
      </c>
      <c r="B2006" t="s">
        <v>5312</v>
      </c>
      <c r="C2006" s="9" t="str">
        <f>_xlfn.CONCAT(HEX2DEC(MID(Table14[[#This Row],[Color Code]], 1, 2))," , ",HEX2DEC(MID(Table14[[#This Row],[Color Code]], 3, 2))," , ",HEX2DEC(MID(Table14[[#This Row],[Color Code]], 5, 2)))</f>
        <v>76 , 96 , 73</v>
      </c>
      <c r="D20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162.54537827942079</v>
      </c>
      <c r="E2006" t="str">
        <f>Table14[[#This Row],[Color Code]] &amp; " - " &amp;Table14[[#This Row],[Color Name]]</f>
        <v>4C6049 - 9792</v>
      </c>
    </row>
    <row r="2007" spans="1:5" x14ac:dyDescent="0.35">
      <c r="A2007" s="17" t="s">
        <v>2984</v>
      </c>
      <c r="B2007" t="s">
        <v>5228</v>
      </c>
      <c r="C2007" s="9" t="str">
        <f>_xlfn.CONCAT(HEX2DEC(MID(Table14[[#This Row],[Color Code]], 1, 2))," , ",HEX2DEC(MID(Table14[[#This Row],[Color Code]], 3, 2))," , ",HEX2DEC(MID(Table14[[#This Row],[Color Code]], 5, 2)))</f>
        <v>41 , 163 , 95</v>
      </c>
      <c r="D20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162.92636373527768</v>
      </c>
      <c r="E2007" t="str">
        <f>Table14[[#This Row],[Color Code]] &amp; " - " &amp;Table14[[#This Row],[Color Name]]</f>
        <v>29A35F - 9753</v>
      </c>
    </row>
    <row r="2008" spans="1:5" x14ac:dyDescent="0.35">
      <c r="A2008" s="17" t="s">
        <v>4550</v>
      </c>
      <c r="B2008" t="s">
        <v>6419</v>
      </c>
      <c r="C2008" s="9" t="str">
        <f>_xlfn.CONCAT(HEX2DEC(MID(Table14[[#This Row],[Color Code]], 1, 2))," , ",HEX2DEC(MID(Table14[[#This Row],[Color Code]], 3, 2))," , ",HEX2DEC(MID(Table14[[#This Row],[Color Code]], 5, 2)))</f>
        <v>96 , 78 , 66</v>
      </c>
      <c r="D20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162.92943257741985</v>
      </c>
      <c r="E2008" t="str">
        <f>Table14[[#This Row],[Color Code]] &amp; " - " &amp;Table14[[#This Row],[Color Name]]</f>
        <v>604E42 - K210</v>
      </c>
    </row>
    <row r="2009" spans="1:5" x14ac:dyDescent="0.35">
      <c r="A2009" s="17" t="s">
        <v>4199</v>
      </c>
      <c r="B2009" t="s">
        <v>6556</v>
      </c>
      <c r="C2009" s="9" t="str">
        <f>_xlfn.CONCAT(HEX2DEC(MID(Table14[[#This Row],[Color Code]], 1, 2))," , ",HEX2DEC(MID(Table14[[#This Row],[Color Code]], 3, 2))," , ",HEX2DEC(MID(Table14[[#This Row],[Color Code]], 5, 2)))</f>
        <v>110 , 65 , 67</v>
      </c>
      <c r="D20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162.9969324864735</v>
      </c>
      <c r="E2009" t="str">
        <f>Table14[[#This Row],[Color Code]] &amp; " - " &amp;Table14[[#This Row],[Color Name]]</f>
        <v>6E4143 - 0R05</v>
      </c>
    </row>
    <row r="2010" spans="1:5" x14ac:dyDescent="0.35">
      <c r="A2010" s="17" t="s">
        <v>2696</v>
      </c>
      <c r="B2010" t="s">
        <v>4904</v>
      </c>
      <c r="C2010" s="9" t="str">
        <f>_xlfn.CONCAT(HEX2DEC(MID(Table14[[#This Row],[Color Code]], 1, 2))," , ",HEX2DEC(MID(Table14[[#This Row],[Color Code]], 3, 2))," , ",HEX2DEC(MID(Table14[[#This Row],[Color Code]], 5, 2)))</f>
        <v>79 , 77 , 90</v>
      </c>
      <c r="D20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163.08893279434997</v>
      </c>
      <c r="E2010" t="str">
        <f>Table14[[#This Row],[Color Code]] &amp; " - " &amp;Table14[[#This Row],[Color Name]]</f>
        <v>4F4D5A - 7189</v>
      </c>
    </row>
    <row r="2011" spans="1:5" x14ac:dyDescent="0.35">
      <c r="A2011" s="17" t="s">
        <v>3910</v>
      </c>
      <c r="B2011" t="s">
        <v>6236</v>
      </c>
      <c r="C2011" s="9" t="str">
        <f>_xlfn.CONCAT(HEX2DEC(MID(Table14[[#This Row],[Color Code]], 1, 2))," , ",HEX2DEC(MID(Table14[[#This Row],[Color Code]], 3, 2))," , ",HEX2DEC(MID(Table14[[#This Row],[Color Code]], 5, 2)))</f>
        <v>90 , 83 , 67</v>
      </c>
      <c r="D20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163.13184851524241</v>
      </c>
      <c r="E2011" t="str">
        <f>Table14[[#This Row],[Color Code]] &amp; " - " &amp;Table14[[#This Row],[Color Name]]</f>
        <v>5A5343 - K160</v>
      </c>
    </row>
    <row r="2012" spans="1:5" x14ac:dyDescent="0.35">
      <c r="A2012" s="17" t="s">
        <v>4373</v>
      </c>
      <c r="B2012" t="s">
        <v>6754</v>
      </c>
      <c r="C2012" s="9" t="str">
        <f>_xlfn.CONCAT(HEX2DEC(MID(Table14[[#This Row],[Color Code]], 1, 2))," , ",HEX2DEC(MID(Table14[[#This Row],[Color Code]], 3, 2))," , ",HEX2DEC(MID(Table14[[#This Row],[Color Code]], 5, 2)))</f>
        <v>64 , 78 , 126</v>
      </c>
      <c r="D20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163.19926470422593</v>
      </c>
      <c r="E2012" t="str">
        <f>Table14[[#This Row],[Color Code]] &amp; " - " &amp;Table14[[#This Row],[Color Name]]</f>
        <v>404E7E - 7245</v>
      </c>
    </row>
    <row r="2013" spans="1:5" x14ac:dyDescent="0.35">
      <c r="A2013" s="17" t="s">
        <v>4349</v>
      </c>
      <c r="B2013" t="s">
        <v>6723</v>
      </c>
      <c r="C2013" s="9" t="str">
        <f>_xlfn.CONCAT(HEX2DEC(MID(Table14[[#This Row],[Color Code]], 1, 2))," , ",HEX2DEC(MID(Table14[[#This Row],[Color Code]], 3, 2))," , ",HEX2DEC(MID(Table14[[#This Row],[Color Code]], 5, 2)))</f>
        <v>63 , 110 , 79</v>
      </c>
      <c r="D20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163.2237727783548</v>
      </c>
      <c r="E2013" t="str">
        <f>Table14[[#This Row],[Color Code]] &amp; " - " &amp;Table14[[#This Row],[Color Name]]</f>
        <v>3F6E4F - 7581</v>
      </c>
    </row>
    <row r="2014" spans="1:5" x14ac:dyDescent="0.35">
      <c r="A2014" s="17" t="s">
        <v>4415</v>
      </c>
      <c r="B2014" t="s">
        <v>4936</v>
      </c>
      <c r="C2014" s="9" t="str">
        <f>_xlfn.CONCAT(HEX2DEC(MID(Table14[[#This Row],[Color Code]], 1, 2))," , ",HEX2DEC(MID(Table14[[#This Row],[Color Code]], 3, 2))," , ",HEX2DEC(MID(Table14[[#This Row],[Color Code]], 5, 2)))</f>
        <v>69 , 80 , 105</v>
      </c>
      <c r="D20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163.26052799130596</v>
      </c>
      <c r="E2014" t="str">
        <f>Table14[[#This Row],[Color Code]] &amp; " - " &amp;Table14[[#This Row],[Color Name]]</f>
        <v>455069 - 9635</v>
      </c>
    </row>
    <row r="2015" spans="1:5" x14ac:dyDescent="0.35">
      <c r="A2015" s="17" t="s">
        <v>3815</v>
      </c>
      <c r="B2015" t="s">
        <v>6124</v>
      </c>
      <c r="C2015" s="9" t="str">
        <f>_xlfn.CONCAT(HEX2DEC(MID(Table14[[#This Row],[Color Code]], 1, 2))," , ",HEX2DEC(MID(Table14[[#This Row],[Color Code]], 3, 2))," , ",HEX2DEC(MID(Table14[[#This Row],[Color Code]], 5, 2)))</f>
        <v>79 , 84 , 80</v>
      </c>
      <c r="D20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163.32482971061074</v>
      </c>
      <c r="E2015" t="str">
        <f>Table14[[#This Row],[Color Code]] &amp; " - " &amp;Table14[[#This Row],[Color Name]]</f>
        <v>4F5450 - K129</v>
      </c>
    </row>
    <row r="2016" spans="1:5" x14ac:dyDescent="0.35">
      <c r="A2016" s="17" t="s">
        <v>4482</v>
      </c>
      <c r="B2016" t="s">
        <v>5964</v>
      </c>
      <c r="C2016" s="9" t="str">
        <f>_xlfn.CONCAT(HEX2DEC(MID(Table14[[#This Row],[Color Code]], 1, 2))," , ",HEX2DEC(MID(Table14[[#This Row],[Color Code]], 3, 2))," , ",HEX2DEC(MID(Table14[[#This Row],[Color Code]], 5, 2)))</f>
        <v>89 , 72 , 81</v>
      </c>
      <c r="D20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163.38298565028123</v>
      </c>
      <c r="E2016" t="str">
        <f>Table14[[#This Row],[Color Code]] &amp; " - " &amp;Table14[[#This Row],[Color Name]]</f>
        <v>594851 - K290</v>
      </c>
    </row>
    <row r="2017" spans="1:5" x14ac:dyDescent="0.35">
      <c r="A2017" s="17" t="s">
        <v>3953</v>
      </c>
      <c r="B2017" t="s">
        <v>6284</v>
      </c>
      <c r="C2017" s="9" t="str">
        <f>_xlfn.CONCAT(HEX2DEC(MID(Table14[[#This Row],[Color Code]], 1, 2))," , ",HEX2DEC(MID(Table14[[#This Row],[Color Code]], 3, 2))," , ",HEX2DEC(MID(Table14[[#This Row],[Color Code]], 5, 2)))</f>
        <v>95 , 82 , 62</v>
      </c>
      <c r="D20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163.42276463210382</v>
      </c>
      <c r="E2017" t="str">
        <f>Table14[[#This Row],[Color Code]] &amp; " - " &amp;Table14[[#This Row],[Color Name]]</f>
        <v>5F523E - K164</v>
      </c>
    </row>
    <row r="2018" spans="1:5" x14ac:dyDescent="0.35">
      <c r="A2018" s="17" t="s">
        <v>4581</v>
      </c>
      <c r="B2018" t="s">
        <v>6730</v>
      </c>
      <c r="C2018" s="9" t="str">
        <f>_xlfn.CONCAT(HEX2DEC(MID(Table14[[#This Row],[Color Code]], 1, 2))," , ",HEX2DEC(MID(Table14[[#This Row],[Color Code]], 3, 2))," , ",HEX2DEC(MID(Table14[[#This Row],[Color Code]], 5, 2)))</f>
        <v>56 , 100 , 104</v>
      </c>
      <c r="D20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163.46865142895135</v>
      </c>
      <c r="E2018" t="str">
        <f>Table14[[#This Row],[Color Code]] &amp; " - " &amp;Table14[[#This Row],[Color Name]]</f>
        <v>386468 - X151</v>
      </c>
    </row>
    <row r="2019" spans="1:5" x14ac:dyDescent="0.35">
      <c r="A2019" s="17" t="s">
        <v>3020</v>
      </c>
      <c r="B2019" t="s">
        <v>5264</v>
      </c>
      <c r="C2019" s="9" t="str">
        <f>_xlfn.CONCAT(HEX2DEC(MID(Table14[[#This Row],[Color Code]], 1, 2))," , ",HEX2DEC(MID(Table14[[#This Row],[Color Code]], 3, 2))," , ",HEX2DEC(MID(Table14[[#This Row],[Color Code]], 5, 2)))</f>
        <v>67 , 104 , 77</v>
      </c>
      <c r="D20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163.55427233796127</v>
      </c>
      <c r="E2019" t="str">
        <f>Table14[[#This Row],[Color Code]] &amp; " - " &amp;Table14[[#This Row],[Color Name]]</f>
        <v>43684D - 9760</v>
      </c>
    </row>
    <row r="2020" spans="1:5" x14ac:dyDescent="0.35">
      <c r="A2020" s="17" t="s">
        <v>4419</v>
      </c>
      <c r="B2020" t="s">
        <v>4999</v>
      </c>
      <c r="C2020" s="9" t="str">
        <f>_xlfn.CONCAT(HEX2DEC(MID(Table14[[#This Row],[Color Code]], 1, 2))," , ",HEX2DEC(MID(Table14[[#This Row],[Color Code]], 3, 2))," , ",HEX2DEC(MID(Table14[[#This Row],[Color Code]], 5, 2)))</f>
        <v>48 , 97 , 148</v>
      </c>
      <c r="D20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163.91766225761029</v>
      </c>
      <c r="E2020" t="str">
        <f>Table14[[#This Row],[Color Code]] &amp; " - " &amp;Table14[[#This Row],[Color Name]]</f>
        <v>306194 - 9658</v>
      </c>
    </row>
    <row r="2021" spans="1:5" x14ac:dyDescent="0.35">
      <c r="A2021" s="17" t="s">
        <v>4006</v>
      </c>
      <c r="B2021" t="s">
        <v>6348</v>
      </c>
      <c r="C2021" s="9" t="str">
        <f>_xlfn.CONCAT(HEX2DEC(MID(Table14[[#This Row],[Color Code]], 1, 2))," , ",HEX2DEC(MID(Table14[[#This Row],[Color Code]], 3, 2))," , ",HEX2DEC(MID(Table14[[#This Row],[Color Code]], 5, 2)))</f>
        <v>93 , 79 , 66</v>
      </c>
      <c r="D20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164.12799883018133</v>
      </c>
      <c r="E2021" t="str">
        <f>Table14[[#This Row],[Color Code]] &amp; " - " &amp;Table14[[#This Row],[Color Name]]</f>
        <v>5D4F42 - K189</v>
      </c>
    </row>
    <row r="2022" spans="1:5" x14ac:dyDescent="0.35">
      <c r="A2022" s="17" t="s">
        <v>4560</v>
      </c>
      <c r="B2022" t="s">
        <v>6548</v>
      </c>
      <c r="C2022" s="9" t="str">
        <f>_xlfn.CONCAT(HEX2DEC(MID(Table14[[#This Row],[Color Code]], 1, 2))," , ",HEX2DEC(MID(Table14[[#This Row],[Color Code]], 3, 2))," , ",HEX2DEC(MID(Table14[[#This Row],[Color Code]], 5, 2)))</f>
        <v>104 , 67 , 68</v>
      </c>
      <c r="D20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164.24676556937126</v>
      </c>
      <c r="E2022" t="str">
        <f>Table14[[#This Row],[Color Code]] &amp; " - " &amp;Table14[[#This Row],[Color Name]]</f>
        <v>684344 - K263</v>
      </c>
    </row>
    <row r="2023" spans="1:5" x14ac:dyDescent="0.35">
      <c r="A2023" s="17" t="s">
        <v>2665</v>
      </c>
      <c r="B2023" t="s">
        <v>4872</v>
      </c>
      <c r="C2023" s="9" t="str">
        <f>_xlfn.CONCAT(HEX2DEC(MID(Table14[[#This Row],[Color Code]], 1, 2))," , ",HEX2DEC(MID(Table14[[#This Row],[Color Code]], 3, 2))," , ",HEX2DEC(MID(Table14[[#This Row],[Color Code]], 5, 2)))</f>
        <v>83 , 70 , 91</v>
      </c>
      <c r="D20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164.3228529450484</v>
      </c>
      <c r="E2023" t="str">
        <f>Table14[[#This Row],[Color Code]] &amp; " - " &amp;Table14[[#This Row],[Color Name]]</f>
        <v>53465B - 9627</v>
      </c>
    </row>
    <row r="2024" spans="1:5" x14ac:dyDescent="0.35">
      <c r="A2024" s="17" t="s">
        <v>3027</v>
      </c>
      <c r="B2024" t="s">
        <v>5271</v>
      </c>
      <c r="C2024" s="9" t="str">
        <f>_xlfn.CONCAT(HEX2DEC(MID(Table14[[#This Row],[Color Code]], 1, 2))," , ",HEX2DEC(MID(Table14[[#This Row],[Color Code]], 3, 2))," , ",HEX2DEC(MID(Table14[[#This Row],[Color Code]], 5, 2)))</f>
        <v>63 , 101 , 85</v>
      </c>
      <c r="D20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164.36848846418221</v>
      </c>
      <c r="E2024" t="str">
        <f>Table14[[#This Row],[Color Code]] &amp; " - " &amp;Table14[[#This Row],[Color Name]]</f>
        <v>3F6555 - 9766</v>
      </c>
    </row>
    <row r="2025" spans="1:5" x14ac:dyDescent="0.35">
      <c r="A2025" s="17" t="s">
        <v>2687</v>
      </c>
      <c r="B2025" t="s">
        <v>4895</v>
      </c>
      <c r="C2025" s="9" t="str">
        <f>_xlfn.CONCAT(HEX2DEC(MID(Table14[[#This Row],[Color Code]], 1, 2))," , ",HEX2DEC(MID(Table14[[#This Row],[Color Code]], 3, 2))," , ",HEX2DEC(MID(Table14[[#This Row],[Color Code]], 5, 2)))</f>
        <v>80 , 77 , 85</v>
      </c>
      <c r="D20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164.46276174259023</v>
      </c>
      <c r="E2025" t="str">
        <f>Table14[[#This Row],[Color Code]] &amp; " - " &amp;Table14[[#This Row],[Color Name]]</f>
        <v>504D55 - 7181</v>
      </c>
    </row>
    <row r="2026" spans="1:5" x14ac:dyDescent="0.35">
      <c r="A2026" s="17" t="s">
        <v>4532</v>
      </c>
      <c r="B2026" t="s">
        <v>6244</v>
      </c>
      <c r="C2026" s="9" t="str">
        <f>_xlfn.CONCAT(HEX2DEC(MID(Table14[[#This Row],[Color Code]], 1, 2))," , ",HEX2DEC(MID(Table14[[#This Row],[Color Code]], 3, 2))," , ",HEX2DEC(MID(Table14[[#This Row],[Color Code]], 5, 2)))</f>
        <v>86 , 81 , 71</v>
      </c>
      <c r="D20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164.7057983193063</v>
      </c>
      <c r="E2026" t="str">
        <f>Table14[[#This Row],[Color Code]] &amp; " - " &amp;Table14[[#This Row],[Color Name]]</f>
        <v>565147 - 8429</v>
      </c>
    </row>
    <row r="2027" spans="1:5" x14ac:dyDescent="0.35">
      <c r="A2027" s="17" t="s">
        <v>3128</v>
      </c>
      <c r="B2027" t="s">
        <v>5383</v>
      </c>
      <c r="C2027" s="9" t="str">
        <f>_xlfn.CONCAT(HEX2DEC(MID(Table14[[#This Row],[Color Code]], 1, 2))," , ",HEX2DEC(MID(Table14[[#This Row],[Color Code]], 3, 2))," , ",HEX2DEC(MID(Table14[[#This Row],[Color Code]], 5, 2)))</f>
        <v>85 , 93 , 60</v>
      </c>
      <c r="D20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164.91816152261703</v>
      </c>
      <c r="E2027" t="str">
        <f>Table14[[#This Row],[Color Code]] &amp; " - " &amp;Table14[[#This Row],[Color Name]]</f>
        <v>555D3C - 9815</v>
      </c>
    </row>
    <row r="2028" spans="1:5" x14ac:dyDescent="0.35">
      <c r="A2028" s="17" t="s">
        <v>4475</v>
      </c>
      <c r="B2028" t="s">
        <v>5907</v>
      </c>
      <c r="C2028" s="9" t="str">
        <f>_xlfn.CONCAT(HEX2DEC(MID(Table14[[#This Row],[Color Code]], 1, 2))," , ",HEX2DEC(MID(Table14[[#This Row],[Color Code]], 3, 2))," , ",HEX2DEC(MID(Table14[[#This Row],[Color Code]], 5, 2)))</f>
        <v>103 , 65 , 70</v>
      </c>
      <c r="D20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165.0636240968918</v>
      </c>
      <c r="E2028" t="str">
        <f>Table14[[#This Row],[Color Code]] &amp; " - " &amp;Table14[[#This Row],[Color Name]]</f>
        <v>674146 - K029</v>
      </c>
    </row>
    <row r="2029" spans="1:5" x14ac:dyDescent="0.35">
      <c r="A2029" s="17" t="s">
        <v>4473</v>
      </c>
      <c r="B2029" t="s">
        <v>5804</v>
      </c>
      <c r="C2029" s="9" t="str">
        <f>_xlfn.CONCAT(HEX2DEC(MID(Table14[[#This Row],[Color Code]], 1, 2))," , ",HEX2DEC(MID(Table14[[#This Row],[Color Code]], 3, 2))," , ",HEX2DEC(MID(Table14[[#This Row],[Color Code]], 5, 2)))</f>
        <v>112 , 62 , 65</v>
      </c>
      <c r="D20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165.13327950476852</v>
      </c>
      <c r="E2029" t="str">
        <f>Table14[[#This Row],[Color Code]] &amp; " - " &amp;Table14[[#This Row],[Color Name]]</f>
        <v>703E41 - 9997</v>
      </c>
    </row>
    <row r="2030" spans="1:5" x14ac:dyDescent="0.35">
      <c r="A2030" s="17" t="s">
        <v>3667</v>
      </c>
      <c r="B2030" t="s">
        <v>5940</v>
      </c>
      <c r="C2030" s="9" t="str">
        <f>_xlfn.CONCAT(HEX2DEC(MID(Table14[[#This Row],[Color Code]], 1, 2))," , ",HEX2DEC(MID(Table14[[#This Row],[Color Code]], 3, 2))," , ",HEX2DEC(MID(Table14[[#This Row],[Color Code]], 5, 2)))</f>
        <v>80 , 70 , 94</v>
      </c>
      <c r="D20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165.19685227025363</v>
      </c>
      <c r="E2030" t="str">
        <f>Table14[[#This Row],[Color Code]] &amp; " - " &amp;Table14[[#This Row],[Color Name]]</f>
        <v>50465E - K045</v>
      </c>
    </row>
    <row r="2031" spans="1:5" x14ac:dyDescent="0.35">
      <c r="A2031" s="17" t="s">
        <v>4588</v>
      </c>
      <c r="B2031" t="s">
        <v>6764</v>
      </c>
      <c r="C2031" s="9" t="str">
        <f>_xlfn.CONCAT(HEX2DEC(MID(Table14[[#This Row],[Color Code]], 1, 2))," , ",HEX2DEC(MID(Table14[[#This Row],[Color Code]], 3, 2))," , ",HEX2DEC(MID(Table14[[#This Row],[Color Code]], 5, 2)))</f>
        <v>88 , 68 , 84</v>
      </c>
      <c r="D20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165.24527224704494</v>
      </c>
      <c r="E2031" t="str">
        <f>Table14[[#This Row],[Color Code]] &amp; " - " &amp;Table14[[#This Row],[Color Name]]</f>
        <v>584454 - 8197</v>
      </c>
    </row>
    <row r="2032" spans="1:5" x14ac:dyDescent="0.35">
      <c r="A2032" s="17" t="s">
        <v>2986</v>
      </c>
      <c r="B2032" t="s">
        <v>5230</v>
      </c>
      <c r="C2032" s="9" t="str">
        <f>_xlfn.CONCAT(HEX2DEC(MID(Table14[[#This Row],[Color Code]], 1, 2))," , ",HEX2DEC(MID(Table14[[#This Row],[Color Code]], 3, 2))," , ",HEX2DEC(MID(Table14[[#This Row],[Color Code]], 5, 2)))</f>
        <v>47 , 128 , 91</v>
      </c>
      <c r="D20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165.31787562148261</v>
      </c>
      <c r="E2032" t="str">
        <f>Table14[[#This Row],[Color Code]] &amp; " - " &amp;Table14[[#This Row],[Color Name]]</f>
        <v>2F805B - 9755</v>
      </c>
    </row>
    <row r="2033" spans="1:5" x14ac:dyDescent="0.35">
      <c r="A2033" s="17" t="s">
        <v>4556</v>
      </c>
      <c r="B2033" t="s">
        <v>6476</v>
      </c>
      <c r="C2033" s="9" t="str">
        <f>_xlfn.CONCAT(HEX2DEC(MID(Table14[[#This Row],[Color Code]], 1, 2))," , ",HEX2DEC(MID(Table14[[#This Row],[Color Code]], 3, 2))," , ",HEX2DEC(MID(Table14[[#This Row],[Color Code]], 5, 2)))</f>
        <v>100 , 70 , 66</v>
      </c>
      <c r="D20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165.55965692160635</v>
      </c>
      <c r="E2033" t="str">
        <f>Table14[[#This Row],[Color Code]] &amp; " - " &amp;Table14[[#This Row],[Color Name]]</f>
        <v>644642 - K220</v>
      </c>
    </row>
    <row r="2034" spans="1:5" x14ac:dyDescent="0.35">
      <c r="A2034" s="17" t="s">
        <v>2823</v>
      </c>
      <c r="B2034" t="s">
        <v>5039</v>
      </c>
      <c r="C2034" s="9" t="str">
        <f>_xlfn.CONCAT(HEX2DEC(MID(Table14[[#This Row],[Color Code]], 1, 2))," , ",HEX2DEC(MID(Table14[[#This Row],[Color Code]], 3, 2))," , ",HEX2DEC(MID(Table14[[#This Row],[Color Code]], 5, 2)))</f>
        <v>63 , 82 , 107</v>
      </c>
      <c r="D20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166.11441839888553</v>
      </c>
      <c r="E2034" t="str">
        <f>Table14[[#This Row],[Color Code]] &amp; " - " &amp;Table14[[#This Row],[Color Name]]</f>
        <v>3F526B - 9669</v>
      </c>
    </row>
    <row r="2035" spans="1:5" x14ac:dyDescent="0.35">
      <c r="A2035" s="17" t="s">
        <v>4343</v>
      </c>
      <c r="B2035" t="s">
        <v>6716</v>
      </c>
      <c r="C2035" s="9" t="str">
        <f>_xlfn.CONCAT(HEX2DEC(MID(Table14[[#This Row],[Color Code]], 1, 2))," , ",HEX2DEC(MID(Table14[[#This Row],[Color Code]], 3, 2))," , ",HEX2DEC(MID(Table14[[#This Row],[Color Code]], 5, 2)))</f>
        <v>57 , 115 , 79</v>
      </c>
      <c r="D20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166.13548687742784</v>
      </c>
      <c r="E2035" t="str">
        <f>Table14[[#This Row],[Color Code]] &amp; " - " &amp;Table14[[#This Row],[Color Name]]</f>
        <v>39734F - X156</v>
      </c>
    </row>
    <row r="2036" spans="1:5" x14ac:dyDescent="0.35">
      <c r="A2036" s="17" t="s">
        <v>3798</v>
      </c>
      <c r="B2036" t="s">
        <v>6100</v>
      </c>
      <c r="C2036" s="9" t="str">
        <f>_xlfn.CONCAT(HEX2DEC(MID(Table14[[#This Row],[Color Code]], 1, 2))," , ",HEX2DEC(MID(Table14[[#This Row],[Color Code]], 3, 2))," , ",HEX2DEC(MID(Table14[[#This Row],[Color Code]], 5, 2)))</f>
        <v>80 , 80 , 77</v>
      </c>
      <c r="D20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166.29191201017565</v>
      </c>
      <c r="E2036" t="str">
        <f>Table14[[#This Row],[Color Code]] &amp; " - " &amp;Table14[[#This Row],[Color Name]]</f>
        <v>50504D - 8301</v>
      </c>
    </row>
    <row r="2037" spans="1:5" x14ac:dyDescent="0.35">
      <c r="A2037" s="17" t="s">
        <v>4540</v>
      </c>
      <c r="B2037" t="s">
        <v>6300</v>
      </c>
      <c r="C2037" s="9" t="str">
        <f>_xlfn.CONCAT(HEX2DEC(MID(Table14[[#This Row],[Color Code]], 1, 2))," , ",HEX2DEC(MID(Table14[[#This Row],[Color Code]], 3, 2))," , ",HEX2DEC(MID(Table14[[#This Row],[Color Code]], 5, 2)))</f>
        <v>89 , 80 , 65</v>
      </c>
      <c r="D20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166.53528154718447</v>
      </c>
      <c r="E2037" t="str">
        <f>Table14[[#This Row],[Color Code]] &amp; " - " &amp;Table14[[#This Row],[Color Name]]</f>
        <v>595041 - K173</v>
      </c>
    </row>
    <row r="2038" spans="1:5" x14ac:dyDescent="0.35">
      <c r="A2038" s="17" t="s">
        <v>4368</v>
      </c>
      <c r="B2038" t="s">
        <v>6748</v>
      </c>
      <c r="C2038" s="9" t="str">
        <f>_xlfn.CONCAT(HEX2DEC(MID(Table14[[#This Row],[Color Code]], 1, 2))," , ",HEX2DEC(MID(Table14[[#This Row],[Color Code]], 3, 2))," , ",HEX2DEC(MID(Table14[[#This Row],[Color Code]], 5, 2)))</f>
        <v>60 , 83 , 112</v>
      </c>
      <c r="D20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166.54428840401582</v>
      </c>
      <c r="E2038" t="str">
        <f>Table14[[#This Row],[Color Code]] &amp; " - " &amp;Table14[[#This Row],[Color Name]]</f>
        <v>3C5370 - X144</v>
      </c>
    </row>
    <row r="2039" spans="1:5" x14ac:dyDescent="0.35">
      <c r="A2039" s="17" t="s">
        <v>4375</v>
      </c>
      <c r="B2039" t="s">
        <v>6756</v>
      </c>
      <c r="C2039" s="9" t="str">
        <f>_xlfn.CONCAT(HEX2DEC(MID(Table14[[#This Row],[Color Code]], 1, 2))," , ",HEX2DEC(MID(Table14[[#This Row],[Color Code]], 3, 2))," , ",HEX2DEC(MID(Table14[[#This Row],[Color Code]], 5, 2)))</f>
        <v>67 , 79 , 101</v>
      </c>
      <c r="D20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166.60432167263849</v>
      </c>
      <c r="E2039" t="str">
        <f>Table14[[#This Row],[Color Code]] &amp; " - " &amp;Table14[[#This Row],[Color Name]]</f>
        <v>434F65 - X143</v>
      </c>
    </row>
    <row r="2040" spans="1:5" x14ac:dyDescent="0.35">
      <c r="A2040" s="17" t="s">
        <v>2739</v>
      </c>
      <c r="B2040" t="s">
        <v>4950</v>
      </c>
      <c r="C2040" s="9" t="str">
        <f>_xlfn.CONCAT(HEX2DEC(MID(Table14[[#This Row],[Color Code]], 1, 2))," , ",HEX2DEC(MID(Table14[[#This Row],[Color Code]], 3, 2))," , ",HEX2DEC(MID(Table14[[#This Row],[Color Code]], 5, 2)))</f>
        <v>59 , 79 , 125</v>
      </c>
      <c r="D20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166.74831333479807</v>
      </c>
      <c r="E2040" t="str">
        <f>Table14[[#This Row],[Color Code]] &amp; " - " &amp;Table14[[#This Row],[Color Name]]</f>
        <v>3B4F7D - 9642</v>
      </c>
    </row>
    <row r="2041" spans="1:5" x14ac:dyDescent="0.35">
      <c r="A2041" s="17" t="s">
        <v>3520</v>
      </c>
      <c r="B2041" t="s">
        <v>5788</v>
      </c>
      <c r="C2041" s="9" t="str">
        <f>_xlfn.CONCAT(HEX2DEC(MID(Table14[[#This Row],[Color Code]], 1, 2))," , ",HEX2DEC(MID(Table14[[#This Row],[Color Code]], 3, 2))," , ",HEX2DEC(MID(Table14[[#This Row],[Color Code]], 5, 2)))</f>
        <v>113 , 63 , 60</v>
      </c>
      <c r="D20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166.76330531624757</v>
      </c>
      <c r="E2041" t="str">
        <f>Table14[[#This Row],[Color Code]] &amp; " - " &amp;Table14[[#This Row],[Color Name]]</f>
        <v>713F3C - 9987</v>
      </c>
    </row>
    <row r="2042" spans="1:5" x14ac:dyDescent="0.35">
      <c r="A2042" s="17" t="s">
        <v>2979</v>
      </c>
      <c r="B2042" t="s">
        <v>5222</v>
      </c>
      <c r="C2042" s="9" t="str">
        <f>_xlfn.CONCAT(HEX2DEC(MID(Table14[[#This Row],[Color Code]], 1, 2))," , ",HEX2DEC(MID(Table14[[#This Row],[Color Code]], 3, 2))," , ",HEX2DEC(MID(Table14[[#This Row],[Color Code]], 5, 2)))</f>
        <v>48 , 121 , 90</v>
      </c>
      <c r="D20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166.96406799069075</v>
      </c>
      <c r="E2042" t="str">
        <f>Table14[[#This Row],[Color Code]] &amp; " - " &amp;Table14[[#This Row],[Color Name]]</f>
        <v>30795A - 9748</v>
      </c>
    </row>
    <row r="2043" spans="1:5" x14ac:dyDescent="0.35">
      <c r="A2043" s="17" t="s">
        <v>3637</v>
      </c>
      <c r="B2043" t="s">
        <v>5908</v>
      </c>
      <c r="C2043" s="9" t="str">
        <f>_xlfn.CONCAT(HEX2DEC(MID(Table14[[#This Row],[Color Code]], 1, 2))," , ",HEX2DEC(MID(Table14[[#This Row],[Color Code]], 3, 2))," , ",HEX2DEC(MID(Table14[[#This Row],[Color Code]], 5, 2)))</f>
        <v>94 , 66 , 75</v>
      </c>
      <c r="D20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166.98802352264667</v>
      </c>
      <c r="E2043" t="str">
        <f>Table14[[#This Row],[Color Code]] &amp; " - " &amp;Table14[[#This Row],[Color Name]]</f>
        <v>5E424B - K030</v>
      </c>
    </row>
    <row r="2044" spans="1:5" x14ac:dyDescent="0.35">
      <c r="A2044" s="17" t="s">
        <v>2748</v>
      </c>
      <c r="B2044" t="s">
        <v>4960</v>
      </c>
      <c r="C2044" s="9" t="str">
        <f>_xlfn.CONCAT(HEX2DEC(MID(Table14[[#This Row],[Color Code]], 1, 2))," , ",HEX2DEC(MID(Table14[[#This Row],[Color Code]], 3, 2))," , ",HEX2DEC(MID(Table14[[#This Row],[Color Code]], 5, 2)))</f>
        <v>48 , 91 , 144</v>
      </c>
      <c r="D20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167.07184083501323</v>
      </c>
      <c r="E2044" t="str">
        <f>Table14[[#This Row],[Color Code]] &amp; " - " &amp;Table14[[#This Row],[Color Name]]</f>
        <v>305B90 - 9647</v>
      </c>
    </row>
    <row r="2045" spans="1:5" x14ac:dyDescent="0.35">
      <c r="A2045" s="17" t="s">
        <v>4292</v>
      </c>
      <c r="B2045" t="s">
        <v>6663</v>
      </c>
      <c r="C2045" s="9" t="str">
        <f>_xlfn.CONCAT(HEX2DEC(MID(Table14[[#This Row],[Color Code]], 1, 2))," , ",HEX2DEC(MID(Table14[[#This Row],[Color Code]], 3, 2))," , ",HEX2DEC(MID(Table14[[#This Row],[Color Code]], 5, 2)))</f>
        <v>254 , 168 , 0</v>
      </c>
      <c r="D20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167.08680378773184</v>
      </c>
      <c r="E2045" t="str">
        <f>Table14[[#This Row],[Color Code]] &amp; " - " &amp;Table14[[#This Row],[Color Name]]</f>
        <v>FEA800 - 7941</v>
      </c>
    </row>
    <row r="2046" spans="1:5" x14ac:dyDescent="0.35">
      <c r="A2046" s="17" t="s">
        <v>4300</v>
      </c>
      <c r="B2046" t="s">
        <v>6671</v>
      </c>
      <c r="C2046" s="9" t="str">
        <f>_xlfn.CONCAT(HEX2DEC(MID(Table14[[#This Row],[Color Code]], 1, 2))," , ",HEX2DEC(MID(Table14[[#This Row],[Color Code]], 3, 2))," , ",HEX2DEC(MID(Table14[[#This Row],[Color Code]], 5, 2)))</f>
        <v>254 , 182 , 0</v>
      </c>
      <c r="D20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167.08680378773184</v>
      </c>
      <c r="E2046" t="str">
        <f>Table14[[#This Row],[Color Code]] &amp; " - " &amp;Table14[[#This Row],[Color Name]]</f>
        <v>FEB600 - 7909</v>
      </c>
    </row>
    <row r="2047" spans="1:5" x14ac:dyDescent="0.35">
      <c r="A2047" s="17" t="s">
        <v>4388</v>
      </c>
      <c r="B2047" t="s">
        <v>6772</v>
      </c>
      <c r="C2047" s="9" t="str">
        <f>_xlfn.CONCAT(HEX2DEC(MID(Table14[[#This Row],[Color Code]], 1, 2))," , ",HEX2DEC(MID(Table14[[#This Row],[Color Code]], 3, 2))," , ",HEX2DEC(MID(Table14[[#This Row],[Color Code]], 5, 2)))</f>
        <v>97 , 61 , 78</v>
      </c>
      <c r="D20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167.18253497300489</v>
      </c>
      <c r="E2047" t="str">
        <f>Table14[[#This Row],[Color Code]] &amp; " - " &amp;Table14[[#This Row],[Color Name]]</f>
        <v>613D4E - X162</v>
      </c>
    </row>
    <row r="2048" spans="1:5" x14ac:dyDescent="0.35">
      <c r="A2048" s="17" t="s">
        <v>4480</v>
      </c>
      <c r="B2048" t="s">
        <v>5956</v>
      </c>
      <c r="C2048" s="9" t="str">
        <f>_xlfn.CONCAT(HEX2DEC(MID(Table14[[#This Row],[Color Code]], 1, 2))," , ",HEX2DEC(MID(Table14[[#This Row],[Color Code]], 3, 2))," , ",HEX2DEC(MID(Table14[[#This Row],[Color Code]], 5, 2)))</f>
        <v>80 , 73 , 84</v>
      </c>
      <c r="D20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167.29913329123974</v>
      </c>
      <c r="E2048" t="str">
        <f>Table14[[#This Row],[Color Code]] &amp; " - " &amp;Table14[[#This Row],[Color Name]]</f>
        <v>504954 - 7141</v>
      </c>
    </row>
    <row r="2049" spans="1:5" x14ac:dyDescent="0.35">
      <c r="A2049" s="17" t="s">
        <v>3056</v>
      </c>
      <c r="B2049" t="s">
        <v>5304</v>
      </c>
      <c r="C2049" s="9" t="str">
        <f>_xlfn.CONCAT(HEX2DEC(MID(Table14[[#This Row],[Color Code]], 1, 2))," , ",HEX2DEC(MID(Table14[[#This Row],[Color Code]], 3, 2))," , ",HEX2DEC(MID(Table14[[#This Row],[Color Code]], 5, 2)))</f>
        <v>79 , 95 , 61</v>
      </c>
      <c r="D20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167.34694499751109</v>
      </c>
      <c r="E2049" t="str">
        <f>Table14[[#This Row],[Color Code]] &amp; " - " &amp;Table14[[#This Row],[Color Name]]</f>
        <v>4F5F3D - 9785</v>
      </c>
    </row>
    <row r="2050" spans="1:5" x14ac:dyDescent="0.35">
      <c r="A2050" s="17" t="s">
        <v>4060</v>
      </c>
      <c r="B2050" t="s">
        <v>6404</v>
      </c>
      <c r="C2050" s="9" t="str">
        <f>_xlfn.CONCAT(HEX2DEC(MID(Table14[[#This Row],[Color Code]], 1, 2))," , ",HEX2DEC(MID(Table14[[#This Row],[Color Code]], 3, 2))," , ",HEX2DEC(MID(Table14[[#This Row],[Color Code]], 5, 2)))</f>
        <v>94 , 76 , 62</v>
      </c>
      <c r="D20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167.49328344742662</v>
      </c>
      <c r="E2050" t="str">
        <f>Table14[[#This Row],[Color Code]] &amp; " - " &amp;Table14[[#This Row],[Color Name]]</f>
        <v>5E4C3E - K197</v>
      </c>
    </row>
    <row r="2051" spans="1:5" x14ac:dyDescent="0.35">
      <c r="A2051" s="17" t="s">
        <v>4529</v>
      </c>
      <c r="B2051" t="s">
        <v>6212</v>
      </c>
      <c r="C2051" s="9" t="str">
        <f>_xlfn.CONCAT(HEX2DEC(MID(Table14[[#This Row],[Color Code]], 1, 2))," , ",HEX2DEC(MID(Table14[[#This Row],[Color Code]], 3, 2))," , ",HEX2DEC(MID(Table14[[#This Row],[Color Code]], 5, 2)))</f>
        <v>84 , 82 , 67</v>
      </c>
      <c r="D20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167.50223879100841</v>
      </c>
      <c r="E2051" t="str">
        <f>Table14[[#This Row],[Color Code]] &amp; " - " &amp;Table14[[#This Row],[Color Name]]</f>
        <v>545243 - K157</v>
      </c>
    </row>
    <row r="2052" spans="1:5" x14ac:dyDescent="0.35">
      <c r="A2052" s="17" t="s">
        <v>2901</v>
      </c>
      <c r="B2052" t="s">
        <v>5128</v>
      </c>
      <c r="C2052" s="9" t="str">
        <f>_xlfn.CONCAT(HEX2DEC(MID(Table14[[#This Row],[Color Code]], 1, 2))," , ",HEX2DEC(MID(Table14[[#This Row],[Color Code]], 3, 2))," , ",HEX2DEC(MID(Table14[[#This Row],[Color Code]], 5, 2)))</f>
        <v>62 , 91 , 90</v>
      </c>
      <c r="D20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167.87197502859135</v>
      </c>
      <c r="E2052" t="str">
        <f>Table14[[#This Row],[Color Code]] &amp; " - " &amp;Table14[[#This Row],[Color Name]]</f>
        <v>3E5B5A - 9711</v>
      </c>
    </row>
    <row r="2053" spans="1:5" x14ac:dyDescent="0.35">
      <c r="A2053" s="17" t="s">
        <v>2973</v>
      </c>
      <c r="B2053" t="s">
        <v>5215</v>
      </c>
      <c r="C2053" s="9" t="str">
        <f>_xlfn.CONCAT(HEX2DEC(MID(Table14[[#This Row],[Color Code]], 1, 2))," , ",HEX2DEC(MID(Table14[[#This Row],[Color Code]], 3, 2))," , ",HEX2DEC(MID(Table14[[#This Row],[Color Code]], 5, 2)))</f>
        <v>62 , 95 , 85</v>
      </c>
      <c r="D20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167.92855623746667</v>
      </c>
      <c r="E2053" t="str">
        <f>Table14[[#This Row],[Color Code]] &amp; " - " &amp;Table14[[#This Row],[Color Name]]</f>
        <v>3E5F55 - 7557</v>
      </c>
    </row>
    <row r="2054" spans="1:5" x14ac:dyDescent="0.35">
      <c r="A2054" s="17" t="s">
        <v>4224</v>
      </c>
      <c r="B2054" t="s">
        <v>6588</v>
      </c>
      <c r="C2054" s="9" t="str">
        <f>_xlfn.CONCAT(HEX2DEC(MID(Table14[[#This Row],[Color Code]], 1, 2))," , ",HEX2DEC(MID(Table14[[#This Row],[Color Code]], 3, 2))," , ",HEX2DEC(MID(Table14[[#This Row],[Color Code]], 5, 2)))</f>
        <v>88 , 75 , 69</v>
      </c>
      <c r="D20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167.96428191731718</v>
      </c>
      <c r="E2054" t="str">
        <f>Table14[[#This Row],[Color Code]] &amp; " - " &amp;Table14[[#This Row],[Color Name]]</f>
        <v>584B45 - K281</v>
      </c>
    </row>
    <row r="2055" spans="1:5" x14ac:dyDescent="0.35">
      <c r="A2055" s="17" t="s">
        <v>4316</v>
      </c>
      <c r="B2055" t="s">
        <v>6687</v>
      </c>
      <c r="C2055" s="9" t="str">
        <f>_xlfn.CONCAT(HEX2DEC(MID(Table14[[#This Row],[Color Code]], 1, 2))," , ",HEX2DEC(MID(Table14[[#This Row],[Color Code]], 3, 2))," , ",HEX2DEC(MID(Table14[[#This Row],[Color Code]], 5, 2)))</f>
        <v>254 , 194 , 0</v>
      </c>
      <c r="D20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168.01785619391768</v>
      </c>
      <c r="E2055" t="str">
        <f>Table14[[#This Row],[Color Code]] &amp; " - " &amp;Table14[[#This Row],[Color Name]]</f>
        <v>FEC200 - X105</v>
      </c>
    </row>
    <row r="2056" spans="1:5" x14ac:dyDescent="0.35">
      <c r="A2056" s="17" t="s">
        <v>2764</v>
      </c>
      <c r="B2056" t="s">
        <v>4976</v>
      </c>
      <c r="C2056" s="9" t="str">
        <f>_xlfn.CONCAT(HEX2DEC(MID(Table14[[#This Row],[Color Code]], 1, 2))," , ",HEX2DEC(MID(Table14[[#This Row],[Color Code]], 3, 2))," , ",HEX2DEC(MID(Table14[[#This Row],[Color Code]], 5, 2)))</f>
        <v>67 , 80 , 95</v>
      </c>
      <c r="D20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168.07736313971611</v>
      </c>
      <c r="E2056" t="str">
        <f>Table14[[#This Row],[Color Code]] &amp; " - " &amp;Table14[[#This Row],[Color Name]]</f>
        <v>43505F - 7221</v>
      </c>
    </row>
    <row r="2057" spans="1:5" x14ac:dyDescent="0.35">
      <c r="A2057" s="17" t="s">
        <v>3026</v>
      </c>
      <c r="B2057" t="s">
        <v>5270</v>
      </c>
      <c r="C2057" s="9" t="str">
        <f>_xlfn.CONCAT(HEX2DEC(MID(Table14[[#This Row],[Color Code]], 1, 2))," , ",HEX2DEC(MID(Table14[[#This Row],[Color Code]], 3, 2))," , ",HEX2DEC(MID(Table14[[#This Row],[Color Code]], 5, 2)))</f>
        <v>51 , 126 , 77</v>
      </c>
      <c r="D20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168.422088812602</v>
      </c>
      <c r="E2057" t="str">
        <f>Table14[[#This Row],[Color Code]] &amp; " - " &amp;Table14[[#This Row],[Color Name]]</f>
        <v>337E4D - 9765</v>
      </c>
    </row>
    <row r="2058" spans="1:5" x14ac:dyDescent="0.35">
      <c r="A2058" s="17" t="s">
        <v>2785</v>
      </c>
      <c r="B2058" t="s">
        <v>5000</v>
      </c>
      <c r="C2058" s="9" t="str">
        <f>_xlfn.CONCAT(HEX2DEC(MID(Table14[[#This Row],[Color Code]], 1, 2))," , ",HEX2DEC(MID(Table14[[#This Row],[Color Code]], 3, 2))," , ",HEX2DEC(MID(Table14[[#This Row],[Color Code]], 5, 2)))</f>
        <v>64 , 77 , 105</v>
      </c>
      <c r="D20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168.78388548673715</v>
      </c>
      <c r="E2058" t="str">
        <f>Table14[[#This Row],[Color Code]] &amp; " - " &amp;Table14[[#This Row],[Color Name]]</f>
        <v>404D69 - 9659</v>
      </c>
    </row>
    <row r="2059" spans="1:5" x14ac:dyDescent="0.35">
      <c r="A2059" s="17" t="s">
        <v>4110</v>
      </c>
      <c r="B2059" t="s">
        <v>6459</v>
      </c>
      <c r="C2059" s="9" t="str">
        <f>_xlfn.CONCAT(HEX2DEC(MID(Table14[[#This Row],[Color Code]], 1, 2))," , ",HEX2DEC(MID(Table14[[#This Row],[Color Code]], 3, 2))," , ",HEX2DEC(MID(Table14[[#This Row],[Color Code]], 5, 2)))</f>
        <v>95 , 71 , 64</v>
      </c>
      <c r="D20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168.83719969248483</v>
      </c>
      <c r="E2059" t="str">
        <f>Table14[[#This Row],[Color Code]] &amp; " - " &amp;Table14[[#This Row],[Color Name]]</f>
        <v>5F4740 - K218</v>
      </c>
    </row>
    <row r="2060" spans="1:5" x14ac:dyDescent="0.35">
      <c r="A2060" s="17" t="s">
        <v>4584</v>
      </c>
      <c r="B2060" t="s">
        <v>6747</v>
      </c>
      <c r="C2060" s="9" t="str">
        <f>_xlfn.CONCAT(HEX2DEC(MID(Table14[[#This Row],[Color Code]], 1, 2))," , ",HEX2DEC(MID(Table14[[#This Row],[Color Code]], 3, 2))," , ",HEX2DEC(MID(Table14[[#This Row],[Color Code]], 5, 2)))</f>
        <v>53 , 87 , 117</v>
      </c>
      <c r="D20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168.84608375677536</v>
      </c>
      <c r="E2060" t="str">
        <f>Table14[[#This Row],[Color Code]] &amp; " - " &amp;Table14[[#This Row],[Color Name]]</f>
        <v>355775 - X145</v>
      </c>
    </row>
    <row r="2061" spans="1:5" x14ac:dyDescent="0.35">
      <c r="A2061" s="17" t="s">
        <v>4139</v>
      </c>
      <c r="B2061" t="s">
        <v>6492</v>
      </c>
      <c r="C2061" s="9" t="str">
        <f>_xlfn.CONCAT(HEX2DEC(MID(Table14[[#This Row],[Color Code]], 1, 2))," , ",HEX2DEC(MID(Table14[[#This Row],[Color Code]], 3, 2))," , ",HEX2DEC(MID(Table14[[#This Row],[Color Code]], 5, 2)))</f>
        <v>91 , 73 , 66</v>
      </c>
      <c r="D20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168.89641796083183</v>
      </c>
      <c r="E2061" t="str">
        <f>Table14[[#This Row],[Color Code]] &amp; " - " &amp;Table14[[#This Row],[Color Name]]</f>
        <v>5B4942 - 8653</v>
      </c>
    </row>
    <row r="2062" spans="1:5" x14ac:dyDescent="0.35">
      <c r="A2062" s="17" t="s">
        <v>2651</v>
      </c>
      <c r="B2062" t="s">
        <v>4856</v>
      </c>
      <c r="C2062" s="9" t="str">
        <f>_xlfn.CONCAT(HEX2DEC(MID(Table14[[#This Row],[Color Code]], 1, 2))," , ",HEX2DEC(MID(Table14[[#This Row],[Color Code]], 3, 2))," , ",HEX2DEC(MID(Table14[[#This Row],[Color Code]], 5, 2)))</f>
        <v>80 , 65 , 92</v>
      </c>
      <c r="D20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169.1537761919609</v>
      </c>
      <c r="E2062" t="str">
        <f>Table14[[#This Row],[Color Code]] &amp; " - " &amp;Table14[[#This Row],[Color Name]]</f>
        <v>50415C - 9623</v>
      </c>
    </row>
    <row r="2063" spans="1:5" x14ac:dyDescent="0.35">
      <c r="A2063" s="17" t="s">
        <v>4231</v>
      </c>
      <c r="B2063" t="s">
        <v>6596</v>
      </c>
      <c r="C2063" s="9" t="str">
        <f>_xlfn.CONCAT(HEX2DEC(MID(Table14[[#This Row],[Color Code]], 1, 2))," , ",HEX2DEC(MID(Table14[[#This Row],[Color Code]], 3, 2))," , ",HEX2DEC(MID(Table14[[#This Row],[Color Code]], 5, 2)))</f>
        <v>91 , 72 , 66</v>
      </c>
      <c r="D20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169.50221237494216</v>
      </c>
      <c r="E2063" t="str">
        <f>Table14[[#This Row],[Color Code]] &amp; " - " &amp;Table14[[#This Row],[Color Name]]</f>
        <v>5B4842 - 8741</v>
      </c>
    </row>
    <row r="2064" spans="1:5" x14ac:dyDescent="0.35">
      <c r="A2064" s="17" t="s">
        <v>3512</v>
      </c>
      <c r="B2064" t="s">
        <v>5780</v>
      </c>
      <c r="C2064" s="9" t="str">
        <f>_xlfn.CONCAT(HEX2DEC(MID(Table14[[#This Row],[Color Code]], 1, 2))," , ",HEX2DEC(MID(Table14[[#This Row],[Color Code]], 3, 2))," , ",HEX2DEC(MID(Table14[[#This Row],[Color Code]], 5, 2)))</f>
        <v>105 , 62 , 63</v>
      </c>
      <c r="D20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169.71151993898351</v>
      </c>
      <c r="E2064" t="str">
        <f>Table14[[#This Row],[Color Code]] &amp; " - " &amp;Table14[[#This Row],[Color Name]]</f>
        <v>693E3F - 9980</v>
      </c>
    </row>
    <row r="2065" spans="1:5" x14ac:dyDescent="0.35">
      <c r="A2065" s="17" t="s">
        <v>4364</v>
      </c>
      <c r="B2065" t="s">
        <v>6743</v>
      </c>
      <c r="C2065" s="9" t="str">
        <f>_xlfn.CONCAT(HEX2DEC(MID(Table14[[#This Row],[Color Code]], 1, 2))," , ",HEX2DEC(MID(Table14[[#This Row],[Color Code]], 3, 2))," , ",HEX2DEC(MID(Table14[[#This Row],[Color Code]], 5, 2)))</f>
        <v>33 , 118 , 172</v>
      </c>
      <c r="D20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169.7615975419647</v>
      </c>
      <c r="E2065" t="str">
        <f>Table14[[#This Row],[Color Code]] &amp; " - " &amp;Table14[[#This Row],[Color Name]]</f>
        <v>2176AC - X195</v>
      </c>
    </row>
    <row r="2066" spans="1:5" x14ac:dyDescent="0.35">
      <c r="A2066" s="17" t="s">
        <v>2778</v>
      </c>
      <c r="B2066" t="s">
        <v>4992</v>
      </c>
      <c r="C2066" s="9" t="str">
        <f>_xlfn.CONCAT(HEX2DEC(MID(Table14[[#This Row],[Color Code]], 1, 2))," , ",HEX2DEC(MID(Table14[[#This Row],[Color Code]], 3, 2))," , ",HEX2DEC(MID(Table14[[#This Row],[Color Code]], 5, 2)))</f>
        <v>64 , 79 , 98</v>
      </c>
      <c r="D20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169.84993376507393</v>
      </c>
      <c r="E2066" t="str">
        <f>Table14[[#This Row],[Color Code]] &amp; " - " &amp;Table14[[#This Row],[Color Name]]</f>
        <v>404F62 - 7301</v>
      </c>
    </row>
    <row r="2067" spans="1:5" x14ac:dyDescent="0.35">
      <c r="A2067" s="17" t="s">
        <v>2822</v>
      </c>
      <c r="B2067" t="s">
        <v>5038</v>
      </c>
      <c r="C2067" s="9" t="str">
        <f>_xlfn.CONCAT(HEX2DEC(MID(Table14[[#This Row],[Color Code]], 1, 2))," , ",HEX2DEC(MID(Table14[[#This Row],[Color Code]], 3, 2))," , ",HEX2DEC(MID(Table14[[#This Row],[Color Code]], 5, 2)))</f>
        <v>50 , 86 , 127</v>
      </c>
      <c r="D20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169.90879906585181</v>
      </c>
      <c r="E2067" t="str">
        <f>Table14[[#This Row],[Color Code]] &amp; " - " &amp;Table14[[#This Row],[Color Name]]</f>
        <v>32567F - 9668</v>
      </c>
    </row>
    <row r="2068" spans="1:5" x14ac:dyDescent="0.35">
      <c r="A2068" s="17" t="s">
        <v>2923</v>
      </c>
      <c r="B2068" t="s">
        <v>5152</v>
      </c>
      <c r="C2068" s="9" t="str">
        <f>_xlfn.CONCAT(HEX2DEC(MID(Table14[[#This Row],[Color Code]], 1, 2))," , ",HEX2DEC(MID(Table14[[#This Row],[Color Code]], 3, 2))," , ",HEX2DEC(MID(Table14[[#This Row],[Color Code]], 5, 2)))</f>
        <v>55 , 95 , 94</v>
      </c>
      <c r="D20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169.97058569058353</v>
      </c>
      <c r="E2068" t="str">
        <f>Table14[[#This Row],[Color Code]] &amp; " - " &amp;Table14[[#This Row],[Color Name]]</f>
        <v>375F5E - 9719</v>
      </c>
    </row>
    <row r="2069" spans="1:5" x14ac:dyDescent="0.35">
      <c r="A2069" s="17" t="s">
        <v>3821</v>
      </c>
      <c r="B2069" t="s">
        <v>6132</v>
      </c>
      <c r="C2069" s="9" t="str">
        <f>_xlfn.CONCAT(HEX2DEC(MID(Table14[[#This Row],[Color Code]], 1, 2))," , ",HEX2DEC(MID(Table14[[#This Row],[Color Code]], 3, 2))," , ",HEX2DEC(MID(Table14[[#This Row],[Color Code]], 5, 2)))</f>
        <v>76 , 79 , 76</v>
      </c>
      <c r="D20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170.03823099526764</v>
      </c>
      <c r="E2069" t="str">
        <f>Table14[[#This Row],[Color Code]] &amp; " - " &amp;Table14[[#This Row],[Color Name]]</f>
        <v>4C4F4C - 8309</v>
      </c>
    </row>
    <row r="2070" spans="1:5" x14ac:dyDescent="0.35">
      <c r="A2070" s="17" t="s">
        <v>2733</v>
      </c>
      <c r="B2070" t="s">
        <v>4944</v>
      </c>
      <c r="C2070" s="9" t="str">
        <f>_xlfn.CONCAT(HEX2DEC(MID(Table14[[#This Row],[Color Code]], 1, 2))," , ",HEX2DEC(MID(Table14[[#This Row],[Color Code]], 3, 2))," , ",HEX2DEC(MID(Table14[[#This Row],[Color Code]], 5, 2)))</f>
        <v>72 , 76 , 86</v>
      </c>
      <c r="D20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170.18225524419401</v>
      </c>
      <c r="E2070" t="str">
        <f>Table14[[#This Row],[Color Code]] &amp; " - " &amp;Table14[[#This Row],[Color Name]]</f>
        <v>484C56 - 7229</v>
      </c>
    </row>
    <row r="2071" spans="1:5" x14ac:dyDescent="0.35">
      <c r="A2071" s="17" t="s">
        <v>2896</v>
      </c>
      <c r="B2071" t="s">
        <v>5120</v>
      </c>
      <c r="C2071" s="9" t="str">
        <f>_xlfn.CONCAT(HEX2DEC(MID(Table14[[#This Row],[Color Code]], 1, 2))," , ",HEX2DEC(MID(Table14[[#This Row],[Color Code]], 3, 2))," , ",HEX2DEC(MID(Table14[[#This Row],[Color Code]], 5, 2)))</f>
        <v>59 , 88 , 92</v>
      </c>
      <c r="D20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170.95905942651885</v>
      </c>
      <c r="E2071" t="str">
        <f>Table14[[#This Row],[Color Code]] &amp; " - " &amp;Table14[[#This Row],[Color Name]]</f>
        <v>3B585C - 7469</v>
      </c>
    </row>
    <row r="2072" spans="1:5" x14ac:dyDescent="0.35">
      <c r="A2072" s="17" t="s">
        <v>2639</v>
      </c>
      <c r="B2072" t="s">
        <v>4840</v>
      </c>
      <c r="C2072" s="9" t="str">
        <f>_xlfn.CONCAT(HEX2DEC(MID(Table14[[#This Row],[Color Code]], 1, 2))," , ",HEX2DEC(MID(Table14[[#This Row],[Color Code]], 3, 2))," , ",HEX2DEC(MID(Table14[[#This Row],[Color Code]], 5, 2)))</f>
        <v>76 , 69 , 86</v>
      </c>
      <c r="D20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171.618763542918</v>
      </c>
      <c r="E2072" t="str">
        <f>Table14[[#This Row],[Color Code]] &amp; " - " &amp;Table14[[#This Row],[Color Name]]</f>
        <v>4C4556 - 9608</v>
      </c>
    </row>
    <row r="2073" spans="1:5" x14ac:dyDescent="0.35">
      <c r="A2073" s="17" t="s">
        <v>3959</v>
      </c>
      <c r="B2073" t="s">
        <v>6292</v>
      </c>
      <c r="C2073" s="9" t="str">
        <f>_xlfn.CONCAT(HEX2DEC(MID(Table14[[#This Row],[Color Code]], 1, 2))," , ",HEX2DEC(MID(Table14[[#This Row],[Color Code]], 3, 2))," , ",HEX2DEC(MID(Table14[[#This Row],[Color Code]], 5, 2)))</f>
        <v>89 , 73 , 63</v>
      </c>
      <c r="D20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171.68867172880101</v>
      </c>
      <c r="E2073" t="str">
        <f>Table14[[#This Row],[Color Code]] &amp; " - " &amp;Table14[[#This Row],[Color Name]]</f>
        <v>59493F - K165</v>
      </c>
    </row>
    <row r="2074" spans="1:5" x14ac:dyDescent="0.35">
      <c r="A2074" s="17" t="s">
        <v>4354</v>
      </c>
      <c r="B2074" t="s">
        <v>6731</v>
      </c>
      <c r="C2074" s="9" t="str">
        <f>_xlfn.CONCAT(HEX2DEC(MID(Table14[[#This Row],[Color Code]], 1, 2))," , ",HEX2DEC(MID(Table14[[#This Row],[Color Code]], 3, 2))," , ",HEX2DEC(MID(Table14[[#This Row],[Color Code]], 5, 2)))</f>
        <v>54 , 92 , 95</v>
      </c>
      <c r="D20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171.85168023618508</v>
      </c>
      <c r="E2074" t="str">
        <f>Table14[[#This Row],[Color Code]] &amp; " - " &amp;Table14[[#This Row],[Color Name]]</f>
        <v>365C5F - X152</v>
      </c>
    </row>
    <row r="2075" spans="1:5" x14ac:dyDescent="0.35">
      <c r="A2075" s="17" t="s">
        <v>4554</v>
      </c>
      <c r="B2075" t="s">
        <v>6460</v>
      </c>
      <c r="C2075" s="9" t="str">
        <f>_xlfn.CONCAT(HEX2DEC(MID(Table14[[#This Row],[Color Code]], 1, 2))," , ",HEX2DEC(MID(Table14[[#This Row],[Color Code]], 3, 2))," , ",HEX2DEC(MID(Table14[[#This Row],[Color Code]], 5, 2)))</f>
        <v>89 , 70 , 66</v>
      </c>
      <c r="D20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171.91567700474556</v>
      </c>
      <c r="E2075" t="str">
        <f>Table14[[#This Row],[Color Code]] &amp; " - " &amp;Table14[[#This Row],[Color Name]]</f>
        <v>594642 - 9582</v>
      </c>
    </row>
    <row r="2076" spans="1:5" x14ac:dyDescent="0.35">
      <c r="A2076" s="17" t="s">
        <v>2762</v>
      </c>
      <c r="B2076" t="s">
        <v>4974</v>
      </c>
      <c r="C2076" s="9" t="str">
        <f>_xlfn.CONCAT(HEX2DEC(MID(Table14[[#This Row],[Color Code]], 1, 2))," , ",HEX2DEC(MID(Table14[[#This Row],[Color Code]], 3, 2))," , ",HEX2DEC(MID(Table14[[#This Row],[Color Code]], 5, 2)))</f>
        <v>38 , 99 , 142</v>
      </c>
      <c r="D20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172.22369175000284</v>
      </c>
      <c r="E2076" t="str">
        <f>Table14[[#This Row],[Color Code]] &amp; " - " &amp;Table14[[#This Row],[Color Name]]</f>
        <v>26638E - 9653</v>
      </c>
    </row>
    <row r="2077" spans="1:5" x14ac:dyDescent="0.35">
      <c r="A2077" s="17" t="s">
        <v>2793</v>
      </c>
      <c r="B2077" t="s">
        <v>5008</v>
      </c>
      <c r="C2077" s="9" t="str">
        <f>_xlfn.CONCAT(HEX2DEC(MID(Table14[[#This Row],[Color Code]], 1, 2))," , ",HEX2DEC(MID(Table14[[#This Row],[Color Code]], 3, 2))," , ",HEX2DEC(MID(Table14[[#This Row],[Color Code]], 5, 2)))</f>
        <v>52 , 85 , 110</v>
      </c>
      <c r="D20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172.40939649566667</v>
      </c>
      <c r="E2077" t="str">
        <f>Table14[[#This Row],[Color Code]] &amp; " - " &amp;Table14[[#This Row],[Color Name]]</f>
        <v>34556E - 7341</v>
      </c>
    </row>
    <row r="2078" spans="1:5" x14ac:dyDescent="0.35">
      <c r="A2078" s="17" t="s">
        <v>3807</v>
      </c>
      <c r="B2078" t="s">
        <v>6116</v>
      </c>
      <c r="C2078" s="9" t="str">
        <f>_xlfn.CONCAT(HEX2DEC(MID(Table14[[#This Row],[Color Code]], 1, 2))," , ",HEX2DEC(MID(Table14[[#This Row],[Color Code]], 3, 2))," , ",HEX2DEC(MID(Table14[[#This Row],[Color Code]], 5, 2)))</f>
        <v>85 , 75 , 64</v>
      </c>
      <c r="D20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172.42389625571045</v>
      </c>
      <c r="E2078" t="str">
        <f>Table14[[#This Row],[Color Code]] &amp; " - " &amp;Table14[[#This Row],[Color Name]]</f>
        <v>554B40 - K121</v>
      </c>
    </row>
    <row r="2079" spans="1:5" x14ac:dyDescent="0.35">
      <c r="A2079" s="17" t="s">
        <v>2847</v>
      </c>
      <c r="B2079" t="s">
        <v>5064</v>
      </c>
      <c r="C2079" s="9" t="str">
        <f>_xlfn.CONCAT(HEX2DEC(MID(Table14[[#This Row],[Color Code]], 1, 2))," , ",HEX2DEC(MID(Table14[[#This Row],[Color Code]], 3, 2))," , ",HEX2DEC(MID(Table14[[#This Row],[Color Code]], 5, 2)))</f>
        <v>58 , 81 , 100</v>
      </c>
      <c r="D20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172.67599717389791</v>
      </c>
      <c r="E2079" t="str">
        <f>Table14[[#This Row],[Color Code]] &amp; " - " &amp;Table14[[#This Row],[Color Name]]</f>
        <v>3A5164 - 9685</v>
      </c>
    </row>
    <row r="2080" spans="1:5" x14ac:dyDescent="0.35">
      <c r="A2080" s="17" t="s">
        <v>3759</v>
      </c>
      <c r="B2080" t="s">
        <v>6051</v>
      </c>
      <c r="C2080" s="9" t="str">
        <f>_xlfn.CONCAT(HEX2DEC(MID(Table14[[#This Row],[Color Code]], 1, 2))," , ",HEX2DEC(MID(Table14[[#This Row],[Color Code]], 3, 2))," , ",HEX2DEC(MID(Table14[[#This Row],[Color Code]], 5, 2)))</f>
        <v>71 , 76 , 81</v>
      </c>
      <c r="D20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172.96820517077697</v>
      </c>
      <c r="E2080" t="str">
        <f>Table14[[#This Row],[Color Code]] &amp; " - " &amp;Table14[[#This Row],[Color Name]]</f>
        <v>474C51 - K294</v>
      </c>
    </row>
    <row r="2081" spans="1:5" x14ac:dyDescent="0.35">
      <c r="A2081" s="17" t="s">
        <v>4348</v>
      </c>
      <c r="B2081" t="s">
        <v>6722</v>
      </c>
      <c r="C2081" s="9" t="str">
        <f>_xlfn.CONCAT(HEX2DEC(MID(Table14[[#This Row],[Color Code]], 1, 2))," , ",HEX2DEC(MID(Table14[[#This Row],[Color Code]], 3, 2))," , ",HEX2DEC(MID(Table14[[#This Row],[Color Code]], 5, 2)))</f>
        <v>52 , 108 , 77</v>
      </c>
      <c r="D20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173.70377082838473</v>
      </c>
      <c r="E2081" t="str">
        <f>Table14[[#This Row],[Color Code]] &amp; " - " &amp;Table14[[#This Row],[Color Name]]</f>
        <v>346C4D - X155</v>
      </c>
    </row>
    <row r="2082" spans="1:5" x14ac:dyDescent="0.35">
      <c r="A2082" s="17" t="s">
        <v>2821</v>
      </c>
      <c r="B2082" t="s">
        <v>5037</v>
      </c>
      <c r="C2082" s="9" t="str">
        <f>_xlfn.CONCAT(HEX2DEC(MID(Table14[[#This Row],[Color Code]], 1, 2))," , ",HEX2DEC(MID(Table14[[#This Row],[Color Code]], 3, 2))," , ",HEX2DEC(MID(Table14[[#This Row],[Color Code]], 5, 2)))</f>
        <v>29 , 115 , 157</v>
      </c>
      <c r="D20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173.70377082838473</v>
      </c>
      <c r="E2082" t="str">
        <f>Table14[[#This Row],[Color Code]] &amp; " - " &amp;Table14[[#This Row],[Color Name]]</f>
        <v>1D739D - 9667</v>
      </c>
    </row>
    <row r="2083" spans="1:5" x14ac:dyDescent="0.35">
      <c r="A2083" s="17" t="s">
        <v>4361</v>
      </c>
      <c r="B2083" t="s">
        <v>6740</v>
      </c>
      <c r="C2083" s="9" t="str">
        <f>_xlfn.CONCAT(HEX2DEC(MID(Table14[[#This Row],[Color Code]], 1, 2))," , ",HEX2DEC(MID(Table14[[#This Row],[Color Code]], 3, 2))," , ",HEX2DEC(MID(Table14[[#This Row],[Color Code]], 5, 2)))</f>
        <v>46 , 91 , 111</v>
      </c>
      <c r="D20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174.0919297382851</v>
      </c>
      <c r="E2083" t="str">
        <f>Table14[[#This Row],[Color Code]] &amp; " - " &amp;Table14[[#This Row],[Color Name]]</f>
        <v>2E5B6F - X148</v>
      </c>
    </row>
    <row r="2084" spans="1:5" x14ac:dyDescent="0.35">
      <c r="A2084" s="17" t="s">
        <v>2784</v>
      </c>
      <c r="B2084" t="s">
        <v>4998</v>
      </c>
      <c r="C2084" s="9" t="str">
        <f>_xlfn.CONCAT(HEX2DEC(MID(Table14[[#This Row],[Color Code]], 1, 2))," , ",HEX2DEC(MID(Table14[[#This Row],[Color Code]], 3, 2))," , ",HEX2DEC(MID(Table14[[#This Row],[Color Code]], 5, 2)))</f>
        <v>39 , 92 , 145</v>
      </c>
      <c r="D20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174.35022225394493</v>
      </c>
      <c r="E2084" t="str">
        <f>Table14[[#This Row],[Color Code]] &amp; " - " &amp;Table14[[#This Row],[Color Name]]</f>
        <v>275C91 - 7325</v>
      </c>
    </row>
    <row r="2085" spans="1:5" x14ac:dyDescent="0.35">
      <c r="A2085" s="17" t="s">
        <v>2908</v>
      </c>
      <c r="B2085" t="s">
        <v>5135</v>
      </c>
      <c r="C2085" s="9" t="str">
        <f>_xlfn.CONCAT(HEX2DEC(MID(Table14[[#This Row],[Color Code]], 1, 2))," , ",HEX2DEC(MID(Table14[[#This Row],[Color Code]], 3, 2))," , ",HEX2DEC(MID(Table14[[#This Row],[Color Code]], 5, 2)))</f>
        <v>43 , 103 , 100</v>
      </c>
      <c r="D20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174.38463235044537</v>
      </c>
      <c r="E2085" t="str">
        <f>Table14[[#This Row],[Color Code]] &amp; " - " &amp;Table14[[#This Row],[Color Name]]</f>
        <v>2B6764 - 9713</v>
      </c>
    </row>
    <row r="2086" spans="1:5" x14ac:dyDescent="0.35">
      <c r="A2086" s="17" t="s">
        <v>4570</v>
      </c>
      <c r="B2086" t="s">
        <v>6604</v>
      </c>
      <c r="C2086" s="9" t="str">
        <f>_xlfn.CONCAT(HEX2DEC(MID(Table14[[#This Row],[Color Code]], 1, 2))," , ",HEX2DEC(MID(Table14[[#This Row],[Color Code]], 3, 2))," , ",HEX2DEC(MID(Table14[[#This Row],[Color Code]], 5, 2)))</f>
        <v>83 , 72 , 66</v>
      </c>
      <c r="D20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174.38749955200345</v>
      </c>
      <c r="E2086" t="str">
        <f>Table14[[#This Row],[Color Code]] &amp; " - " &amp;Table14[[#This Row],[Color Name]]</f>
        <v>534842 - 8749</v>
      </c>
    </row>
    <row r="2087" spans="1:5" x14ac:dyDescent="0.35">
      <c r="A2087" s="17" t="s">
        <v>4355</v>
      </c>
      <c r="B2087" t="s">
        <v>6732</v>
      </c>
      <c r="C2087" s="9" t="str">
        <f>_xlfn.CONCAT(HEX2DEC(MID(Table14[[#This Row],[Color Code]], 1, 2))," , ",HEX2DEC(MID(Table14[[#This Row],[Color Code]], 3, 2))," , ",HEX2DEC(MID(Table14[[#This Row],[Color Code]], 5, 2)))</f>
        <v>56 , 85 , 93</v>
      </c>
      <c r="D20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174.4706279005151</v>
      </c>
      <c r="E2087" t="str">
        <f>Table14[[#This Row],[Color Code]] &amp; " - " &amp;Table14[[#This Row],[Color Name]]</f>
        <v>38555D - X150</v>
      </c>
    </row>
    <row r="2088" spans="1:5" x14ac:dyDescent="0.35">
      <c r="A2088" s="17" t="s">
        <v>3846</v>
      </c>
      <c r="B2088" t="s">
        <v>6164</v>
      </c>
      <c r="C2088" s="9" t="str">
        <f>_xlfn.CONCAT(HEX2DEC(MID(Table14[[#This Row],[Color Code]], 1, 2))," , ",HEX2DEC(MID(Table14[[#This Row],[Color Code]], 3, 2))," , ",HEX2DEC(MID(Table14[[#This Row],[Color Code]], 5, 2)))</f>
        <v>72 , 76 , 76</v>
      </c>
      <c r="D20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174.47635943015317</v>
      </c>
      <c r="E2088" t="str">
        <f>Table14[[#This Row],[Color Code]] &amp; " - " &amp;Table14[[#This Row],[Color Name]]</f>
        <v>484C4C - 8333</v>
      </c>
    </row>
    <row r="2089" spans="1:5" x14ac:dyDescent="0.35">
      <c r="A2089" s="17" t="s">
        <v>2771</v>
      </c>
      <c r="B2089" t="s">
        <v>4983</v>
      </c>
      <c r="C2089" s="9" t="str">
        <f>_xlfn.CONCAT(HEX2DEC(MID(Table14[[#This Row],[Color Code]], 1, 2))," , ",HEX2DEC(MID(Table14[[#This Row],[Color Code]], 3, 2))," , ",HEX2DEC(MID(Table14[[#This Row],[Color Code]], 5, 2)))</f>
        <v>61 , 76 , 96</v>
      </c>
      <c r="D20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174.47922512436833</v>
      </c>
      <c r="E2089" t="str">
        <f>Table14[[#This Row],[Color Code]] &amp; " - " &amp;Table14[[#This Row],[Color Name]]</f>
        <v>3D4C60 - 7293</v>
      </c>
    </row>
    <row r="2090" spans="1:5" x14ac:dyDescent="0.35">
      <c r="A2090" s="17" t="s">
        <v>2987</v>
      </c>
      <c r="B2090" t="s">
        <v>5231</v>
      </c>
      <c r="C2090" s="9" t="str">
        <f>_xlfn.CONCAT(HEX2DEC(MID(Table14[[#This Row],[Color Code]], 1, 2))," , ",HEX2DEC(MID(Table14[[#This Row],[Color Code]], 3, 2))," , ",HEX2DEC(MID(Table14[[#This Row],[Color Code]], 5, 2)))</f>
        <v>39 , 117 , 94</v>
      </c>
      <c r="D20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174.62531317080007</v>
      </c>
      <c r="E2090" t="str">
        <f>Table14[[#This Row],[Color Code]] &amp; " - " &amp;Table14[[#This Row],[Color Name]]</f>
        <v>27755E - 7549</v>
      </c>
    </row>
    <row r="2091" spans="1:5" x14ac:dyDescent="0.35">
      <c r="A2091" s="17" t="s">
        <v>2845</v>
      </c>
      <c r="B2091" t="s">
        <v>5062</v>
      </c>
      <c r="C2091" s="9" t="str">
        <f>_xlfn.CONCAT(HEX2DEC(MID(Table14[[#This Row],[Color Code]], 1, 2))," , ",HEX2DEC(MID(Table14[[#This Row],[Color Code]], 3, 2))," , ",HEX2DEC(MID(Table14[[#This Row],[Color Code]], 5, 2)))</f>
        <v>42 , 96 , 113</v>
      </c>
      <c r="D20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174.65680633745711</v>
      </c>
      <c r="E2091" t="str">
        <f>Table14[[#This Row],[Color Code]] &amp; " - " &amp;Table14[[#This Row],[Color Name]]</f>
        <v>2A6071 - 9683</v>
      </c>
    </row>
    <row r="2092" spans="1:5" x14ac:dyDescent="0.35">
      <c r="A2092" s="17" t="s">
        <v>2755</v>
      </c>
      <c r="B2092" t="s">
        <v>4967</v>
      </c>
      <c r="C2092" s="9" t="str">
        <f>_xlfn.CONCAT(HEX2DEC(MID(Table14[[#This Row],[Color Code]], 1, 2))," , ",HEX2DEC(MID(Table14[[#This Row],[Color Code]], 3, 2))," , ",HEX2DEC(MID(Table14[[#This Row],[Color Code]], 5, 2)))</f>
        <v>46 , 82 , 130</v>
      </c>
      <c r="D20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174.89997141223321</v>
      </c>
      <c r="E2092" t="str">
        <f>Table14[[#This Row],[Color Code]] &amp; " - " &amp;Table14[[#This Row],[Color Name]]</f>
        <v>2E5282 - 1306</v>
      </c>
    </row>
    <row r="2093" spans="1:5" x14ac:dyDescent="0.35">
      <c r="A2093" s="17" t="s">
        <v>4518</v>
      </c>
      <c r="B2093" t="s">
        <v>6148</v>
      </c>
      <c r="C2093" s="9" t="str">
        <f>_xlfn.CONCAT(HEX2DEC(MID(Table14[[#This Row],[Color Code]], 1, 2))," , ",HEX2DEC(MID(Table14[[#This Row],[Color Code]], 3, 2))," , ",HEX2DEC(MID(Table14[[#This Row],[Color Code]], 5, 2)))</f>
        <v>64 , 80 , 83</v>
      </c>
      <c r="D20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174.90854753270349</v>
      </c>
      <c r="E2093" t="str">
        <f>Table14[[#This Row],[Color Code]] &amp; " - " &amp;Table14[[#This Row],[Color Name]]</f>
        <v>405053 - K298</v>
      </c>
    </row>
    <row r="2094" spans="1:5" x14ac:dyDescent="0.35">
      <c r="A2094" s="17" t="s">
        <v>4577</v>
      </c>
      <c r="B2094" t="s">
        <v>6715</v>
      </c>
      <c r="C2094" s="9" t="str">
        <f>_xlfn.CONCAT(HEX2DEC(MID(Table14[[#This Row],[Color Code]], 1, 2))," , ",HEX2DEC(MID(Table14[[#This Row],[Color Code]], 3, 2))," , ",HEX2DEC(MID(Table14[[#This Row],[Color Code]], 5, 2)))</f>
        <v>32 , 130 , 100</v>
      </c>
      <c r="D20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175.07141400011596</v>
      </c>
      <c r="E2094" t="str">
        <f>Table14[[#This Row],[Color Code]] &amp; " - " &amp;Table14[[#This Row],[Color Name]]</f>
        <v>208264 - X184</v>
      </c>
    </row>
    <row r="2095" spans="1:5" x14ac:dyDescent="0.35">
      <c r="A2095" s="17" t="s">
        <v>2808</v>
      </c>
      <c r="B2095" t="s">
        <v>5024</v>
      </c>
      <c r="C2095" s="9" t="str">
        <f>_xlfn.CONCAT(HEX2DEC(MID(Table14[[#This Row],[Color Code]], 1, 2))," , ",HEX2DEC(MID(Table14[[#This Row],[Color Code]], 3, 2))," , ",HEX2DEC(MID(Table14[[#This Row],[Color Code]], 5, 2)))</f>
        <v>49 , 86 , 107</v>
      </c>
      <c r="D20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175.13994404475525</v>
      </c>
      <c r="E2095" t="str">
        <f>Table14[[#This Row],[Color Code]] &amp; " - " &amp;Table14[[#This Row],[Color Name]]</f>
        <v>31566B - 9664</v>
      </c>
    </row>
    <row r="2096" spans="1:5" x14ac:dyDescent="0.35">
      <c r="A2096" s="17" t="s">
        <v>4423</v>
      </c>
      <c r="B2096" t="s">
        <v>5080</v>
      </c>
      <c r="C2096" s="9" t="str">
        <f>_xlfn.CONCAT(HEX2DEC(MID(Table14[[#This Row],[Color Code]], 1, 2))," , ",HEX2DEC(MID(Table14[[#This Row],[Color Code]], 3, 2))," , ",HEX2DEC(MID(Table14[[#This Row],[Color Code]], 5, 2)))</f>
        <v>50 , 87 , 102</v>
      </c>
      <c r="D20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175.26266002774236</v>
      </c>
      <c r="E2096" t="str">
        <f>Table14[[#This Row],[Color Code]] &amp; " - " &amp;Table14[[#This Row],[Color Name]]</f>
        <v>325766 - 7429</v>
      </c>
    </row>
    <row r="2097" spans="1:5" x14ac:dyDescent="0.35">
      <c r="A2097" s="17" t="s">
        <v>3723</v>
      </c>
      <c r="B2097" t="s">
        <v>6012</v>
      </c>
      <c r="C2097" s="9" t="str">
        <f>_xlfn.CONCAT(HEX2DEC(MID(Table14[[#This Row],[Color Code]], 1, 2))," , ",HEX2DEC(MID(Table14[[#This Row],[Color Code]], 3, 2))," , ",HEX2DEC(MID(Table14[[#This Row],[Color Code]], 5, 2)))</f>
        <v>77 , 72 , 71</v>
      </c>
      <c r="D20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175.75551200460256</v>
      </c>
      <c r="E2097" t="str">
        <f>Table14[[#This Row],[Color Code]] &amp; " - " &amp;Table14[[#This Row],[Color Name]]</f>
        <v>4D4847 - 8229</v>
      </c>
    </row>
    <row r="2098" spans="1:5" x14ac:dyDescent="0.35">
      <c r="A2098" s="17" t="s">
        <v>2763</v>
      </c>
      <c r="B2098" t="s">
        <v>4975</v>
      </c>
      <c r="C2098" s="9" t="str">
        <f>_xlfn.CONCAT(HEX2DEC(MID(Table14[[#This Row],[Color Code]], 1, 2))," , ",HEX2DEC(MID(Table14[[#This Row],[Color Code]], 3, 2))," , ",HEX2DEC(MID(Table14[[#This Row],[Color Code]], 5, 2)))</f>
        <v>42 , 86 , 132</v>
      </c>
      <c r="D20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175.9261208575918</v>
      </c>
      <c r="E2098" t="str">
        <f>Table14[[#This Row],[Color Code]] &amp; " - " &amp;Table14[[#This Row],[Color Name]]</f>
        <v>2A5684 - 9654</v>
      </c>
    </row>
    <row r="2099" spans="1:5" x14ac:dyDescent="0.35">
      <c r="A2099" s="17" t="s">
        <v>3772</v>
      </c>
      <c r="B2099" t="s">
        <v>6067</v>
      </c>
      <c r="C2099" s="9" t="str">
        <f>_xlfn.CONCAT(HEX2DEC(MID(Table14[[#This Row],[Color Code]], 1, 2))," , ",HEX2DEC(MID(Table14[[#This Row],[Color Code]], 3, 2))," , ",HEX2DEC(MID(Table14[[#This Row],[Color Code]], 5, 2)))</f>
        <v>67 , 75 , 81</v>
      </c>
      <c r="D209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176.35475610257865</v>
      </c>
      <c r="E2099" t="str">
        <f>Table14[[#This Row],[Color Code]] &amp; " - " &amp;Table14[[#This Row],[Color Name]]</f>
        <v>434B51 - 8269</v>
      </c>
    </row>
    <row r="2100" spans="1:5" x14ac:dyDescent="0.35">
      <c r="A2100" s="17" t="s">
        <v>4220</v>
      </c>
      <c r="B2100" t="s">
        <v>6580</v>
      </c>
      <c r="C2100" s="9" t="str">
        <f>_xlfn.CONCAT(HEX2DEC(MID(Table14[[#This Row],[Color Code]], 1, 2))," , ",HEX2DEC(MID(Table14[[#This Row],[Color Code]], 3, 2))," , ",HEX2DEC(MID(Table14[[#This Row],[Color Code]], 5, 2)))</f>
        <v>79 , 71 , 68</v>
      </c>
      <c r="D210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176.50495743746123</v>
      </c>
      <c r="E2100" t="str">
        <f>Table14[[#This Row],[Color Code]] &amp; " - " &amp;Table14[[#This Row],[Color Name]]</f>
        <v>4F4744 - K273</v>
      </c>
    </row>
    <row r="2101" spans="1:5" x14ac:dyDescent="0.35">
      <c r="A2101" s="17" t="s">
        <v>2792</v>
      </c>
      <c r="B2101" t="s">
        <v>5007</v>
      </c>
      <c r="C2101" s="9" t="str">
        <f>_xlfn.CONCAT(HEX2DEC(MID(Table14[[#This Row],[Color Code]], 1, 2))," , ",HEX2DEC(MID(Table14[[#This Row],[Color Code]], 3, 2))," , ",HEX2DEC(MID(Table14[[#This Row],[Color Code]], 5, 2)))</f>
        <v>40 , 91 , 121</v>
      </c>
      <c r="D210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176.96327302578916</v>
      </c>
      <c r="E2101" t="str">
        <f>Table14[[#This Row],[Color Code]] &amp; " - " &amp;Table14[[#This Row],[Color Name]]</f>
        <v>285B79 - 9660</v>
      </c>
    </row>
    <row r="2102" spans="1:5" x14ac:dyDescent="0.35">
      <c r="A2102" s="17" t="s">
        <v>2846</v>
      </c>
      <c r="B2102" t="s">
        <v>5063</v>
      </c>
      <c r="C2102" s="9" t="str">
        <f>_xlfn.CONCAT(HEX2DEC(MID(Table14[[#This Row],[Color Code]], 1, 2))," , ",HEX2DEC(MID(Table14[[#This Row],[Color Code]], 3, 2))," , ",HEX2DEC(MID(Table14[[#This Row],[Color Code]], 5, 2)))</f>
        <v>43 , 89 , 113</v>
      </c>
      <c r="D210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177.09037240911772</v>
      </c>
      <c r="E2102" t="str">
        <f>Table14[[#This Row],[Color Code]] &amp; " - " &amp;Table14[[#This Row],[Color Name]]</f>
        <v>2B5971 - 9684</v>
      </c>
    </row>
    <row r="2103" spans="1:5" x14ac:dyDescent="0.35">
      <c r="A2103" s="17" t="s">
        <v>3867</v>
      </c>
      <c r="B2103" t="s">
        <v>6188</v>
      </c>
      <c r="C2103" s="9" t="str">
        <f>_xlfn.CONCAT(HEX2DEC(MID(Table14[[#This Row],[Color Code]], 1, 2))," , ",HEX2DEC(MID(Table14[[#This Row],[Color Code]], 3, 2))," , ",HEX2DEC(MID(Table14[[#This Row],[Color Code]], 5, 2)))</f>
        <v>75 , 78 , 64</v>
      </c>
      <c r="D210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177.14118662806794</v>
      </c>
      <c r="E2103" t="str">
        <f>Table14[[#This Row],[Color Code]] &amp; " - " &amp;Table14[[#This Row],[Color Name]]</f>
        <v>4B4E40 - K155</v>
      </c>
    </row>
    <row r="2104" spans="1:5" x14ac:dyDescent="0.35">
      <c r="A2104" s="17" t="s">
        <v>3708</v>
      </c>
      <c r="B2104" t="s">
        <v>5996</v>
      </c>
      <c r="C2104" s="9" t="str">
        <f>_xlfn.CONCAT(HEX2DEC(MID(Table14[[#This Row],[Color Code]], 1, 2))," , ",HEX2DEC(MID(Table14[[#This Row],[Color Code]], 3, 2))," , ",HEX2DEC(MID(Table14[[#This Row],[Color Code]], 5, 2)))</f>
        <v>74 , 72 , 72</v>
      </c>
      <c r="D210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177.26251718849082</v>
      </c>
      <c r="E2104" t="str">
        <f>Table14[[#This Row],[Color Code]] &amp; " - " &amp;Table14[[#This Row],[Color Name]]</f>
        <v>4A4848 - K082</v>
      </c>
    </row>
    <row r="2105" spans="1:5" x14ac:dyDescent="0.35">
      <c r="A2105" s="17" t="s">
        <v>3781</v>
      </c>
      <c r="B2105" t="s">
        <v>6076</v>
      </c>
      <c r="C2105" s="9" t="str">
        <f>_xlfn.CONCAT(HEX2DEC(MID(Table14[[#This Row],[Color Code]], 1, 2))," , ",HEX2DEC(MID(Table14[[#This Row],[Color Code]], 3, 2))," , ",HEX2DEC(MID(Table14[[#This Row],[Color Code]], 5, 2)))</f>
        <v>72 , 74 , 72</v>
      </c>
      <c r="D210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177.45421944828473</v>
      </c>
      <c r="E2105" t="str">
        <f>Table14[[#This Row],[Color Code]] &amp; " - " &amp;Table14[[#This Row],[Color Name]]</f>
        <v>484A48 - 8285</v>
      </c>
    </row>
    <row r="2106" spans="1:5" x14ac:dyDescent="0.35">
      <c r="A2106" s="17" t="s">
        <v>2801</v>
      </c>
      <c r="B2106" t="s">
        <v>5016</v>
      </c>
      <c r="C2106" s="9" t="str">
        <f>_xlfn.CONCAT(HEX2DEC(MID(Table14[[#This Row],[Color Code]], 1, 2))," , ",HEX2DEC(MID(Table14[[#This Row],[Color Code]], 3, 2))," , ",HEX2DEC(MID(Table14[[#This Row],[Color Code]], 5, 2)))</f>
        <v>38 , 93 , 122</v>
      </c>
      <c r="D210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177.56407294269863</v>
      </c>
      <c r="E2106" t="str">
        <f>Table14[[#This Row],[Color Code]] &amp; " - " &amp;Table14[[#This Row],[Color Name]]</f>
        <v>265D7A - 7357</v>
      </c>
    </row>
    <row r="2107" spans="1:5" x14ac:dyDescent="0.35">
      <c r="A2107" s="17" t="s">
        <v>3767</v>
      </c>
      <c r="B2107" t="s">
        <v>6060</v>
      </c>
      <c r="C2107" s="9" t="str">
        <f>_xlfn.CONCAT(HEX2DEC(MID(Table14[[#This Row],[Color Code]], 1, 2))," , ",HEX2DEC(MID(Table14[[#This Row],[Color Code]], 3, 2))," , ",HEX2DEC(MID(Table14[[#This Row],[Color Code]], 5, 2)))</f>
        <v>67 , 75 , 78</v>
      </c>
      <c r="D210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177.63445611704955</v>
      </c>
      <c r="E2107" t="str">
        <f>Table14[[#This Row],[Color Code]] &amp; " - " &amp;Table14[[#This Row],[Color Name]]</f>
        <v>434B4E - 9469</v>
      </c>
    </row>
    <row r="2108" spans="1:5" x14ac:dyDescent="0.35">
      <c r="A2108" s="17" t="s">
        <v>3787</v>
      </c>
      <c r="B2108" t="s">
        <v>6084</v>
      </c>
      <c r="C2108" s="9" t="str">
        <f>_xlfn.CONCAT(HEX2DEC(MID(Table14[[#This Row],[Color Code]], 1, 2))," , ",HEX2DEC(MID(Table14[[#This Row],[Color Code]], 3, 2))," , ",HEX2DEC(MID(Table14[[#This Row],[Color Code]], 5, 2)))</f>
        <v>76 , 72 , 68</v>
      </c>
      <c r="D210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177.85949510779568</v>
      </c>
      <c r="E2108" t="str">
        <f>Table14[[#This Row],[Color Code]] &amp; " - " &amp;Table14[[#This Row],[Color Name]]</f>
        <v>4C4844 - 8293</v>
      </c>
    </row>
    <row r="2109" spans="1:5" x14ac:dyDescent="0.35">
      <c r="A2109" s="17" t="s">
        <v>3731</v>
      </c>
      <c r="B2109" t="s">
        <v>6020</v>
      </c>
      <c r="C2109" s="9" t="str">
        <f>_xlfn.CONCAT(HEX2DEC(MID(Table14[[#This Row],[Color Code]], 1, 2))," , ",HEX2DEC(MID(Table14[[#This Row],[Color Code]], 3, 2))," , ",HEX2DEC(MID(Table14[[#This Row],[Color Code]], 5, 2)))</f>
        <v>71 , 72 , 75</v>
      </c>
      <c r="D210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177.90446874657195</v>
      </c>
      <c r="E2109" t="str">
        <f>Table14[[#This Row],[Color Code]] &amp; " - " &amp;Table14[[#This Row],[Color Name]]</f>
        <v>47484B - 8245</v>
      </c>
    </row>
    <row r="2110" spans="1:5" x14ac:dyDescent="0.35">
      <c r="A2110" s="17" t="s">
        <v>2688</v>
      </c>
      <c r="B2110" t="s">
        <v>4896</v>
      </c>
      <c r="C2110" s="9" t="str">
        <f>_xlfn.CONCAT(HEX2DEC(MID(Table14[[#This Row],[Color Code]], 1, 2))," , ",HEX2DEC(MID(Table14[[#This Row],[Color Code]], 3, 2))," , ",HEX2DEC(MID(Table14[[#This Row],[Color Code]], 5, 2)))</f>
        <v>71 , 69 , 79</v>
      </c>
      <c r="D211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177.91290003819284</v>
      </c>
      <c r="E2110" t="str">
        <f>Table14[[#This Row],[Color Code]] &amp; " - " &amp;Table14[[#This Row],[Color Name]]</f>
        <v>47454F - 9631</v>
      </c>
    </row>
    <row r="2111" spans="1:5" x14ac:dyDescent="0.35">
      <c r="A2111" s="17" t="s">
        <v>3716</v>
      </c>
      <c r="B2111" t="s">
        <v>6004</v>
      </c>
      <c r="C2111" s="9" t="str">
        <f>_xlfn.CONCAT(HEX2DEC(MID(Table14[[#This Row],[Color Code]], 1, 2))," , ",HEX2DEC(MID(Table14[[#This Row],[Color Code]], 3, 2))," , ",HEX2DEC(MID(Table14[[#This Row],[Color Code]], 5, 2)))</f>
        <v>76 , 68 , 72</v>
      </c>
      <c r="D211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178.30872104302694</v>
      </c>
      <c r="E2111" t="str">
        <f>Table14[[#This Row],[Color Code]] &amp; " - " &amp;Table14[[#This Row],[Color Name]]</f>
        <v>4C4448 - 8213</v>
      </c>
    </row>
    <row r="2112" spans="1:5" x14ac:dyDescent="0.35">
      <c r="A2112" s="17" t="s">
        <v>2943</v>
      </c>
      <c r="B2112" t="s">
        <v>5176</v>
      </c>
      <c r="C2112" s="9" t="str">
        <f>_xlfn.CONCAT(HEX2DEC(MID(Table14[[#This Row],[Color Code]], 1, 2))," , ",HEX2DEC(MID(Table14[[#This Row],[Color Code]], 3, 2))," , ",HEX2DEC(MID(Table14[[#This Row],[Color Code]], 5, 2)))</f>
        <v>38 , 106 , 97</v>
      </c>
      <c r="D211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178.44046626256053</v>
      </c>
      <c r="E2112" t="str">
        <f>Table14[[#This Row],[Color Code]] &amp; " - " &amp;Table14[[#This Row],[Color Name]]</f>
        <v>266A61 - 7525</v>
      </c>
    </row>
    <row r="2113" spans="1:5" x14ac:dyDescent="0.35">
      <c r="A2113" s="17" t="s">
        <v>3839</v>
      </c>
      <c r="B2113" t="s">
        <v>6155</v>
      </c>
      <c r="C2113" s="9" t="str">
        <f>_xlfn.CONCAT(HEX2DEC(MID(Table14[[#This Row],[Color Code]], 1, 2))," , ",HEX2DEC(MID(Table14[[#This Row],[Color Code]], 3, 2))," , ",HEX2DEC(MID(Table14[[#This Row],[Color Code]], 5, 2)))</f>
        <v>60 , 80 , 80</v>
      </c>
      <c r="D211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179.09215504873461</v>
      </c>
      <c r="E2113" t="str">
        <f>Table14[[#This Row],[Color Code]] &amp; " - " &amp;Table14[[#This Row],[Color Name]]</f>
        <v>3C5050 - 8341</v>
      </c>
    </row>
    <row r="2114" spans="1:5" x14ac:dyDescent="0.35">
      <c r="A2114" s="17" t="s">
        <v>2838</v>
      </c>
      <c r="B2114" t="s">
        <v>5055</v>
      </c>
      <c r="C2114" s="9" t="str">
        <f>_xlfn.CONCAT(HEX2DEC(MID(Table14[[#This Row],[Color Code]], 1, 2))," , ",HEX2DEC(MID(Table14[[#This Row],[Color Code]], 3, 2))," , ",HEX2DEC(MID(Table14[[#This Row],[Color Code]], 5, 2)))</f>
        <v>25 , 112 , 140</v>
      </c>
      <c r="D211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179.11728001507839</v>
      </c>
      <c r="E2114" t="str">
        <f>Table14[[#This Row],[Color Code]] &amp; " - " &amp;Table14[[#This Row],[Color Name]]</f>
        <v>19708C - 9676</v>
      </c>
    </row>
    <row r="2115" spans="1:5" x14ac:dyDescent="0.35">
      <c r="A2115" s="17" t="s">
        <v>2961</v>
      </c>
      <c r="B2115" t="s">
        <v>5200</v>
      </c>
      <c r="C2115" s="9" t="str">
        <f>_xlfn.CONCAT(HEX2DEC(MID(Table14[[#This Row],[Color Code]], 1, 2))," , ",HEX2DEC(MID(Table14[[#This Row],[Color Code]], 3, 2))," , ",HEX2DEC(MID(Table14[[#This Row],[Color Code]], 5, 2)))</f>
        <v>52 , 90 , 82</v>
      </c>
      <c r="D211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179.31536465121999</v>
      </c>
      <c r="E2115" t="str">
        <f>Table14[[#This Row],[Color Code]] &amp; " - " &amp;Table14[[#This Row],[Color Name]]</f>
        <v>345A52 - 7541</v>
      </c>
    </row>
    <row r="2116" spans="1:5" x14ac:dyDescent="0.35">
      <c r="A2116" s="17" t="s">
        <v>4422</v>
      </c>
      <c r="B2116" t="s">
        <v>5072</v>
      </c>
      <c r="C2116" s="9" t="str">
        <f>_xlfn.CONCAT(HEX2DEC(MID(Table14[[#This Row],[Color Code]], 1, 2))," , ",HEX2DEC(MID(Table14[[#This Row],[Color Code]], 3, 2))," , ",HEX2DEC(MID(Table14[[#This Row],[Color Code]], 5, 2)))</f>
        <v>48 , 85 , 97</v>
      </c>
      <c r="D211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179.4435844492636</v>
      </c>
      <c r="E2116" t="str">
        <f>Table14[[#This Row],[Color Code]] &amp; " - " &amp;Table14[[#This Row],[Color Name]]</f>
        <v>305561 - 9687</v>
      </c>
    </row>
    <row r="2117" spans="1:5" x14ac:dyDescent="0.35">
      <c r="A2117" s="17" t="s">
        <v>2909</v>
      </c>
      <c r="B2117" t="s">
        <v>5136</v>
      </c>
      <c r="C2117" s="9" t="str">
        <f>_xlfn.CONCAT(HEX2DEC(MID(Table14[[#This Row],[Color Code]], 1, 2))," , ",HEX2DEC(MID(Table14[[#This Row],[Color Code]], 3, 2))," , ",HEX2DEC(MID(Table14[[#This Row],[Color Code]], 5, 2)))</f>
        <v>43 , 93 , 95</v>
      </c>
      <c r="D211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180.34688796871433</v>
      </c>
      <c r="E2117" t="str">
        <f>Table14[[#This Row],[Color Code]] &amp; " - " &amp;Table14[[#This Row],[Color Name]]</f>
        <v>2B5D5F - 7485</v>
      </c>
    </row>
    <row r="2118" spans="1:5" x14ac:dyDescent="0.35">
      <c r="A2118" s="17" t="s">
        <v>2816</v>
      </c>
      <c r="B2118" t="s">
        <v>5032</v>
      </c>
      <c r="C2118" s="9" t="str">
        <f>_xlfn.CONCAT(HEX2DEC(MID(Table14[[#This Row],[Color Code]], 1, 2))," , ",HEX2DEC(MID(Table14[[#This Row],[Color Code]], 3, 2))," , ",HEX2DEC(MID(Table14[[#This Row],[Color Code]], 5, 2)))</f>
        <v>64 , 73 , 78</v>
      </c>
      <c r="D211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180.87841220001906</v>
      </c>
      <c r="E2118" t="str">
        <f>Table14[[#This Row],[Color Code]] &amp; " - " &amp;Table14[[#This Row],[Color Name]]</f>
        <v>40494E - 7381</v>
      </c>
    </row>
    <row r="2119" spans="1:5" x14ac:dyDescent="0.35">
      <c r="A2119" s="17" t="s">
        <v>4367</v>
      </c>
      <c r="B2119" t="s">
        <v>6746</v>
      </c>
      <c r="C2119" s="9" t="str">
        <f>_xlfn.CONCAT(HEX2DEC(MID(Table14[[#This Row],[Color Code]], 1, 2))," , ",HEX2DEC(MID(Table14[[#This Row],[Color Code]], 3, 2))," , ",HEX2DEC(MID(Table14[[#This Row],[Color Code]], 5, 2)))</f>
        <v>29 , 98 , 138</v>
      </c>
      <c r="D211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181.07180895987094</v>
      </c>
      <c r="E2119" t="str">
        <f>Table14[[#This Row],[Color Code]] &amp; " - " &amp;Table14[[#This Row],[Color Name]]</f>
        <v>1D628A - X146</v>
      </c>
    </row>
    <row r="2120" spans="1:5" x14ac:dyDescent="0.35">
      <c r="A2120" s="17" t="s">
        <v>4425</v>
      </c>
      <c r="B2120" t="s">
        <v>5102</v>
      </c>
      <c r="C2120" s="9" t="str">
        <f>_xlfn.CONCAT(HEX2DEC(MID(Table14[[#This Row],[Color Code]], 1, 2))," , ",HEX2DEC(MID(Table14[[#This Row],[Color Code]], 3, 2))," , ",HEX2DEC(MID(Table14[[#This Row],[Color Code]], 5, 2)))</f>
        <v>18 , 126 , 136</v>
      </c>
      <c r="D212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181.76358271116908</v>
      </c>
      <c r="E2120" t="str">
        <f>Table14[[#This Row],[Color Code]] &amp; " - " &amp;Table14[[#This Row],[Color Name]]</f>
        <v>127E88 - 9698</v>
      </c>
    </row>
    <row r="2121" spans="1:5" x14ac:dyDescent="0.35">
      <c r="A2121" s="17" t="s">
        <v>2955</v>
      </c>
      <c r="B2121" t="s">
        <v>5191</v>
      </c>
      <c r="C2121" s="9" t="str">
        <f>_xlfn.CONCAT(HEX2DEC(MID(Table14[[#This Row],[Color Code]], 1, 2))," , ",HEX2DEC(MID(Table14[[#This Row],[Color Code]], 3, 2))," , ",HEX2DEC(MID(Table14[[#This Row],[Color Code]], 5, 2)))</f>
        <v>42 , 98 , 86</v>
      </c>
      <c r="D212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182.18122845123204</v>
      </c>
      <c r="E2121" t="str">
        <f>Table14[[#This Row],[Color Code]] &amp; " - " &amp;Table14[[#This Row],[Color Name]]</f>
        <v>2A6256 - 9732</v>
      </c>
    </row>
    <row r="2122" spans="1:5" x14ac:dyDescent="0.35">
      <c r="A2122" s="17" t="s">
        <v>2974</v>
      </c>
      <c r="B2122" t="s">
        <v>5216</v>
      </c>
      <c r="C2122" s="9" t="str">
        <f>_xlfn.CONCAT(HEX2DEC(MID(Table14[[#This Row],[Color Code]], 1, 2))," , ",HEX2DEC(MID(Table14[[#This Row],[Color Code]], 3, 2))," , ",HEX2DEC(MID(Table14[[#This Row],[Color Code]], 5, 2)))</f>
        <v>54 , 87 , 74</v>
      </c>
      <c r="D212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182.61708572858126</v>
      </c>
      <c r="E2122" t="str">
        <f>Table14[[#This Row],[Color Code]] &amp; " - " &amp;Table14[[#This Row],[Color Name]]</f>
        <v>36574A - 9743</v>
      </c>
    </row>
    <row r="2123" spans="1:5" x14ac:dyDescent="0.35">
      <c r="A2123" s="17" t="s">
        <v>3129</v>
      </c>
      <c r="B2123" t="s">
        <v>5384</v>
      </c>
      <c r="C2123" s="9" t="str">
        <f>_xlfn.CONCAT(HEX2DEC(MID(Table14[[#This Row],[Color Code]], 1, 2))," , ",HEX2DEC(MID(Table14[[#This Row],[Color Code]], 3, 2))," , ",HEX2DEC(MID(Table14[[#This Row],[Color Code]], 5, 2)))</f>
        <v>63 , 83 , 64</v>
      </c>
      <c r="D212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182.71836251455409</v>
      </c>
      <c r="E2123" t="str">
        <f>Table14[[#This Row],[Color Code]] &amp; " - " &amp;Table14[[#This Row],[Color Name]]</f>
        <v>3F5340 - 9816</v>
      </c>
    </row>
    <row r="2124" spans="1:5" x14ac:dyDescent="0.35">
      <c r="A2124" s="17" t="s">
        <v>2756</v>
      </c>
      <c r="B2124" t="s">
        <v>4968</v>
      </c>
      <c r="C2124" s="9" t="str">
        <f>_xlfn.CONCAT(HEX2DEC(MID(Table14[[#This Row],[Color Code]], 1, 2))," , ",HEX2DEC(MID(Table14[[#This Row],[Color Code]], 3, 2))," , ",HEX2DEC(MID(Table14[[#This Row],[Color Code]], 5, 2)))</f>
        <v>62 , 65 , 88</v>
      </c>
      <c r="D212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183</v>
      </c>
      <c r="E2124" t="str">
        <f>Table14[[#This Row],[Color Code]] &amp; " - " &amp;Table14[[#This Row],[Color Name]]</f>
        <v>3E4158 - 9648</v>
      </c>
    </row>
    <row r="2125" spans="1:5" x14ac:dyDescent="0.35">
      <c r="A2125" s="17" t="s">
        <v>2882</v>
      </c>
      <c r="B2125" t="s">
        <v>5104</v>
      </c>
      <c r="C2125" s="9" t="str">
        <f>_xlfn.CONCAT(HEX2DEC(MID(Table14[[#This Row],[Color Code]], 1, 2))," , ",HEX2DEC(MID(Table14[[#This Row],[Color Code]], 3, 2))," , ",HEX2DEC(MID(Table14[[#This Row],[Color Code]], 5, 2)))</f>
        <v>35 , 95 , 105</v>
      </c>
      <c r="D212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183.16386106434859</v>
      </c>
      <c r="E2125" t="str">
        <f>Table14[[#This Row],[Color Code]] &amp; " - " &amp;Table14[[#This Row],[Color Name]]</f>
        <v>235F69 - 9700</v>
      </c>
    </row>
    <row r="2126" spans="1:5" x14ac:dyDescent="0.35">
      <c r="A2126" s="17" t="s">
        <v>2740</v>
      </c>
      <c r="B2126" t="s">
        <v>4952</v>
      </c>
      <c r="C2126" s="9" t="str">
        <f>_xlfn.CONCAT(HEX2DEC(MID(Table14[[#This Row],[Color Code]], 1, 2))," , ",HEX2DEC(MID(Table14[[#This Row],[Color Code]], 3, 2))," , ",HEX2DEC(MID(Table14[[#This Row],[Color Code]], 5, 2)))</f>
        <v>56 , 67 , 95</v>
      </c>
      <c r="D212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183.73894524569363</v>
      </c>
      <c r="E2126" t="str">
        <f>Table14[[#This Row],[Color Code]] &amp; " - " &amp;Table14[[#This Row],[Color Name]]</f>
        <v>38435F - 9644</v>
      </c>
    </row>
    <row r="2127" spans="1:5" x14ac:dyDescent="0.35">
      <c r="A2127" s="17" t="s">
        <v>2732</v>
      </c>
      <c r="B2127" t="s">
        <v>4943</v>
      </c>
      <c r="C2127" s="9" t="str">
        <f>_xlfn.CONCAT(HEX2DEC(MID(Table14[[#This Row],[Color Code]], 1, 2))," , ",HEX2DEC(MID(Table14[[#This Row],[Color Code]], 3, 2))," , ",HEX2DEC(MID(Table14[[#This Row],[Color Code]], 5, 2)))</f>
        <v>61 , 66 , 85</v>
      </c>
      <c r="D212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184.23354743368537</v>
      </c>
      <c r="E2127" t="str">
        <f>Table14[[#This Row],[Color Code]] &amp; " - " &amp;Table14[[#This Row],[Color Name]]</f>
        <v>3D4255 - 9636</v>
      </c>
    </row>
    <row r="2128" spans="1:5" x14ac:dyDescent="0.35">
      <c r="A2128" s="17" t="s">
        <v>4436</v>
      </c>
      <c r="B2128" t="s">
        <v>5168</v>
      </c>
      <c r="C2128" s="9" t="str">
        <f>_xlfn.CONCAT(HEX2DEC(MID(Table14[[#This Row],[Color Code]], 1, 2))," , ",HEX2DEC(MID(Table14[[#This Row],[Color Code]], 3, 2))," , ",HEX2DEC(MID(Table14[[#This Row],[Color Code]], 5, 2)))</f>
        <v>51 , 81 , 82</v>
      </c>
      <c r="D212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184.51558199783562</v>
      </c>
      <c r="E2128" t="str">
        <f>Table14[[#This Row],[Color Code]] &amp; " - " &amp;Table14[[#This Row],[Color Name]]</f>
        <v>335152 - 7477</v>
      </c>
    </row>
    <row r="2129" spans="1:5" x14ac:dyDescent="0.35">
      <c r="A2129" s="17" t="s">
        <v>2868</v>
      </c>
      <c r="B2129" t="s">
        <v>5088</v>
      </c>
      <c r="C2129" s="9" t="str">
        <f>_xlfn.CONCAT(HEX2DEC(MID(Table14[[#This Row],[Color Code]], 1, 2))," , ",HEX2DEC(MID(Table14[[#This Row],[Color Code]], 3, 2))," , ",HEX2DEC(MID(Table14[[#This Row],[Color Code]], 5, 2)))</f>
        <v>53 , 75 , 86</v>
      </c>
      <c r="D212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184.61310896033359</v>
      </c>
      <c r="E2129" t="str">
        <f>Table14[[#This Row],[Color Code]] &amp; " - " &amp;Table14[[#This Row],[Color Name]]</f>
        <v>354B56 - 9691</v>
      </c>
    </row>
    <row r="2130" spans="1:5" x14ac:dyDescent="0.35">
      <c r="A2130" s="17" t="s">
        <v>2824</v>
      </c>
      <c r="B2130" t="s">
        <v>5040</v>
      </c>
      <c r="C2130" s="9" t="str">
        <f>_xlfn.CONCAT(HEX2DEC(MID(Table14[[#This Row],[Color Code]], 1, 2))," , ",HEX2DEC(MID(Table14[[#This Row],[Color Code]], 3, 2))," , ",HEX2DEC(MID(Table14[[#This Row],[Color Code]], 5, 2)))</f>
        <v>53 , 72 , 90</v>
      </c>
      <c r="D213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184.81071397513728</v>
      </c>
      <c r="E2130" t="str">
        <f>Table14[[#This Row],[Color Code]] &amp; " - " &amp;Table14[[#This Row],[Color Name]]</f>
        <v>35485A - 0U29</v>
      </c>
    </row>
    <row r="2131" spans="1:5" x14ac:dyDescent="0.35">
      <c r="A2131" s="17" t="s">
        <v>3028</v>
      </c>
      <c r="B2131" t="s">
        <v>5272</v>
      </c>
      <c r="C2131" s="9" t="str">
        <f>_xlfn.CONCAT(HEX2DEC(MID(Table14[[#This Row],[Color Code]], 1, 2))," , ",HEX2DEC(MID(Table14[[#This Row],[Color Code]], 3, 2))," , ",HEX2DEC(MID(Table14[[#This Row],[Color Code]], 5, 2)))</f>
        <v>51 , 83 , 77</v>
      </c>
      <c r="D213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185.55053220079969</v>
      </c>
      <c r="E2131" t="str">
        <f>Table14[[#This Row],[Color Code]] &amp; " - " &amp;Table14[[#This Row],[Color Name]]</f>
        <v>33534D - 9767</v>
      </c>
    </row>
    <row r="2132" spans="1:5" x14ac:dyDescent="0.35">
      <c r="A2132" s="17" t="s">
        <v>2861</v>
      </c>
      <c r="B2132" t="s">
        <v>5079</v>
      </c>
      <c r="C2132" s="9" t="str">
        <f>_xlfn.CONCAT(HEX2DEC(MID(Table14[[#This Row],[Color Code]], 1, 2))," , ",HEX2DEC(MID(Table14[[#This Row],[Color Code]], 3, 2))," , ",HEX2DEC(MID(Table14[[#This Row],[Color Code]], 5, 2)))</f>
        <v>9 , 144 , 164</v>
      </c>
      <c r="D213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185.82518666746981</v>
      </c>
      <c r="E2132" t="str">
        <f>Table14[[#This Row],[Color Code]] &amp; " - " &amp;Table14[[#This Row],[Color Name]]</f>
        <v>0990A4 - 7430</v>
      </c>
    </row>
    <row r="2133" spans="1:5" x14ac:dyDescent="0.35">
      <c r="A2133" s="17" t="s">
        <v>3840</v>
      </c>
      <c r="B2133" t="s">
        <v>6156</v>
      </c>
      <c r="C2133" s="9" t="str">
        <f>_xlfn.CONCAT(HEX2DEC(MID(Table14[[#This Row],[Color Code]], 1, 2))," , ",HEX2DEC(MID(Table14[[#This Row],[Color Code]], 3, 2))," , ",HEX2DEC(MID(Table14[[#This Row],[Color Code]], 5, 2)))</f>
        <v>60 , 73 , 72</v>
      </c>
      <c r="D213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186.32498490540661</v>
      </c>
      <c r="E2133" t="str">
        <f>Table14[[#This Row],[Color Code]] &amp; " - " &amp;Table14[[#This Row],[Color Name]]</f>
        <v>3C4948 - K133</v>
      </c>
    </row>
    <row r="2134" spans="1:5" x14ac:dyDescent="0.35">
      <c r="A2134" s="17" t="s">
        <v>2876</v>
      </c>
      <c r="B2134" t="s">
        <v>5096</v>
      </c>
      <c r="C2134" s="9" t="str">
        <f>_xlfn.CONCAT(HEX2DEC(MID(Table14[[#This Row],[Color Code]], 1, 2))," , ",HEX2DEC(MID(Table14[[#This Row],[Color Code]], 3, 2))," , ",HEX2DEC(MID(Table14[[#This Row],[Color Code]], 5, 2)))</f>
        <v>25 , 106 , 109</v>
      </c>
      <c r="D213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186.45642922677672</v>
      </c>
      <c r="E2134" t="str">
        <f>Table14[[#This Row],[Color Code]] &amp; " - " &amp;Table14[[#This Row],[Color Name]]</f>
        <v>196A6D - 7453</v>
      </c>
    </row>
    <row r="2135" spans="1:5" x14ac:dyDescent="0.35">
      <c r="A2135" s="17" t="s">
        <v>4442</v>
      </c>
      <c r="B2135" t="s">
        <v>5198</v>
      </c>
      <c r="C2135" s="9" t="str">
        <f>_xlfn.CONCAT(HEX2DEC(MID(Table14[[#This Row],[Color Code]], 1, 2))," , ",HEX2DEC(MID(Table14[[#This Row],[Color Code]], 3, 2))," , ",HEX2DEC(MID(Table14[[#This Row],[Color Code]], 5, 2)))</f>
        <v>21 , 121 , 103</v>
      </c>
      <c r="D213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186.71100663860179</v>
      </c>
      <c r="E2135" t="str">
        <f>Table14[[#This Row],[Color Code]] &amp; " - " &amp;Table14[[#This Row],[Color Name]]</f>
        <v>157967 - 9739</v>
      </c>
    </row>
    <row r="2136" spans="1:5" x14ac:dyDescent="0.35">
      <c r="A2136" s="17" t="s">
        <v>4417</v>
      </c>
      <c r="B2136" t="s">
        <v>4984</v>
      </c>
      <c r="C2136" s="9" t="str">
        <f>_xlfn.CONCAT(HEX2DEC(MID(Table14[[#This Row],[Color Code]], 1, 2))," , ",HEX2DEC(MID(Table14[[#This Row],[Color Code]], 3, 2))," , ",HEX2DEC(MID(Table14[[#This Row],[Color Code]], 5, 2)))</f>
        <v>56 , 66 , 81</v>
      </c>
      <c r="D213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189.34888433788038</v>
      </c>
      <c r="E2136" t="str">
        <f>Table14[[#This Row],[Color Code]] &amp; " - " &amp;Table14[[#This Row],[Color Name]]</f>
        <v>384251 - 9655</v>
      </c>
    </row>
    <row r="2137" spans="1:5" x14ac:dyDescent="0.35">
      <c r="A2137" s="17" t="s">
        <v>3773</v>
      </c>
      <c r="B2137" t="s">
        <v>6068</v>
      </c>
      <c r="C2137" s="9" t="str">
        <f>_xlfn.CONCAT(HEX2DEC(MID(Table14[[#This Row],[Color Code]], 1, 2))," , ",HEX2DEC(MID(Table14[[#This Row],[Color Code]], 3, 2))," , ",HEX2DEC(MID(Table14[[#This Row],[Color Code]], 5, 2)))</f>
        <v>54 , 68 , 77</v>
      </c>
      <c r="D213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191.25114378742941</v>
      </c>
      <c r="E2137" t="str">
        <f>Table14[[#This Row],[Color Code]] &amp; " - " &amp;Table14[[#This Row],[Color Name]]</f>
        <v>36444D - K099</v>
      </c>
    </row>
    <row r="2138" spans="1:5" x14ac:dyDescent="0.35">
      <c r="A2138" s="17" t="s">
        <v>2820</v>
      </c>
      <c r="B2138" t="s">
        <v>5036</v>
      </c>
      <c r="C2138" s="9" t="str">
        <f>_xlfn.CONCAT(HEX2DEC(MID(Table14[[#This Row],[Color Code]], 1, 2))," , ",HEX2DEC(MID(Table14[[#This Row],[Color Code]], 3, 2))," , ",HEX2DEC(MID(Table14[[#This Row],[Color Code]], 5, 2)))</f>
        <v>7 , 139 , 190</v>
      </c>
      <c r="D213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191.69246203228755</v>
      </c>
      <c r="E2138" t="str">
        <f>Table14[[#This Row],[Color Code]] &amp; " - " &amp;Table14[[#This Row],[Color Name]]</f>
        <v>078BBE - 9666</v>
      </c>
    </row>
    <row r="2139" spans="1:5" x14ac:dyDescent="0.35">
      <c r="A2139" s="17" t="s">
        <v>2930</v>
      </c>
      <c r="B2139" t="s">
        <v>5159</v>
      </c>
      <c r="C2139" s="9" t="str">
        <f>_xlfn.CONCAT(HEX2DEC(MID(Table14[[#This Row],[Color Code]], 1, 2))," , ",HEX2DEC(MID(Table14[[#This Row],[Color Code]], 3, 2))," , ",HEX2DEC(MID(Table14[[#This Row],[Color Code]], 5, 2)))</f>
        <v>0 , 170 , 155</v>
      </c>
      <c r="D213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192.06509313251067</v>
      </c>
      <c r="E2139" t="str">
        <f>Table14[[#This Row],[Color Code]] &amp; " - " &amp;Table14[[#This Row],[Color Name]]</f>
        <v>00AA9B - 7510</v>
      </c>
    </row>
    <row r="2140" spans="1:5" x14ac:dyDescent="0.35">
      <c r="A2140" s="17" t="s">
        <v>4448</v>
      </c>
      <c r="B2140" t="s">
        <v>5224</v>
      </c>
      <c r="C2140" s="9" t="str">
        <f>_xlfn.CONCAT(HEX2DEC(MID(Table14[[#This Row],[Color Code]], 1, 2))," , ",HEX2DEC(MID(Table14[[#This Row],[Color Code]], 3, 2))," , ",HEX2DEC(MID(Table14[[#This Row],[Color Code]], 5, 2)))</f>
        <v>50 , 81 , 66</v>
      </c>
      <c r="D214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192.14838016491319</v>
      </c>
      <c r="E2140" t="str">
        <f>Table14[[#This Row],[Color Code]] &amp; " - " &amp;Table14[[#This Row],[Color Name]]</f>
        <v>325142 - 9750</v>
      </c>
    </row>
    <row r="2141" spans="1:5" x14ac:dyDescent="0.35">
      <c r="A2141" s="17" t="s">
        <v>2916</v>
      </c>
      <c r="B2141" t="s">
        <v>5143</v>
      </c>
      <c r="C2141" s="9" t="str">
        <f>_xlfn.CONCAT(HEX2DEC(MID(Table14[[#This Row],[Color Code]], 1, 2))," , ",HEX2DEC(MID(Table14[[#This Row],[Color Code]], 3, 2))," , ",HEX2DEC(MID(Table14[[#This Row],[Color Code]], 5, 2)))</f>
        <v>0 , 168 , 160</v>
      </c>
      <c r="D214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192.19261172063821</v>
      </c>
      <c r="E2141" t="str">
        <f>Table14[[#This Row],[Color Code]] &amp; " - " &amp;Table14[[#This Row],[Color Name]]</f>
        <v>00A8A0 - 7502</v>
      </c>
    </row>
    <row r="2142" spans="1:5" x14ac:dyDescent="0.35">
      <c r="A2142" s="17" t="s">
        <v>4440</v>
      </c>
      <c r="B2142" t="s">
        <v>5190</v>
      </c>
      <c r="C2142" s="9" t="str">
        <f>_xlfn.CONCAT(HEX2DEC(MID(Table14[[#This Row],[Color Code]], 1, 2))," , ",HEX2DEC(MID(Table14[[#This Row],[Color Code]], 3, 2))," , ",HEX2DEC(MID(Table14[[#This Row],[Color Code]], 5, 2)))</f>
        <v>22 , 105 , 97</v>
      </c>
      <c r="D214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192.77966697761462</v>
      </c>
      <c r="E2142" t="str">
        <f>Table14[[#This Row],[Color Code]] &amp; " - " &amp;Table14[[#This Row],[Color Name]]</f>
        <v>166961 - 9731</v>
      </c>
    </row>
    <row r="2143" spans="1:5" x14ac:dyDescent="0.35">
      <c r="A2143" s="17" t="s">
        <v>3747</v>
      </c>
      <c r="B2143" t="s">
        <v>6036</v>
      </c>
      <c r="C2143" s="9" t="str">
        <f>_xlfn.CONCAT(HEX2DEC(MID(Table14[[#This Row],[Color Code]], 1, 2))," , ",HEX2DEC(MID(Table14[[#This Row],[Color Code]], 3, 2))," , ",HEX2DEC(MID(Table14[[#This Row],[Color Code]], 5, 2)))</f>
        <v>64 , 64 , 63</v>
      </c>
      <c r="D214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192.79263471408859</v>
      </c>
      <c r="E2143" t="str">
        <f>Table14[[#This Row],[Color Code]] &amp; " - " &amp;Table14[[#This Row],[Color Name]]</f>
        <v>40403F - 8253</v>
      </c>
    </row>
    <row r="2144" spans="1:5" x14ac:dyDescent="0.35">
      <c r="A2144" s="17" t="s">
        <v>2934</v>
      </c>
      <c r="B2144" t="s">
        <v>5164</v>
      </c>
      <c r="C2144" s="9" t="str">
        <f>_xlfn.CONCAT(HEX2DEC(MID(Table14[[#This Row],[Color Code]], 1, 2))," , ",HEX2DEC(MID(Table14[[#This Row],[Color Code]], 3, 2))," , ",HEX2DEC(MID(Table14[[#This Row],[Color Code]], 5, 2)))</f>
        <v>0 , 160 , 140</v>
      </c>
      <c r="D214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193.16832038406298</v>
      </c>
      <c r="E2144" t="str">
        <f>Table14[[#This Row],[Color Code]] &amp; " - " &amp;Table14[[#This Row],[Color Name]]</f>
        <v>00A08C - 9721</v>
      </c>
    </row>
    <row r="2145" spans="1:5" x14ac:dyDescent="0.35">
      <c r="A2145" s="17" t="s">
        <v>4345</v>
      </c>
      <c r="B2145" t="s">
        <v>6718</v>
      </c>
      <c r="C2145" s="9" t="str">
        <f>_xlfn.CONCAT(HEX2DEC(MID(Table14[[#This Row],[Color Code]], 1, 2))," , ",HEX2DEC(MID(Table14[[#This Row],[Color Code]], 3, 2))," , ",HEX2DEC(MID(Table14[[#This Row],[Color Code]], 5, 2)))</f>
        <v>3 , 168 , 115</v>
      </c>
      <c r="D214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193.31321734428818</v>
      </c>
      <c r="E2145" t="str">
        <f>Table14[[#This Row],[Color Code]] &amp; " - " &amp;Table14[[#This Row],[Color Name]]</f>
        <v>03A873 - X175</v>
      </c>
    </row>
    <row r="2146" spans="1:5" x14ac:dyDescent="0.35">
      <c r="A2146" s="17" t="s">
        <v>4350</v>
      </c>
      <c r="B2146" t="s">
        <v>6725</v>
      </c>
      <c r="C2146" s="9" t="str">
        <f>_xlfn.CONCAT(HEX2DEC(MID(Table14[[#This Row],[Color Code]], 1, 2))," , ",HEX2DEC(MID(Table14[[#This Row],[Color Code]], 3, 2))," , ",HEX2DEC(MID(Table14[[#This Row],[Color Code]], 5, 2)))</f>
        <v>0 , 155 , 167</v>
      </c>
      <c r="D214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193.41147845978531</v>
      </c>
      <c r="E2146" t="str">
        <f>Table14[[#This Row],[Color Code]] &amp; " - " &amp;Table14[[#This Row],[Color Name]]</f>
        <v>009BA7 - 7438</v>
      </c>
    </row>
    <row r="2147" spans="1:5" x14ac:dyDescent="0.35">
      <c r="A2147" s="17" t="s">
        <v>2880</v>
      </c>
      <c r="B2147" t="s">
        <v>5100</v>
      </c>
      <c r="C2147" s="9" t="str">
        <f>_xlfn.CONCAT(HEX2DEC(MID(Table14[[#This Row],[Color Code]], 1, 2))," , ",HEX2DEC(MID(Table14[[#This Row],[Color Code]], 3, 2))," , ",HEX2DEC(MID(Table14[[#This Row],[Color Code]], 5, 2)))</f>
        <v>0 , 151 , 155</v>
      </c>
      <c r="D214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193.49418595916518</v>
      </c>
      <c r="E2147" t="str">
        <f>Table14[[#This Row],[Color Code]] &amp; " - " &amp;Table14[[#This Row],[Color Name]]</f>
        <v>00979B - 9696</v>
      </c>
    </row>
    <row r="2148" spans="1:5" x14ac:dyDescent="0.35">
      <c r="A2148" s="17" t="s">
        <v>2996</v>
      </c>
      <c r="B2148" t="s">
        <v>5240</v>
      </c>
      <c r="C2148" s="9" t="str">
        <f>_xlfn.CONCAT(HEX2DEC(MID(Table14[[#This Row],[Color Code]], 1, 2))," , ",HEX2DEC(MID(Table14[[#This Row],[Color Code]], 3, 2))," , ",HEX2DEC(MID(Table14[[#This Row],[Color Code]], 5, 2)))</f>
        <v>13 , 139 , 90</v>
      </c>
      <c r="D214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193.80918450888751</v>
      </c>
      <c r="E2148" t="str">
        <f>Table14[[#This Row],[Color Code]] &amp; " - " &amp;Table14[[#This Row],[Color Name]]</f>
        <v>0D8B5A - 7565</v>
      </c>
    </row>
    <row r="2149" spans="1:5" x14ac:dyDescent="0.35">
      <c r="A2149" s="17" t="s">
        <v>4497</v>
      </c>
      <c r="B2149" t="s">
        <v>6052</v>
      </c>
      <c r="C2149" s="9" t="str">
        <f>_xlfn.CONCAT(HEX2DEC(MID(Table14[[#This Row],[Color Code]], 1, 2))," , ",HEX2DEC(MID(Table14[[#This Row],[Color Code]], 3, 2))," , ",HEX2DEC(MID(Table14[[#This Row],[Color Code]], 5, 2)))</f>
        <v>52 , 72 , 69</v>
      </c>
      <c r="D214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193.92008663364402</v>
      </c>
      <c r="E2149" t="str">
        <f>Table14[[#This Row],[Color Code]] &amp; " - " &amp;Table14[[#This Row],[Color Name]]</f>
        <v>344845 - K098</v>
      </c>
    </row>
    <row r="2150" spans="1:5" x14ac:dyDescent="0.35">
      <c r="A2150" s="17" t="s">
        <v>4427</v>
      </c>
      <c r="B2150" t="s">
        <v>5108</v>
      </c>
      <c r="C2150" s="9" t="str">
        <f>_xlfn.CONCAT(HEX2DEC(MID(Table14[[#This Row],[Color Code]], 1, 2))," , ",HEX2DEC(MID(Table14[[#This Row],[Color Code]], 3, 2))," , ",HEX2DEC(MID(Table14[[#This Row],[Color Code]], 5, 2)))</f>
        <v>0 , 147 , 150</v>
      </c>
      <c r="D215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194.09533739891847</v>
      </c>
      <c r="E2150" t="str">
        <f>Table14[[#This Row],[Color Code]] &amp; " - " &amp;Table14[[#This Row],[Color Name]]</f>
        <v>009396 - 9704</v>
      </c>
    </row>
    <row r="2151" spans="1:5" x14ac:dyDescent="0.35">
      <c r="A2151" s="17" t="s">
        <v>2922</v>
      </c>
      <c r="B2151" t="s">
        <v>5150</v>
      </c>
      <c r="C2151" s="9" t="str">
        <f>_xlfn.CONCAT(HEX2DEC(MID(Table14[[#This Row],[Color Code]], 1, 2))," , ",HEX2DEC(MID(Table14[[#This Row],[Color Code]], 3, 2))," , ",HEX2DEC(MID(Table14[[#This Row],[Color Code]], 5, 2)))</f>
        <v>0 , 147 , 142</v>
      </c>
      <c r="D215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194.46593532030229</v>
      </c>
      <c r="E2151" t="str">
        <f>Table14[[#This Row],[Color Code]] &amp; " - " &amp;Table14[[#This Row],[Color Name]]</f>
        <v>00938E - 9717</v>
      </c>
    </row>
    <row r="2152" spans="1:5" x14ac:dyDescent="0.35">
      <c r="A2152" s="17" t="s">
        <v>2800</v>
      </c>
      <c r="B2152" t="s">
        <v>5015</v>
      </c>
      <c r="C2152" s="9" t="str">
        <f>_xlfn.CONCAT(HEX2DEC(MID(Table14[[#This Row],[Color Code]], 1, 2))," , ",HEX2DEC(MID(Table14[[#This Row],[Color Code]], 3, 2))," , ",HEX2DEC(MID(Table14[[#This Row],[Color Code]], 5, 2)))</f>
        <v>13 , 100 , 138</v>
      </c>
      <c r="D215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194.82043014016779</v>
      </c>
      <c r="E2152" t="str">
        <f>Table14[[#This Row],[Color Code]] &amp; " - " &amp;Table14[[#This Row],[Color Name]]</f>
        <v>0D648A - 9663</v>
      </c>
    </row>
    <row r="2153" spans="1:5" x14ac:dyDescent="0.35">
      <c r="A2153" s="17" t="s">
        <v>4438</v>
      </c>
      <c r="B2153" t="s">
        <v>5187</v>
      </c>
      <c r="C2153" s="9" t="str">
        <f>_xlfn.CONCAT(HEX2DEC(MID(Table14[[#This Row],[Color Code]], 1, 2))," , ",HEX2DEC(MID(Table14[[#This Row],[Color Code]], 3, 2))," , ",HEX2DEC(MID(Table14[[#This Row],[Color Code]], 5, 2)))</f>
        <v>0 , 152 , 131</v>
      </c>
      <c r="D215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194.85635735074183</v>
      </c>
      <c r="E2153" t="str">
        <f>Table14[[#This Row],[Color Code]] &amp; " - " &amp;Table14[[#This Row],[Color Name]]</f>
        <v>009883 - 9728</v>
      </c>
    </row>
    <row r="2154" spans="1:5" x14ac:dyDescent="0.35">
      <c r="A2154" s="17" t="s">
        <v>4351</v>
      </c>
      <c r="B2154" t="s">
        <v>6726</v>
      </c>
      <c r="C2154" s="9" t="str">
        <f>_xlfn.CONCAT(HEX2DEC(MID(Table14[[#This Row],[Color Code]], 1, 2))," , ",HEX2DEC(MID(Table14[[#This Row],[Color Code]], 3, 2))," , ",HEX2DEC(MID(Table14[[#This Row],[Color Code]], 5, 2)))</f>
        <v>0 , 141 , 159</v>
      </c>
      <c r="D215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195.02820308868152</v>
      </c>
      <c r="E2154" t="str">
        <f>Table14[[#This Row],[Color Code]] &amp; " - " &amp;Table14[[#This Row],[Color Name]]</f>
        <v>008D9F - X182</v>
      </c>
    </row>
    <row r="2155" spans="1:5" x14ac:dyDescent="0.35">
      <c r="A2155" s="17" t="s">
        <v>2831</v>
      </c>
      <c r="B2155" t="s">
        <v>5047</v>
      </c>
      <c r="C2155" s="9" t="str">
        <f>_xlfn.CONCAT(HEX2DEC(MID(Table14[[#This Row],[Color Code]], 1, 2))," , ",HEX2DEC(MID(Table14[[#This Row],[Color Code]], 3, 2))," , ",HEX2DEC(MID(Table14[[#This Row],[Color Code]], 5, 2)))</f>
        <v>0 , 150 , 180</v>
      </c>
      <c r="D215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195.2280717519896</v>
      </c>
      <c r="E2155" t="str">
        <f>Table14[[#This Row],[Color Code]] &amp; " - " &amp;Table14[[#This Row],[Color Name]]</f>
        <v>0096B4 - 7406</v>
      </c>
    </row>
    <row r="2156" spans="1:5" x14ac:dyDescent="0.35">
      <c r="A2156" s="17" t="s">
        <v>4435</v>
      </c>
      <c r="B2156" t="s">
        <v>5165</v>
      </c>
      <c r="C2156" s="9" t="str">
        <f>_xlfn.CONCAT(HEX2DEC(MID(Table14[[#This Row],[Color Code]], 1, 2))," , ",HEX2DEC(MID(Table14[[#This Row],[Color Code]], 3, 2))," , ",HEX2DEC(MID(Table14[[#This Row],[Color Code]], 5, 2)))</f>
        <v>0 , 145 , 136</v>
      </c>
      <c r="D215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195.25624189766637</v>
      </c>
      <c r="E2156" t="str">
        <f>Table14[[#This Row],[Color Code]] &amp; " - " &amp;Table14[[#This Row],[Color Name]]</f>
        <v>009188 - 9722</v>
      </c>
    </row>
    <row r="2157" spans="1:5" x14ac:dyDescent="0.35">
      <c r="A2157" s="17" t="s">
        <v>2842</v>
      </c>
      <c r="B2157" t="s">
        <v>5059</v>
      </c>
      <c r="C2157" s="9" t="str">
        <f>_xlfn.CONCAT(HEX2DEC(MID(Table14[[#This Row],[Color Code]], 1, 2))," , ",HEX2DEC(MID(Table14[[#This Row],[Color Code]], 3, 2))," , ",HEX2DEC(MID(Table14[[#This Row],[Color Code]], 5, 2)))</f>
        <v>0 , 145 , 174</v>
      </c>
      <c r="D215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195.25624189766637</v>
      </c>
      <c r="E2157" t="str">
        <f>Table14[[#This Row],[Color Code]] &amp; " - " &amp;Table14[[#This Row],[Color Name]]</f>
        <v>0091AE - 9680</v>
      </c>
    </row>
    <row r="2158" spans="1:5" x14ac:dyDescent="0.35">
      <c r="A2158" s="17" t="s">
        <v>2881</v>
      </c>
      <c r="B2158" t="s">
        <v>5101</v>
      </c>
      <c r="C2158" s="9" t="str">
        <f>_xlfn.CONCAT(HEX2DEC(MID(Table14[[#This Row],[Color Code]], 1, 2))," , ",HEX2DEC(MID(Table14[[#This Row],[Color Code]], 3, 2))," , ",HEX2DEC(MID(Table14[[#This Row],[Color Code]], 5, 2)))</f>
        <v>0 , 139 , 149</v>
      </c>
      <c r="D215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195.43796969882797</v>
      </c>
      <c r="E2158" t="str">
        <f>Table14[[#This Row],[Color Code]] &amp; " - " &amp;Table14[[#This Row],[Color Name]]</f>
        <v>008B95 - 9697</v>
      </c>
    </row>
    <row r="2159" spans="1:5" x14ac:dyDescent="0.35">
      <c r="A2159" s="17" t="s">
        <v>2988</v>
      </c>
      <c r="B2159" t="s">
        <v>5232</v>
      </c>
      <c r="C2159" s="9" t="str">
        <f>_xlfn.CONCAT(HEX2DEC(MID(Table14[[#This Row],[Color Code]], 1, 2))," , ",HEX2DEC(MID(Table14[[#This Row],[Color Code]], 3, 2))," , ",HEX2DEC(MID(Table14[[#This Row],[Color Code]], 5, 2)))</f>
        <v>47 , 78 , 66</v>
      </c>
      <c r="D215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195.84432593261414</v>
      </c>
      <c r="E2159" t="str">
        <f>Table14[[#This Row],[Color Code]] &amp; " - " &amp;Table14[[#This Row],[Color Name]]</f>
        <v>2F4E42 - 9756</v>
      </c>
    </row>
    <row r="2160" spans="1:5" x14ac:dyDescent="0.35">
      <c r="A2160" s="17" t="s">
        <v>2956</v>
      </c>
      <c r="B2160" t="s">
        <v>5192</v>
      </c>
      <c r="C2160" s="9" t="str">
        <f>_xlfn.CONCAT(HEX2DEC(MID(Table14[[#This Row],[Color Code]], 1, 2))," , ",HEX2DEC(MID(Table14[[#This Row],[Color Code]], 3, 2))," , ",HEX2DEC(MID(Table14[[#This Row],[Color Code]], 5, 2)))</f>
        <v>51 , 74 , 64</v>
      </c>
      <c r="D216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195.86474925315173</v>
      </c>
      <c r="E2160" t="str">
        <f>Table14[[#This Row],[Color Code]] &amp; " - " &amp;Table14[[#This Row],[Color Name]]</f>
        <v>334A40 - 9733</v>
      </c>
    </row>
    <row r="2161" spans="1:5" x14ac:dyDescent="0.35">
      <c r="A2161" s="17" t="s">
        <v>2843</v>
      </c>
      <c r="B2161" t="s">
        <v>5060</v>
      </c>
      <c r="C2161" s="9" t="str">
        <f>_xlfn.CONCAT(HEX2DEC(MID(Table14[[#This Row],[Color Code]], 1, 2))," , ",HEX2DEC(MID(Table14[[#This Row],[Color Code]], 3, 2))," , ",HEX2DEC(MID(Table14[[#This Row],[Color Code]], 5, 2)))</f>
        <v>0 , 136 , 163</v>
      </c>
      <c r="D216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196.08416560242696</v>
      </c>
      <c r="E2161" t="str">
        <f>Table14[[#This Row],[Color Code]] &amp; " - " &amp;Table14[[#This Row],[Color Name]]</f>
        <v>0088A3 - 9681</v>
      </c>
    </row>
    <row r="2162" spans="1:5" x14ac:dyDescent="0.35">
      <c r="A2162" s="17" t="s">
        <v>2886</v>
      </c>
      <c r="B2162" t="s">
        <v>5109</v>
      </c>
      <c r="C2162" s="9" t="str">
        <f>_xlfn.CONCAT(HEX2DEC(MID(Table14[[#This Row],[Color Code]], 1, 2))," , ",HEX2DEC(MID(Table14[[#This Row],[Color Code]], 3, 2))," , ",HEX2DEC(MID(Table14[[#This Row],[Color Code]], 5, 2)))</f>
        <v>0 , 136 , 139</v>
      </c>
      <c r="D216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196.57314160383152</v>
      </c>
      <c r="E2162" t="str">
        <f>Table14[[#This Row],[Color Code]] &amp; " - " &amp;Table14[[#This Row],[Color Name]]</f>
        <v>00888B - 9705</v>
      </c>
    </row>
    <row r="2163" spans="1:5" x14ac:dyDescent="0.35">
      <c r="A2163" s="17" t="s">
        <v>4428</v>
      </c>
      <c r="B2163" t="s">
        <v>5110</v>
      </c>
      <c r="C2163" s="9" t="str">
        <f>_xlfn.CONCAT(HEX2DEC(MID(Table14[[#This Row],[Color Code]], 1, 2))," , ",HEX2DEC(MID(Table14[[#This Row],[Color Code]], 3, 2))," , ",HEX2DEC(MID(Table14[[#This Row],[Color Code]], 5, 2)))</f>
        <v>0 , 132 , 144</v>
      </c>
      <c r="D216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197.06344156134085</v>
      </c>
      <c r="E2163" t="str">
        <f>Table14[[#This Row],[Color Code]] &amp; " - " &amp;Table14[[#This Row],[Color Name]]</f>
        <v>008490 - 9706</v>
      </c>
    </row>
    <row r="2164" spans="1:5" x14ac:dyDescent="0.35">
      <c r="A2164" s="17" t="s">
        <v>4441</v>
      </c>
      <c r="B2164" t="s">
        <v>5196</v>
      </c>
      <c r="C2164" s="9" t="str">
        <f>_xlfn.CONCAT(HEX2DEC(MID(Table14[[#This Row],[Color Code]], 1, 2))," , ",HEX2DEC(MID(Table14[[#This Row],[Color Code]], 3, 2))," , ",HEX2DEC(MID(Table14[[#This Row],[Color Code]], 5, 2)))</f>
        <v>0 , 150 , 118</v>
      </c>
      <c r="D216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197.12432625122653</v>
      </c>
      <c r="E2164" t="str">
        <f>Table14[[#This Row],[Color Code]] &amp; " - " &amp;Table14[[#This Row],[Color Name]]</f>
        <v>009676 - 9737</v>
      </c>
    </row>
    <row r="2165" spans="1:5" x14ac:dyDescent="0.35">
      <c r="A2165" s="17" t="s">
        <v>4424</v>
      </c>
      <c r="B2165" t="s">
        <v>5086</v>
      </c>
      <c r="C2165" s="9" t="str">
        <f>_xlfn.CONCAT(HEX2DEC(MID(Table14[[#This Row],[Color Code]], 1, 2))," , ",HEX2DEC(MID(Table14[[#This Row],[Color Code]], 3, 2))," , ",HEX2DEC(MID(Table14[[#This Row],[Color Code]], 5, 2)))</f>
        <v>0 , 129 , 149</v>
      </c>
      <c r="D216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197.52468200202222</v>
      </c>
      <c r="E2165" t="str">
        <f>Table14[[#This Row],[Color Code]] &amp; " - " &amp;Table14[[#This Row],[Color Name]]</f>
        <v>008195 - 9689</v>
      </c>
    </row>
    <row r="2166" spans="1:5" x14ac:dyDescent="0.35">
      <c r="A2166" s="17" t="s">
        <v>4358</v>
      </c>
      <c r="B2166" t="s">
        <v>6735</v>
      </c>
      <c r="C2166" s="9" t="str">
        <f>_xlfn.CONCAT(HEX2DEC(MID(Table14[[#This Row],[Color Code]], 1, 2))," , ",HEX2DEC(MID(Table14[[#This Row],[Color Code]], 3, 2))," , ",HEX2DEC(MID(Table14[[#This Row],[Color Code]], 5, 2)))</f>
        <v>0 , 134 , 177</v>
      </c>
      <c r="D216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197.55758654124119</v>
      </c>
      <c r="E2166" t="str">
        <f>Table14[[#This Row],[Color Code]] &amp; " - " &amp;Table14[[#This Row],[Color Name]]</f>
        <v>0086B1 - X190</v>
      </c>
    </row>
    <row r="2167" spans="1:5" x14ac:dyDescent="0.35">
      <c r="A2167" s="17" t="s">
        <v>2954</v>
      </c>
      <c r="B2167" t="s">
        <v>5189</v>
      </c>
      <c r="C2167" s="9" t="str">
        <f>_xlfn.CONCAT(HEX2DEC(MID(Table14[[#This Row],[Color Code]], 1, 2))," , ",HEX2DEC(MID(Table14[[#This Row],[Color Code]], 3, 2))," , ",HEX2DEC(MID(Table14[[#This Row],[Color Code]], 5, 2)))</f>
        <v>10 , 115 , 105</v>
      </c>
      <c r="D216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198.0504986108341</v>
      </c>
      <c r="E2167" t="str">
        <f>Table14[[#This Row],[Color Code]] &amp; " - " &amp;Table14[[#This Row],[Color Name]]</f>
        <v>0A7369 - 9730</v>
      </c>
    </row>
    <row r="2168" spans="1:5" x14ac:dyDescent="0.35">
      <c r="A2168" s="17" t="s">
        <v>2844</v>
      </c>
      <c r="B2168" t="s">
        <v>5061</v>
      </c>
      <c r="C2168" s="9" t="str">
        <f>_xlfn.CONCAT(HEX2DEC(MID(Table14[[#This Row],[Color Code]], 1, 2))," , ",HEX2DEC(MID(Table14[[#This Row],[Color Code]], 3, 2))," , ",HEX2DEC(MID(Table14[[#This Row],[Color Code]], 5, 2)))</f>
        <v>0 , 125 , 149</v>
      </c>
      <c r="D216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198.49433241279209</v>
      </c>
      <c r="E2168" t="str">
        <f>Table14[[#This Row],[Color Code]] &amp; " - " &amp;Table14[[#This Row],[Color Name]]</f>
        <v>007D95 - 9682</v>
      </c>
    </row>
    <row r="2169" spans="1:5" x14ac:dyDescent="0.35">
      <c r="A2169" s="17" t="s">
        <v>4352</v>
      </c>
      <c r="B2169" t="s">
        <v>6727</v>
      </c>
      <c r="C2169" s="9" t="str">
        <f>_xlfn.CONCAT(HEX2DEC(MID(Table14[[#This Row],[Color Code]], 1, 2))," , ",HEX2DEC(MID(Table14[[#This Row],[Color Code]], 3, 2))," , ",HEX2DEC(MID(Table14[[#This Row],[Color Code]], 5, 2)))</f>
        <v>0 , 125 , 145</v>
      </c>
      <c r="D216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198.65548066942426</v>
      </c>
      <c r="E2169" t="str">
        <f>Table14[[#This Row],[Color Code]] &amp; " - " &amp;Table14[[#This Row],[Color Name]]</f>
        <v>007D91 - X183</v>
      </c>
    </row>
    <row r="2170" spans="1:5" x14ac:dyDescent="0.35">
      <c r="A2170" s="17" t="s">
        <v>4346</v>
      </c>
      <c r="B2170" t="s">
        <v>6719</v>
      </c>
      <c r="C2170" s="9" t="str">
        <f>_xlfn.CONCAT(HEX2DEC(MID(Table14[[#This Row],[Color Code]], 1, 2))," , ",HEX2DEC(MID(Table14[[#This Row],[Color Code]], 3, 2))," , ",HEX2DEC(MID(Table14[[#This Row],[Color Code]], 5, 2)))</f>
        <v>0 , 155 , 108</v>
      </c>
      <c r="D217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198.67813166023078</v>
      </c>
      <c r="E2170" t="str">
        <f>Table14[[#This Row],[Color Code]] &amp; " - " &amp;Table14[[#This Row],[Color Name]]</f>
        <v>009B6C - X193</v>
      </c>
    </row>
    <row r="2171" spans="1:5" x14ac:dyDescent="0.35">
      <c r="A2171" s="17" t="s">
        <v>4359</v>
      </c>
      <c r="B2171" t="s">
        <v>6736</v>
      </c>
      <c r="C2171" s="9" t="str">
        <f>_xlfn.CONCAT(HEX2DEC(MID(Table14[[#This Row],[Color Code]], 1, 2))," , ",HEX2DEC(MID(Table14[[#This Row],[Color Code]], 3, 2))," , ",HEX2DEC(MID(Table14[[#This Row],[Color Code]], 5, 2)))</f>
        <v>0 , 124 , 159</v>
      </c>
      <c r="D217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198.69826370655582</v>
      </c>
      <c r="E2171" t="str">
        <f>Table14[[#This Row],[Color Code]] &amp; " - " &amp;Table14[[#This Row],[Color Name]]</f>
        <v>007C9F - X191</v>
      </c>
    </row>
    <row r="2172" spans="1:5" x14ac:dyDescent="0.35">
      <c r="A2172" s="17" t="s">
        <v>2836</v>
      </c>
      <c r="B2172" t="s">
        <v>5052</v>
      </c>
      <c r="C2172" s="9" t="str">
        <f>_xlfn.CONCAT(HEX2DEC(MID(Table14[[#This Row],[Color Code]], 1, 2))," , ",HEX2DEC(MID(Table14[[#This Row],[Color Code]], 3, 2))," , ",HEX2DEC(MID(Table14[[#This Row],[Color Code]], 5, 2)))</f>
        <v>0 , 123 , 152</v>
      </c>
      <c r="D217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198.9396893533314</v>
      </c>
      <c r="E2172" t="str">
        <f>Table14[[#This Row],[Color Code]] &amp; " - " &amp;Table14[[#This Row],[Color Name]]</f>
        <v>007B98 - 9673</v>
      </c>
    </row>
    <row r="2173" spans="1:5" x14ac:dyDescent="0.35">
      <c r="A2173" s="17" t="s">
        <v>2837</v>
      </c>
      <c r="B2173" t="s">
        <v>5053</v>
      </c>
      <c r="C2173" s="9" t="str">
        <f>_xlfn.CONCAT(HEX2DEC(MID(Table14[[#This Row],[Color Code]], 1, 2))," , ",HEX2DEC(MID(Table14[[#This Row],[Color Code]], 3, 2))," , ",HEX2DEC(MID(Table14[[#This Row],[Color Code]], 5, 2)))</f>
        <v>0 , 123 , 161</v>
      </c>
      <c r="D217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199.00753754569197</v>
      </c>
      <c r="E2173" t="str">
        <f>Table14[[#This Row],[Color Code]] &amp; " - " &amp;Table14[[#This Row],[Color Name]]</f>
        <v>007BA1 - 9674</v>
      </c>
    </row>
    <row r="2174" spans="1:5" x14ac:dyDescent="0.35">
      <c r="A2174" s="17" t="s">
        <v>2935</v>
      </c>
      <c r="B2174" t="s">
        <v>5166</v>
      </c>
      <c r="C2174" s="9" t="str">
        <f>_xlfn.CONCAT(HEX2DEC(MID(Table14[[#This Row],[Color Code]], 1, 2))," , ",HEX2DEC(MID(Table14[[#This Row],[Color Code]], 3, 2))," , ",HEX2DEC(MID(Table14[[#This Row],[Color Code]], 5, 2)))</f>
        <v>0 , 132 , 125</v>
      </c>
      <c r="D217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199.0301484700245</v>
      </c>
      <c r="E2174" t="str">
        <f>Table14[[#This Row],[Color Code]] &amp; " - " &amp;Table14[[#This Row],[Color Name]]</f>
        <v>00847D - 9723</v>
      </c>
    </row>
    <row r="2175" spans="1:5" x14ac:dyDescent="0.35">
      <c r="A2175" s="17" t="s">
        <v>2959</v>
      </c>
      <c r="B2175" t="s">
        <v>5195</v>
      </c>
      <c r="C2175" s="9" t="str">
        <f>_xlfn.CONCAT(HEX2DEC(MID(Table14[[#This Row],[Color Code]], 1, 2))," , ",HEX2DEC(MID(Table14[[#This Row],[Color Code]], 3, 2))," , ",HEX2DEC(MID(Table14[[#This Row],[Color Code]], 5, 2)))</f>
        <v>0 , 147 , 107</v>
      </c>
      <c r="D217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199.87996397838378</v>
      </c>
      <c r="E2175" t="str">
        <f>Table14[[#This Row],[Color Code]] &amp; " - " &amp;Table14[[#This Row],[Color Name]]</f>
        <v>00936B - 9736</v>
      </c>
    </row>
    <row r="2176" spans="1:5" x14ac:dyDescent="0.35">
      <c r="A2176" s="17" t="s">
        <v>2887</v>
      </c>
      <c r="B2176" t="s">
        <v>5111</v>
      </c>
      <c r="C2176" s="9" t="str">
        <f>_xlfn.CONCAT(HEX2DEC(MID(Table14[[#This Row],[Color Code]], 1, 2))," , ",HEX2DEC(MID(Table14[[#This Row],[Color Code]], 3, 2))," , ",HEX2DEC(MID(Table14[[#This Row],[Color Code]], 5, 2)))</f>
        <v>0 , 121 , 138</v>
      </c>
      <c r="D217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200.17242567346781</v>
      </c>
      <c r="E2176" t="str">
        <f>Table14[[#This Row],[Color Code]] &amp; " - " &amp;Table14[[#This Row],[Color Name]]</f>
        <v>00798A - 9707</v>
      </c>
    </row>
    <row r="2177" spans="1:5" x14ac:dyDescent="0.35">
      <c r="A2177" s="17" t="s">
        <v>4582</v>
      </c>
      <c r="B2177" t="s">
        <v>6737</v>
      </c>
      <c r="C2177" s="9" t="str">
        <f>_xlfn.CONCAT(HEX2DEC(MID(Table14[[#This Row],[Color Code]], 1, 2))," , ",HEX2DEC(MID(Table14[[#This Row],[Color Code]], 3, 2))," , ",HEX2DEC(MID(Table14[[#This Row],[Color Code]], 5, 2)))</f>
        <v>0 , 119 , 145</v>
      </c>
      <c r="D217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200.24984394500785</v>
      </c>
      <c r="E2177" t="str">
        <f>Table14[[#This Row],[Color Code]] &amp; " - " &amp;Table14[[#This Row],[Color Name]]</f>
        <v>007791 - X147</v>
      </c>
    </row>
    <row r="2178" spans="1:5" x14ac:dyDescent="0.35">
      <c r="A2178" s="17" t="s">
        <v>4365</v>
      </c>
      <c r="B2178" t="s">
        <v>6744</v>
      </c>
      <c r="C2178" s="9" t="str">
        <f>_xlfn.CONCAT(HEX2DEC(MID(Table14[[#This Row],[Color Code]], 1, 2))," , ",HEX2DEC(MID(Table14[[#This Row],[Color Code]], 3, 2))," , ",HEX2DEC(MID(Table14[[#This Row],[Color Code]], 5, 2)))</f>
        <v>0 , 119 , 171</v>
      </c>
      <c r="D217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200.63897926375125</v>
      </c>
      <c r="E2178" t="str">
        <f>Table14[[#This Row],[Color Code]] &amp; " - " &amp;Table14[[#This Row],[Color Name]]</f>
        <v>0077AB - X189</v>
      </c>
    </row>
    <row r="2179" spans="1:5" x14ac:dyDescent="0.35">
      <c r="A2179" s="17" t="s">
        <v>4445</v>
      </c>
      <c r="B2179" t="s">
        <v>5208</v>
      </c>
      <c r="C2179" s="9" t="str">
        <f>_xlfn.CONCAT(HEX2DEC(MID(Table14[[#This Row],[Color Code]], 1, 2))," , ",HEX2DEC(MID(Table14[[#This Row],[Color Code]], 3, 2))," , ",HEX2DEC(MID(Table14[[#This Row],[Color Code]], 5, 2)))</f>
        <v>17 , 103 , 87</v>
      </c>
      <c r="D217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201.07958623390888</v>
      </c>
      <c r="E2179" t="str">
        <f>Table14[[#This Row],[Color Code]] &amp; " - " &amp;Table14[[#This Row],[Color Name]]</f>
        <v>116757 - 9742</v>
      </c>
    </row>
    <row r="2180" spans="1:5" x14ac:dyDescent="0.35">
      <c r="A2180" s="17" t="s">
        <v>4439</v>
      </c>
      <c r="B2180" t="s">
        <v>5188</v>
      </c>
      <c r="C2180" s="9" t="str">
        <f>_xlfn.CONCAT(HEX2DEC(MID(Table14[[#This Row],[Color Code]], 1, 2))," , ",HEX2DEC(MID(Table14[[#This Row],[Color Code]], 3, 2))," , ",HEX2DEC(MID(Table14[[#This Row],[Color Code]], 5, 2)))</f>
        <v>0 , 132 , 113</v>
      </c>
      <c r="D218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201.1889659002203</v>
      </c>
      <c r="E2180" t="str">
        <f>Table14[[#This Row],[Color Code]] &amp; " - " &amp;Table14[[#This Row],[Color Name]]</f>
        <v>008471 - 9729</v>
      </c>
    </row>
    <row r="2181" spans="1:5" x14ac:dyDescent="0.35">
      <c r="A2181" s="17" t="s">
        <v>2960</v>
      </c>
      <c r="B2181" t="s">
        <v>5197</v>
      </c>
      <c r="C2181" s="9" t="str">
        <f>_xlfn.CONCAT(HEX2DEC(MID(Table14[[#This Row],[Color Code]], 1, 2))," , ",HEX2DEC(MID(Table14[[#This Row],[Color Code]], 3, 2))," , ",HEX2DEC(MID(Table14[[#This Row],[Color Code]], 5, 2)))</f>
        <v>0 , 137 , 108</v>
      </c>
      <c r="D218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201.28835038322512</v>
      </c>
      <c r="E2181" t="str">
        <f>Table14[[#This Row],[Color Code]] &amp; " - " &amp;Table14[[#This Row],[Color Name]]</f>
        <v>00896C - 9738</v>
      </c>
    </row>
    <row r="2182" spans="1:5" x14ac:dyDescent="0.35">
      <c r="A2182" s="17" t="s">
        <v>2875</v>
      </c>
      <c r="B2182" t="s">
        <v>5095</v>
      </c>
      <c r="C2182" s="9" t="str">
        <f>_xlfn.CONCAT(HEX2DEC(MID(Table14[[#This Row],[Color Code]], 1, 2))," , ",HEX2DEC(MID(Table14[[#This Row],[Color Code]], 3, 2))," , ",HEX2DEC(MID(Table14[[#This Row],[Color Code]], 5, 2)))</f>
        <v>0 , 122 , 125</v>
      </c>
      <c r="D218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201.42740627829173</v>
      </c>
      <c r="E2182" t="str">
        <f>Table14[[#This Row],[Color Code]] &amp; " - " &amp;Table14[[#This Row],[Color Name]]</f>
        <v>007A7D - 9692</v>
      </c>
    </row>
    <row r="2183" spans="1:5" x14ac:dyDescent="0.35">
      <c r="A2183" s="17" t="s">
        <v>4580</v>
      </c>
      <c r="B2183" t="s">
        <v>6728</v>
      </c>
      <c r="C2183" s="9" t="str">
        <f>_xlfn.CONCAT(HEX2DEC(MID(Table14[[#This Row],[Color Code]], 1, 2))," , ",HEX2DEC(MID(Table14[[#This Row],[Color Code]], 3, 2))," , ",HEX2DEC(MID(Table14[[#This Row],[Color Code]], 5, 2)))</f>
        <v>0 , 118 , 129</v>
      </c>
      <c r="D218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201.96286787427039</v>
      </c>
      <c r="E2183" t="str">
        <f>Table14[[#This Row],[Color Code]] &amp; " - " &amp;Table14[[#This Row],[Color Name]]</f>
        <v>007681 - X149</v>
      </c>
    </row>
    <row r="2184" spans="1:5" x14ac:dyDescent="0.35">
      <c r="A2184" s="17" t="s">
        <v>4578</v>
      </c>
      <c r="B2184" t="s">
        <v>6720</v>
      </c>
      <c r="C2184" s="9" t="str">
        <f>_xlfn.CONCAT(HEX2DEC(MID(Table14[[#This Row],[Color Code]], 1, 2))," , ",HEX2DEC(MID(Table14[[#This Row],[Color Code]], 3, 2))," , ",HEX2DEC(MID(Table14[[#This Row],[Color Code]], 5, 2)))</f>
        <v>0 , 136 , 99</v>
      </c>
      <c r="D218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203.7670238286853</v>
      </c>
      <c r="E2184" t="str">
        <f>Table14[[#This Row],[Color Code]] &amp; " - " &amp;Table14[[#This Row],[Color Name]]</f>
        <v>008863 - X192</v>
      </c>
    </row>
    <row r="2185" spans="1:5" x14ac:dyDescent="0.35">
      <c r="A2185" s="17" t="s">
        <v>4433</v>
      </c>
      <c r="B2185" t="s">
        <v>5151</v>
      </c>
      <c r="C2185" s="9" t="str">
        <f>_xlfn.CONCAT(HEX2DEC(MID(Table14[[#This Row],[Color Code]], 1, 2))," , ",HEX2DEC(MID(Table14[[#This Row],[Color Code]], 3, 2))," , ",HEX2DEC(MID(Table14[[#This Row],[Color Code]], 5, 2)))</f>
        <v>0 , 118 , 115</v>
      </c>
      <c r="D218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204.23760672314978</v>
      </c>
      <c r="E2185" t="str">
        <f>Table14[[#This Row],[Color Code]] &amp; " - " &amp;Table14[[#This Row],[Color Name]]</f>
        <v>007673 - 9718</v>
      </c>
    </row>
    <row r="2186" spans="1:5" x14ac:dyDescent="0.35">
      <c r="A2186" s="17" t="s">
        <v>4366</v>
      </c>
      <c r="B2186" t="s">
        <v>6745</v>
      </c>
      <c r="C2186" s="9" t="str">
        <f>_xlfn.CONCAT(HEX2DEC(MID(Table14[[#This Row],[Color Code]], 1, 2))," , ",HEX2DEC(MID(Table14[[#This Row],[Color Code]], 3, 2))," , ",HEX2DEC(MID(Table14[[#This Row],[Color Code]], 5, 2)))</f>
        <v>0 , 105 , 157</v>
      </c>
      <c r="D218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204.37220946107129</v>
      </c>
      <c r="E2186" t="str">
        <f>Table14[[#This Row],[Color Code]] &amp; " - " &amp;Table14[[#This Row],[Color Name]]</f>
        <v>00699D - X188</v>
      </c>
    </row>
    <row r="2187" spans="1:5" x14ac:dyDescent="0.35">
      <c r="A2187" s="17" t="s">
        <v>2936</v>
      </c>
      <c r="B2187" t="s">
        <v>5167</v>
      </c>
      <c r="C2187" s="9" t="str">
        <f>_xlfn.CONCAT(HEX2DEC(MID(Table14[[#This Row],[Color Code]], 1, 2))," , ",HEX2DEC(MID(Table14[[#This Row],[Color Code]], 3, 2))," , ",HEX2DEC(MID(Table14[[#This Row],[Color Code]], 5, 2)))</f>
        <v>0 , 121 , 110</v>
      </c>
      <c r="D218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204.46271053666484</v>
      </c>
      <c r="E2187" t="str">
        <f>Table14[[#This Row],[Color Code]] &amp; " - " &amp;Table14[[#This Row],[Color Name]]</f>
        <v>00796E - 9724</v>
      </c>
    </row>
    <row r="2188" spans="1:5" x14ac:dyDescent="0.35">
      <c r="A2188" s="17" t="s">
        <v>4443</v>
      </c>
      <c r="B2188" t="s">
        <v>5199</v>
      </c>
      <c r="C2188" s="9" t="str">
        <f>_xlfn.CONCAT(HEX2DEC(MID(Table14[[#This Row],[Color Code]], 1, 2))," , ",HEX2DEC(MID(Table14[[#This Row],[Color Code]], 3, 2))," , ",HEX2DEC(MID(Table14[[#This Row],[Color Code]], 5, 2)))</f>
        <v>0 , 121 , 105</v>
      </c>
      <c r="D218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205.62101059959801</v>
      </c>
      <c r="E2188" t="str">
        <f>Table14[[#This Row],[Color Code]] &amp; " - " &amp;Table14[[#This Row],[Color Name]]</f>
        <v>007969 - 9740</v>
      </c>
    </row>
    <row r="2189" spans="1:5" x14ac:dyDescent="0.35">
      <c r="A2189" s="17" t="s">
        <v>4444</v>
      </c>
      <c r="B2189" t="s">
        <v>5207</v>
      </c>
      <c r="C2189" s="9" t="str">
        <f>_xlfn.CONCAT(HEX2DEC(MID(Table14[[#This Row],[Color Code]], 1, 2))," , ",HEX2DEC(MID(Table14[[#This Row],[Color Code]], 3, 2))," , ",HEX2DEC(MID(Table14[[#This Row],[Color Code]], 5, 2)))</f>
        <v>0 , 128 , 98</v>
      </c>
      <c r="D2189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205.72311488989271</v>
      </c>
      <c r="E2189" t="str">
        <f>Table14[[#This Row],[Color Code]] &amp; " - " &amp;Table14[[#This Row],[Color Name]]</f>
        <v>008062 - 9741</v>
      </c>
    </row>
    <row r="2190" spans="1:5" x14ac:dyDescent="0.35">
      <c r="A2190" s="17" t="s">
        <v>4583</v>
      </c>
      <c r="B2190" t="s">
        <v>6738</v>
      </c>
      <c r="C2190" s="9" t="str">
        <f>_xlfn.CONCAT(HEX2DEC(MID(Table14[[#This Row],[Color Code]], 1, 2))," , ",HEX2DEC(MID(Table14[[#This Row],[Color Code]], 3, 2))," , ",HEX2DEC(MID(Table14[[#This Row],[Color Code]], 5, 2)))</f>
        <v>0 , 105 , 130</v>
      </c>
      <c r="D2190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205.88589072590671</v>
      </c>
      <c r="E2190" t="str">
        <f>Table14[[#This Row],[Color Code]] &amp; " - " &amp;Table14[[#This Row],[Color Name]]</f>
        <v>006982 - X164</v>
      </c>
    </row>
    <row r="2191" spans="1:5" x14ac:dyDescent="0.35">
      <c r="A2191" s="17" t="s">
        <v>2888</v>
      </c>
      <c r="B2191" t="s">
        <v>5112</v>
      </c>
      <c r="C2191" s="9" t="str">
        <f>_xlfn.CONCAT(HEX2DEC(MID(Table14[[#This Row],[Color Code]], 1, 2))," , ",HEX2DEC(MID(Table14[[#This Row],[Color Code]], 3, 2))," , ",HEX2DEC(MID(Table14[[#This Row],[Color Code]], 5, 2)))</f>
        <v>0 , 107 , 124</v>
      </c>
      <c r="D2191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206.03155098188239</v>
      </c>
      <c r="E2191" t="str">
        <f>Table14[[#This Row],[Color Code]] &amp; " - " &amp;Table14[[#This Row],[Color Name]]</f>
        <v>006B7C - 9708</v>
      </c>
    </row>
    <row r="2192" spans="1:5" x14ac:dyDescent="0.35">
      <c r="A2192" s="17" t="s">
        <v>4426</v>
      </c>
      <c r="B2192" t="s">
        <v>5103</v>
      </c>
      <c r="C2192" s="9" t="str">
        <f>_xlfn.CONCAT(HEX2DEC(MID(Table14[[#This Row],[Color Code]], 1, 2))," , ",HEX2DEC(MID(Table14[[#This Row],[Color Code]], 3, 2))," , ",HEX2DEC(MID(Table14[[#This Row],[Color Code]], 5, 2)))</f>
        <v>0 , 110 , 118</v>
      </c>
      <c r="D2192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206.05339113928702</v>
      </c>
      <c r="E2192" t="str">
        <f>Table14[[#This Row],[Color Code]] &amp; " - " &amp;Table14[[#This Row],[Color Name]]</f>
        <v>006E76 - 9699</v>
      </c>
    </row>
    <row r="2193" spans="1:5" x14ac:dyDescent="0.35">
      <c r="A2193" s="17" t="s">
        <v>4360</v>
      </c>
      <c r="B2193" t="s">
        <v>6739</v>
      </c>
      <c r="C2193" s="9" t="str">
        <f>_xlfn.CONCAT(HEX2DEC(MID(Table14[[#This Row],[Color Code]], 1, 2))," , ",HEX2DEC(MID(Table14[[#This Row],[Color Code]], 3, 2))," , ",HEX2DEC(MID(Table14[[#This Row],[Color Code]], 5, 2)))</f>
        <v>0 , 106 , 126</v>
      </c>
      <c r="D2193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206.07280266934791</v>
      </c>
      <c r="E2193" t="str">
        <f>Table14[[#This Row],[Color Code]] &amp; " - " &amp;Table14[[#This Row],[Color Name]]</f>
        <v>006A7E - 0161</v>
      </c>
    </row>
    <row r="2194" spans="1:5" x14ac:dyDescent="0.35">
      <c r="A2194" s="17" t="s">
        <v>2917</v>
      </c>
      <c r="B2194" t="s">
        <v>5144</v>
      </c>
      <c r="C2194" s="9" t="str">
        <f>_xlfn.CONCAT(HEX2DEC(MID(Table14[[#This Row],[Color Code]], 1, 2))," , ",HEX2DEC(MID(Table14[[#This Row],[Color Code]], 3, 2))," , ",HEX2DEC(MID(Table14[[#This Row],[Color Code]], 5, 2)))</f>
        <v>0 , 111 , 105</v>
      </c>
      <c r="D2194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208.47062143141417</v>
      </c>
      <c r="E2194" t="str">
        <f>Table14[[#This Row],[Color Code]] &amp; " - " &amp;Table14[[#This Row],[Color Name]]</f>
        <v>006F69 - 7501</v>
      </c>
    </row>
    <row r="2195" spans="1:5" x14ac:dyDescent="0.35">
      <c r="A2195" s="17" t="s">
        <v>4434</v>
      </c>
      <c r="B2195" t="s">
        <v>5160</v>
      </c>
      <c r="C2195" s="9" t="str">
        <f>_xlfn.CONCAT(HEX2DEC(MID(Table14[[#This Row],[Color Code]], 1, 2))," , ",HEX2DEC(MID(Table14[[#This Row],[Color Code]], 3, 2))," , ",HEX2DEC(MID(Table14[[#This Row],[Color Code]], 5, 2)))</f>
        <v>0 , 115 , 100</v>
      </c>
      <c r="D2195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208.54016399725018</v>
      </c>
      <c r="E2195" t="str">
        <f>Table14[[#This Row],[Color Code]] &amp; " - " &amp;Table14[[#This Row],[Color Name]]</f>
        <v>007364 - 7509</v>
      </c>
    </row>
    <row r="2196" spans="1:5" x14ac:dyDescent="0.35">
      <c r="A2196" s="17" t="s">
        <v>2832</v>
      </c>
      <c r="B2196" t="s">
        <v>5048</v>
      </c>
      <c r="C2196" s="9" t="str">
        <f>_xlfn.CONCAT(HEX2DEC(MID(Table14[[#This Row],[Color Code]], 1, 2))," , ",HEX2DEC(MID(Table14[[#This Row],[Color Code]], 3, 2))," , ",HEX2DEC(MID(Table14[[#This Row],[Color Code]], 5, 2)))</f>
        <v>0 , 99 , 125</v>
      </c>
      <c r="D2196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208.66240677227893</v>
      </c>
      <c r="E2196" t="str">
        <f>Table14[[#This Row],[Color Code]] &amp; " - " &amp;Table14[[#This Row],[Color Name]]</f>
        <v>00637D - 7405</v>
      </c>
    </row>
    <row r="2197" spans="1:5" x14ac:dyDescent="0.35">
      <c r="A2197" s="17" t="s">
        <v>2867</v>
      </c>
      <c r="B2197" t="s">
        <v>5087</v>
      </c>
      <c r="C2197" s="9" t="str">
        <f>_xlfn.CONCAT(HEX2DEC(MID(Table14[[#This Row],[Color Code]], 1, 2))," , ",HEX2DEC(MID(Table14[[#This Row],[Color Code]], 3, 2))," , ",HEX2DEC(MID(Table14[[#This Row],[Color Code]], 5, 2)))</f>
        <v>0 , 100 , 122</v>
      </c>
      <c r="D2197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208.75344308537763</v>
      </c>
      <c r="E2197" t="str">
        <f>Table14[[#This Row],[Color Code]] &amp; " - " &amp;Table14[[#This Row],[Color Name]]</f>
        <v>00647A - 9690</v>
      </c>
    </row>
    <row r="2198" spans="1:5" x14ac:dyDescent="0.35">
      <c r="A2198" s="17" t="s">
        <v>4347</v>
      </c>
      <c r="B2198" t="s">
        <v>6721</v>
      </c>
      <c r="C2198" s="9" t="str">
        <f>_xlfn.CONCAT(HEX2DEC(MID(Table14[[#This Row],[Color Code]], 1, 2))," , ",HEX2DEC(MID(Table14[[#This Row],[Color Code]], 3, 2))," , ",HEX2DEC(MID(Table14[[#This Row],[Color Code]], 5, 2)))</f>
        <v>0 , 127 , 85</v>
      </c>
      <c r="D2198">
        <f>SQRT((LEFT(D$1, FIND(",", D$1) - 1) - LEFT(Table14[[#This Row],[RGB Value]], FIND(",", Table14[[#This Row],[RGB Value]]) - 1))^2 + (MID(D$1, FIND(",", D$1) + 1, FIND(",", D$1 &amp; ",", FIND(",", D$1) + 1) - FIND(",", D$1) - 1) - MID(Table14[[#This Row],[RGB Value]], FIND(",", Table14[[#This Row],[RGB Value]]) + 1, FIND(",", Table14[[#This Row],[RGB Value]] &amp; ",", FIND(",", Table14[[#This Row],[RGB Value]]) + 1) - FIND(",", Table14[[#This Row],[RGB Value]]) - 1))^2 + (RIGHT(D$1, LEN(D$1) - FIND(",", D$1 &amp; ",", FIND(",", D$1) + 1)) - RIGHT(Table14[[#This Row],[RGB Value]], LEN(Table14[[#This Row],[RGB Value]]) - FIND(",", Table14[[#This Row],[RGB Value]] &amp; ",", FIND(",", Table14[[#This Row],[RGB Value]]) + 1)))^2)</f>
        <v>209.92379569739111</v>
      </c>
      <c r="E2198" t="str">
        <f>Table14[[#This Row],[Color Code]] &amp; " - " &amp;Table14[[#This Row],[Color Name]]</f>
        <v>007F55 - X194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Pallette</vt:lpstr>
      <vt:lpstr>Proposed Colours</vt:lpstr>
      <vt:lpstr>Wall Options</vt:lpstr>
      <vt:lpstr>Berger Closest</vt:lpstr>
      <vt:lpstr>Asian Closest</vt:lpstr>
      <vt:lpstr>'Proposed Colours'!Print_Area</vt:lpstr>
      <vt:lpstr>'Wall Options'!Print_Area</vt:lpstr>
      <vt:lpstr>'Proposed Colours'!Print_Titles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Vitrag Group</dc:creator>
  <cp:lastModifiedBy>Vitrag Group</cp:lastModifiedBy>
  <cp:lastPrinted>2025-02-04T06:33:06Z</cp:lastPrinted>
  <dcterms:created xsi:type="dcterms:W3CDTF">2024-05-24T02:40:47Z</dcterms:created>
  <dcterms:modified xsi:type="dcterms:W3CDTF">2026-07-13T10:50:11Z</dcterms:modified>
</cp:coreProperties>
</file>